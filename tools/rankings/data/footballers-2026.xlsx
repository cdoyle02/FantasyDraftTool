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064b9ea23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a296dba1244fa4"/>
    <x:sheet xmlns:r="http://schemas.openxmlformats.org/officeDocument/2006/relationships" name="QB Comparison" sheetId="2" r:id="Rb707735b03c146ac"/>
    <x:sheet xmlns:r="http://schemas.openxmlformats.org/officeDocument/2006/relationships" name="FLEX Comparison" sheetId="3" r:id="Rf0bcdcc6095d4433"/>
    <x:sheet xmlns:r="http://schemas.openxmlformats.org/officeDocument/2006/relationships" name="Mike QB" sheetId="4" r:id="R5f1bb67a21a74777"/>
    <x:sheet xmlns:r="http://schemas.openxmlformats.org/officeDocument/2006/relationships" name="Andy QB" sheetId="5" r:id="R46390a62d6534c14"/>
    <x:sheet xmlns:r="http://schemas.openxmlformats.org/officeDocument/2006/relationships" name="Jason QB" sheetId="6" r:id="R4964206de162452d"/>
    <x:sheet xmlns:r="http://schemas.openxmlformats.org/officeDocument/2006/relationships" name="Mike FLEX" sheetId="7" r:id="Rc913e5a3c0614565"/>
    <x:sheet xmlns:r="http://schemas.openxmlformats.org/officeDocument/2006/relationships" name="Andy FLEX" sheetId="8" r:id="Rd984619b97e24daf"/>
    <x:sheet xmlns:r="http://schemas.openxmlformats.org/officeDocument/2006/relationships" name="Jason FLEX" sheetId="9" r:id="R895d63fb22db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#,##0"/>
    <x:numFmt numFmtId="203" formatCode="#,##0.0"/>
  </x:numFmts>
  <x:fonts count="10">
    <x:font>
      <x:sz val="11"/>
      <x:name val="Carlito"/>
    </x:font>
    <x:font>
      <x:b/>
      <x:sz val="18"/>
      <x:color rgb="FFFFFFFF"/>
      <x:name val="Aptos Display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9"/>
      <x:color rgb="FFFFFFFF"/>
      <x:name val="Aptos"/>
    </x:font>
    <x:font>
      <x:sz val="9"/>
      <x:color rgb="FF172033"/>
      <x:name val="Aptos"/>
    </x:font>
    <x:font>
      <x:sz val="8"/>
      <x:color rgb="FF2563EB"/>
      <x:name val="Aptos"/>
    </x:font>
    <x:font>
      <x:b/>
      <x:sz val="11"/>
      <x:color rgb="FFFFFFFF"/>
      <x:name val="Aptos"/>
    </x:font>
    <x:font>
      <x:sz val="11"/>
      <x:color rgb="FF172033"/>
      <x:name val="Aptos"/>
    </x:font>
    <x:font>
      <x:sz val="9"/>
      <x:color rgb="FF2563EB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1233F"/>
      </x:patternFill>
    </x:fill>
    <x:fill>
      <x:patternFill patternType="solid">
        <x:fgColor rgb="FFEAF1F8"/>
      </x:patternFill>
    </x:fill>
    <x:fill>
      <x:patternFill patternType="solid">
        <x:fgColor rgb="FF1C3557"/>
      </x:patternFill>
    </x:fill>
    <x:fill>
      <x:patternFill patternType="solid">
        <x:fgColor rgb="FF13A37F"/>
      </x:patternFill>
    </x:fill>
    <x:fill>
      <x:patternFill patternType="solid">
        <x:fgColor rgb="FF2563EB"/>
      </x:patternFill>
    </x:fill>
    <x:fill>
      <x:patternFill patternType="solid">
        <x:fgColor rgb="FFD97706"/>
      </x:patternFill>
    </x:fill>
    <x:fill>
      <x:patternFill patternType="solid">
        <x:fgColor rgb="FF7C3AED"/>
      </x:patternFill>
    </x:fill>
    <x:fill>
      <x:patternFill patternType="solid">
        <x:fgColor rgb="FF667085"/>
      </x:patternFill>
    </x:fill>
    <x:fill>
      <x:patternFill patternType="solid">
        <x:fgColor rgb="FF059669"/>
      </x:patternFill>
    </x:fill>
    <x:fill>
      <x:patternFill patternType="solid">
        <x:fgColor rgb="FFE9F7F2"/>
      </x:patternFill>
    </x:fill>
  </x:fills>
  <x:borders count="11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6E8096"/>
      </x:right>
    </x:border>
    <x:border>
      <x:left style="thin">
        <x:color rgb="FF6E8096"/>
      </x:left>
      <x:right style="thin">
        <x:color rgb="FF6E8096"/>
      </x:right>
    </x:border>
    <x:border>
      <x:left style="thin">
        <x:color rgb="FF6E8096"/>
      </x:left>
    </x:border>
    <x:border>
      <x:bottom style="thin">
        <x:color rgb="FFD8E1EA"/>
      </x:bottom>
    </x:border>
    <x:border>
      <x:top style="thin">
        <x:color rgb="FFD8E1EA"/>
      </x:top>
      <x:bottom style="thin">
        <x:color rgb="FFD8E1EA"/>
      </x:bottom>
    </x:border>
    <x:border>
      <x:top style="thin">
        <x:color rgb="FFD8E1EA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3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3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4" xfId="0" applyNumberFormat="1" applyFont="1" applyFill="1" applyBorder="1"/>
    <x:xf numFmtId="0" fontId="3" fillId="9" borderId="4" xfId="0" applyNumberFormat="1" applyFont="1" applyFill="1" applyBorder="1" applyAlignment="1">
      <x:alignment horizontal="center"/>
    </x:xf>
    <x:xf numFmtId="0" fontId="3" fillId="9" borderId="4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horizontal="left" vertical="center" wrapText="0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/>
    <x:xf numFmtId="0" fontId="3" fillId="7" borderId="2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/>
    <x:xf numFmtId="0" fontId="3" fillId="8" borderId="4" xfId="0" applyNumberFormat="1" applyFont="1" applyFill="1" applyBorder="1" applyAlignment="1">
      <x:alignment horizont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2" xfId="0" applyNumberFormat="1" applyFont="1" applyFill="1" applyBorder="1"/>
    <x:xf numFmtId="0" fontId="3" fillId="10" borderId="3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3" fillId="10" borderId="2" xfId="0" applyNumberFormat="1" applyFont="1" applyFill="1" applyBorder="1" applyAlignment="1">
      <x:alignment horizontal="center"/>
    </x:xf>
    <x:xf numFmtId="0" fontId="3" fillId="10" borderId="3" xfId="0" applyNumberFormat="1" applyFont="1" applyFill="1" applyBorder="1" applyAlignment="1">
      <x:alignment horizont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3" fillId="10" borderId="2" xfId="0" applyNumberFormat="1" applyFont="1" applyFill="1" applyBorder="1" applyAlignment="1">
      <x:alignment horizontal="center" vertical="center"/>
    </x:xf>
    <x:xf numFmtId="0" fontId="3" fillId="10" borderId="3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horizontal="left"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3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2" fontId="5" fillId="0" borderId="9" xfId="0" applyNumberFormat="1" applyFont="1" applyFill="1" applyBorder="1" applyAlignment="1">
      <x:alignment vertical="center"/>
    </x:xf>
    <x:xf numFmtId="203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horizontal="left" vertical="center"/>
    </x:xf>
    <x:xf numFmtId="0" fontId="5" fillId="0" borderId="10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203" fontId="5" fillId="0" borderId="1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8" fillId="3" borderId="0" xfId="0" applyNumberFormat="1" applyFont="1" applyFill="1" applyBorder="1"/>
    <x:xf numFmtId="202" fontId="0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15a6a4ed14f50" /><Relationship Type="http://schemas.openxmlformats.org/officeDocument/2006/relationships/theme" Target="/xl/theme/theme1.xml" Id="R4d8f32f2f27144de" /><Relationship Type="http://schemas.openxmlformats.org/officeDocument/2006/relationships/sharedStrings" Target="/xl/sharedStrings.xml" Id="R45cbe69bf02d49e5" /><Relationship Type="http://schemas.openxmlformats.org/officeDocument/2006/relationships/worksheet" Target="/xl/worksheets/sheet1.xml" Id="R6da296dba1244fa4" /><Relationship Type="http://schemas.openxmlformats.org/officeDocument/2006/relationships/worksheet" Target="/xl/worksheets/sheet2.xml" Id="Rb707735b03c146ac" /><Relationship Type="http://schemas.openxmlformats.org/officeDocument/2006/relationships/worksheet" Target="/xl/worksheets/sheet3.xml" Id="Rf0bcdcc6095d4433" /><Relationship Type="http://schemas.openxmlformats.org/officeDocument/2006/relationships/worksheet" Target="/xl/worksheets/sheet4.xml" Id="R5f1bb67a21a74777" /><Relationship Type="http://schemas.openxmlformats.org/officeDocument/2006/relationships/worksheet" Target="/xl/worksheets/sheet5.xml" Id="R46390a62d6534c14" /><Relationship Type="http://schemas.openxmlformats.org/officeDocument/2006/relationships/worksheet" Target="/xl/worksheets/sheet6.xml" Id="R4964206de162452d" /><Relationship Type="http://schemas.openxmlformats.org/officeDocument/2006/relationships/worksheet" Target="/xl/worksheets/sheet7.xml" Id="Rc913e5a3c0614565" /><Relationship Type="http://schemas.openxmlformats.org/officeDocument/2006/relationships/worksheet" Target="/xl/worksheets/sheet8.xml" Id="Rd984619b97e24daf" /><Relationship Type="http://schemas.openxmlformats.org/officeDocument/2006/relationships/worksheet" Target="/xl/worksheets/sheet9.xml" Id="R895d63fb22db4834" /></Relationships>
</file>

<file path=xl/tables/table1.xml><?xml version="1.0" encoding="utf-8"?>
<x:table xmlns:x="http://schemas.openxmlformats.org/spreadsheetml/2006/main" id="9" name="SourceSummaryTable" displayName="SourceSummaryTable" ref="A10:D16" headerRowCount="1" totalsRowCount="0" totalsRowShown="0">
  <x:tableColumns count="4">
    <x:tableColumn id="1" name="Analyst"/>
    <x:tableColumn id="2" name="Position"/>
    <x:tableColumn id="3" name="Players"/>
    <x:tableColumn id="4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QBComparisonTable" displayName="QBComparisonTable" ref="A5:AK41" headerRowCount="1" totalsRowCount="0" totalsRowShown="0">
  <x:autoFilter ref="A5:AK41"/>
  <x:tableColumns count="37">
    <x:tableColumn id="1" name="Player"/>
    <x:tableColumn id="2" name="Pos"/>
    <x:tableColumn id="3" name="Team"/>
    <x:tableColumn id="4" name="Bye"/>
    <x:tableColumn id="5" name="Rank"/>
    <x:tableColumn id="6" name="PPG"/>
    <x:tableColumn id="7" name="Pass Yds"/>
    <x:tableColumn id="8" name="Pass TD"/>
    <x:tableColumn id="9" name="Rush Yds"/>
    <x:tableColumn id="10" name="Rush TD"/>
    <x:tableColumn id="11" name="INT"/>
    <x:tableColumn id="12" name="FUM"/>
    <x:tableColumn id="13" name="Rank"/>
    <x:tableColumn id="14" name="PPG"/>
    <x:tableColumn id="15" name="Pass Yds"/>
    <x:tableColumn id="16" name="Pass TD"/>
    <x:tableColumn id="17" name="Rush Yds"/>
    <x:tableColumn id="18" name="Rush TD"/>
    <x:tableColumn id="19" name="INT"/>
    <x:tableColumn id="20" name="FUM"/>
    <x:tableColumn id="21" name="Rank"/>
    <x:tableColumn id="22" name="PPG"/>
    <x:tableColumn id="23" name="Pass Yds"/>
    <x:tableColumn id="24" name="Pass TD"/>
    <x:tableColumn id="25" name="Rush Yds"/>
    <x:tableColumn id="26" name="Rush TD"/>
    <x:tableColumn id="27" name="INT"/>
    <x:tableColumn id="28" name="FUM"/>
    <x:tableColumn id="29" name="Avg Rank"/>
    <x:tableColumn id="30" name="Rank Spread"/>
    <x:tableColumn id="31" name="Avg PPG"/>
    <x:tableColumn id="32" name="Avg Pass Yds"/>
    <x:tableColumn id="33" name="Avg Pass TD"/>
    <x:tableColumn id="34" name="Avg Rush Yds"/>
    <x:tableColumn id="35" name="Avg Rush TD"/>
    <x:tableColumn id="36" name="Avg INT"/>
    <x:tableColumn id="37" name="Avg F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FLEXComparisonTable" displayName="FLEXComparisonTable" ref="A5:AO283" headerRowCount="1" totalsRowCount="0" totalsRowShown="0">
  <x:autoFilter ref="A5:AO283"/>
  <x:tableColumns count="41">
    <x:tableColumn id="1" name="Player"/>
    <x:tableColumn id="2" name="Pos"/>
    <x:tableColumn id="3" name="Team"/>
    <x:tableColumn id="4" name="Bye"/>
    <x:tableColumn id="5" name="Rank"/>
    <x:tableColumn id="6" name="PPG"/>
    <x:tableColumn id="7" name="Rush Att"/>
    <x:tableColumn id="8" name="Rush Yds"/>
    <x:tableColumn id="9" name="Rush TD"/>
    <x:tableColumn id="10" name="Rec"/>
    <x:tableColumn id="11" name="Rec Yds"/>
    <x:tableColumn id="12" name="Rec TD"/>
    <x:tableColumn id="13" name="FUM"/>
    <x:tableColumn id="14" name="Rank"/>
    <x:tableColumn id="15" name="PPG"/>
    <x:tableColumn id="16" name="Rush Att"/>
    <x:tableColumn id="17" name="Rush Yds"/>
    <x:tableColumn id="18" name="Rush TD"/>
    <x:tableColumn id="19" name="Rec"/>
    <x:tableColumn id="20" name="Rec Yds"/>
    <x:tableColumn id="21" name="Rec TD"/>
    <x:tableColumn id="22" name="FUM"/>
    <x:tableColumn id="23" name="Rank"/>
    <x:tableColumn id="24" name="PPG"/>
    <x:tableColumn id="25" name="Rush Att"/>
    <x:tableColumn id="26" name="Rush Yds"/>
    <x:tableColumn id="27" name="Rush TD"/>
    <x:tableColumn id="28" name="Rec"/>
    <x:tableColumn id="29" name="Rec Yds"/>
    <x:tableColumn id="30" name="Rec TD"/>
    <x:tableColumn id="31" name="FUM"/>
    <x:tableColumn id="32" name="Avg Rank"/>
    <x:tableColumn id="33" name="Rank Spread"/>
    <x:tableColumn id="34" name="Avg PPG"/>
    <x:tableColumn id="35" name="Avg Rush Att"/>
    <x:tableColumn id="36" name="Avg Rush Yds"/>
    <x:tableColumn id="37" name="Avg Rush TD"/>
    <x:tableColumn id="38" name="Avg Rec"/>
    <x:tableColumn id="39" name="Avg Rec Yds"/>
    <x:tableColumn id="40" name="Avg Rec TD"/>
    <x:tableColumn id="41" name="Avg FU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MikeQBTable" displayName="MikeQBTable" ref="A5:L40" headerRowCount="1" totalsRowCount="0" totalsRowShown="0">
  <x:autoFilter ref="A5:L40"/>
  <x:tableColumns count="12">
    <x:tableColumn id="1" name="Player"/>
    <x:tableColumn id="2" name="Team"/>
    <x:tableColumn id="3" name="Bye"/>
    <x:tableColumn id="4" name="Rank"/>
    <x:tableColumn id="5" name="PPG"/>
    <x:tableColumn id="6" name="Pass Yds"/>
    <x:tableColumn id="7" name="Pass TD"/>
    <x:tableColumn id="8" name="Rush Yds"/>
    <x:tableColumn id="9" name="Rush TD"/>
    <x:tableColumn id="10" name="INT"/>
    <x:tableColumn id="11" name="FUM"/>
    <x:tableColumn id="12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AndyQBTable" displayName="AndyQBTable" ref="A5:L41" headerRowCount="1" totalsRowCount="0" totalsRowShown="0">
  <x:autoFilter ref="A5:L41"/>
  <x:tableColumns count="12">
    <x:tableColumn id="1" name="Player"/>
    <x:tableColumn id="2" name="Team"/>
    <x:tableColumn id="3" name="Bye"/>
    <x:tableColumn id="4" name="Rank"/>
    <x:tableColumn id="5" name="PPG"/>
    <x:tableColumn id="6" name="Pass Yds"/>
    <x:tableColumn id="7" name="Pass TD"/>
    <x:tableColumn id="8" name="Rush Yds"/>
    <x:tableColumn id="9" name="Rush TD"/>
    <x:tableColumn id="10" name="INT"/>
    <x:tableColumn id="11" name="FUM"/>
    <x:tableColumn id="12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JasonQBTable" displayName="JasonQBTable" ref="A5:L41" headerRowCount="1" totalsRowCount="0" totalsRowShown="0">
  <x:autoFilter ref="A5:L41"/>
  <x:tableColumns count="12">
    <x:tableColumn id="1" name="Player"/>
    <x:tableColumn id="2" name="Team"/>
    <x:tableColumn id="3" name="Bye"/>
    <x:tableColumn id="4" name="Rank"/>
    <x:tableColumn id="5" name="PPG"/>
    <x:tableColumn id="6" name="Pass Yds"/>
    <x:tableColumn id="7" name="Pass TD"/>
    <x:tableColumn id="8" name="Rush Yds"/>
    <x:tableColumn id="9" name="Rush TD"/>
    <x:tableColumn id="10" name="INT"/>
    <x:tableColumn id="11" name="FUM"/>
    <x:tableColumn id="12" name="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MikeFLEXTable" displayName="MikeFLEXTable" ref="A5:N278" headerRowCount="1" totalsRowCount="0" totalsRowShown="0">
  <x:autoFilter ref="A5:N278"/>
  <x:tableColumns count="14">
    <x:tableColumn id="1" name="Player"/>
    <x:tableColumn id="2" name="Pos"/>
    <x:tableColumn id="3" name="Team"/>
    <x:tableColumn id="4" name="Bye"/>
    <x:tableColumn id="5" name="Rank"/>
    <x:tableColumn id="6" name="PPG"/>
    <x:tableColumn id="7" name="Rush Att"/>
    <x:tableColumn id="8" name="Rush Yds"/>
    <x:tableColumn id="9" name="Rush TD"/>
    <x:tableColumn id="10" name="Rec"/>
    <x:tableColumn id="11" name="Rec Yds"/>
    <x:tableColumn id="12" name="Rec TD"/>
    <x:tableColumn id="13" name="FUM"/>
    <x:tableColumn id="14" name="Source 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AndyFLEXTable" displayName="AndyFLEXTable" ref="A5:N278" headerRowCount="1" totalsRowCount="0" totalsRowShown="0">
  <x:autoFilter ref="A5:N278"/>
  <x:tableColumns count="14">
    <x:tableColumn id="1" name="Player"/>
    <x:tableColumn id="2" name="Pos"/>
    <x:tableColumn id="3" name="Team"/>
    <x:tableColumn id="4" name="Bye"/>
    <x:tableColumn id="5" name="Rank"/>
    <x:tableColumn id="6" name="PPG"/>
    <x:tableColumn id="7" name="Rush Att"/>
    <x:tableColumn id="8" name="Rush Yds"/>
    <x:tableColumn id="9" name="Rush TD"/>
    <x:tableColumn id="10" name="Rec"/>
    <x:tableColumn id="11" name="Rec Yds"/>
    <x:tableColumn id="12" name="Rec TD"/>
    <x:tableColumn id="13" name="FUM"/>
    <x:tableColumn id="14" name="Source 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JasonFLEXTable" displayName="JasonFLEXTable" ref="A5:N268" headerRowCount="1" totalsRowCount="0" totalsRowShown="0">
  <x:autoFilter ref="A5:N268"/>
  <x:tableColumns count="14">
    <x:tableColumn id="1" name="Player"/>
    <x:tableColumn id="2" name="Pos"/>
    <x:tableColumn id="3" name="Team"/>
    <x:tableColumn id="4" name="Bye"/>
    <x:tableColumn id="5" name="Rank"/>
    <x:tableColumn id="6" name="PPG"/>
    <x:tableColumn id="7" name="Rush Att"/>
    <x:tableColumn id="8" name="Rush Yds"/>
    <x:tableColumn id="9" name="Rush TD"/>
    <x:tableColumn id="10" name="Rec"/>
    <x:tableColumn id="11" name="Rec Yds"/>
    <x:tableColumn id="12" name="Rec TD"/>
    <x:tableColumn id="13" name="FUM"/>
    <x:tableColumn id="14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d57d7232a94c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48cd20af914e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403d0d5ec548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a5c80b170440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7ce61a3aaad41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9750f0644249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ba9f47e56de44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568f4b5d0f349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5fd2aa3c10e48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1" hidden="0" customWidth="1"/>
    <x:col min="4" max="4" width="60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Fantasy Footballers 2026 Projection Workbook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Combined QB and FLEX stat projections for Mike, Andy, and Jason</x:v>
      </x:c>
      <x:c r="B2" s="6"/>
      <x:c r="C2" s="6"/>
      <x:c r="D2" s="6"/>
      <x:c r="E2" s="6"/>
      <x:c r="F2" s="6"/>
      <x:c r="G2" s="6"/>
      <x:c r="H2" s="6"/>
    </x:row>
    <x:row r="4">
      <x:c r="A4" s="119" t="str">
        <x:v>Scoring profile</x:v>
      </x:c>
      <x:c r="B4" s="120" t="str">
        <x:v>The Fear Boners</x:v>
      </x:c>
      <x:c r="F4" s="125" t="str">
        <x:v>How the comparison sheets work</x:v>
      </x:c>
      <x:c r="G4" s="125"/>
      <x:c r="H4" s="125"/>
    </x:row>
    <x:row r="5">
      <x:c r="A5" s="119" t="str">
        <x:v>Collected</x:v>
      </x:c>
      <x:c r="B5" s="120" t="str">
        <x:v>2026-08-31</x:v>
      </x:c>
      <x:c r="F5" s="129" t="str">
        <x:v>Each analyst's projected values are pulled from the dedicated source sheets with formulas. Consensus columns average the available projections; blanks mean that analyst did not project that player.</x:v>
      </x:c>
      <x:c r="G5" s="129"/>
      <x:c r="H5" s="129"/>
    </x:row>
    <x:row r="6">
      <x:c r="A6" s="119" t="str">
        <x:v>Analysts</x:v>
      </x:c>
      <x:c r="B6" s="120" t="str">
        <x:v>Mike, Andy, Jason</x:v>
      </x:c>
      <x:c r="F6" s="129"/>
      <x:c r="G6" s="129"/>
      <x:c r="H6" s="129"/>
    </x:row>
    <x:row r="7">
      <x:c r="A7" s="119" t="str">
        <x:v>Positions</x:v>
      </x:c>
      <x:c r="B7" s="120" t="str">
        <x:v>QB and FLEX</x:v>
      </x:c>
      <x:c r="F7" s="129"/>
      <x:c r="G7" s="129"/>
      <x:c r="H7" s="129"/>
    </x:row>
    <x:row r="8">
      <x:c r="A8" s="119" t="str">
        <x:v>Workbook use</x:v>
      </x:c>
      <x:c r="B8" s="120" t="str">
        <x:v>Filter comparison sheets or inspect any analyst's source sheet</x:v>
      </x:c>
      <x:c r="F8" s="129"/>
      <x:c r="G8" s="129"/>
      <x:c r="H8" s="129"/>
    </x:row>
    <x:row r="10" ht="30" customHeight="1">
      <x:c r="A10" s="65" t="str">
        <x:v>Analyst</x:v>
      </x:c>
      <x:c r="B10" s="66" t="str">
        <x:v>Position</x:v>
      </x:c>
      <x:c r="C10" s="66" t="str">
        <x:v>Players</x:v>
      </x:c>
      <x:c r="D10" s="67" t="str">
        <x:v>Source URL</x:v>
      </x:c>
    </x:row>
    <x:row r="11">
      <x:c r="A11" t="str">
        <x:v>Mike</x:v>
      </x:c>
      <x:c r="B11" t="str">
        <x:v>QB</x:v>
      </x:c>
      <x:c r="C11" s="121" t="n">
        <x:v>35</x:v>
      </x:c>
      <x:c r="D11" s="123" t="str">
        <x:v>https://www.thefantasyfootballers.com/2026-ultimate-draft-kit/udk-mikes-projections/?position=QB</x:v>
      </x:c>
    </x:row>
    <x:row r="12">
      <x:c r="A12" t="str">
        <x:v>Mike</x:v>
      </x:c>
      <x:c r="B12" t="str">
        <x:v>FLEX</x:v>
      </x:c>
      <x:c r="C12" s="121" t="n">
        <x:v>273</x:v>
      </x:c>
      <x:c r="D12" s="123" t="str">
        <x:v>https://www.thefantasyfootballers.com/2026-ultimate-draft-kit/udk-mikes-projections/?position=FLEX</x:v>
      </x:c>
    </x:row>
    <x:row r="13">
      <x:c r="A13" t="str">
        <x:v>Andy</x:v>
      </x:c>
      <x:c r="B13" t="str">
        <x:v>QB</x:v>
      </x:c>
      <x:c r="C13" s="121" t="n">
        <x:v>36</x:v>
      </x:c>
      <x:c r="D13" s="123" t="str">
        <x:v>https://www.thefantasyfootballers.com/2026-ultimate-draft-kit/udk-andys-projections/</x:v>
      </x:c>
    </x:row>
    <x:row r="14">
      <x:c r="A14" t="str">
        <x:v>Andy</x:v>
      </x:c>
      <x:c r="B14" t="str">
        <x:v>FLEX</x:v>
      </x:c>
      <x:c r="C14" s="121" t="n">
        <x:v>273</x:v>
      </x:c>
      <x:c r="D14" s="123" t="str">
        <x:v>https://www.thefantasyfootballers.com/2026-ultimate-draft-kit/udk-andys-projections/?position=FLEX</x:v>
      </x:c>
    </x:row>
    <x:row r="15">
      <x:c r="A15" t="str">
        <x:v>Jason</x:v>
      </x:c>
      <x:c r="B15" t="str">
        <x:v>QB</x:v>
      </x:c>
      <x:c r="C15" s="121" t="n">
        <x:v>36</x:v>
      </x:c>
      <x:c r="D15" s="123" t="str">
        <x:v>https://www.thefantasyfootballers.com/2026-ultimate-draft-kit/udk-jasons-projections/</x:v>
      </x:c>
    </x:row>
    <x:row r="16">
      <x:c r="A16" t="str">
        <x:v>Jason</x:v>
      </x:c>
      <x:c r="B16" t="str">
        <x:v>FLEX</x:v>
      </x:c>
      <x:c r="C16" s="121" t="n">
        <x:v>263</x:v>
      </x:c>
      <x:c r="D16" s="123" t="str">
        <x:v>https://www.thefantasyfootballers.com/2026-ultimate-draft-kit/udk-jasons-projections/?position=FLEX</x:v>
      </x:c>
    </x:row>
  </x:sheetData>
  <x:mergeCells>
    <x:mergeCell ref="A1:H1"/>
    <x:mergeCell ref="A2:H2"/>
    <x:mergeCell ref="F4:H4"/>
    <x:mergeCell ref="F5:H8"/>
  </x:mergeCells>
  <x:pageMargins left="0.7" right="0.7" top="0.75" bottom="0.75" header="0.3" footer="0.3"/>
  <x:tableParts count="1">
    <x:tablePart xmlns:r="http://schemas.openxmlformats.org/officeDocument/2006/relationships" r:id="Refd57d7232a94c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" hidden="0" customWidth="1"/>
    <x:col min="3" max="3" width="9" hidden="0" customWidth="1"/>
    <x:col min="4" max="4" width="7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</x:cols>
  <x:sheetData>
    <x:row r="1" ht="32" customHeight="1">
      <x:c r="A1" s="3" t="str">
        <x:v>2026 QB Projection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</x:row>
    <x:row r="2" ht="24" customHeight="1">
      <x:c r="A2" s="6" t="str">
        <x:v>Mike + Andy + Jason  |  Scoring profile: The Fear Boners  |  Sorted by average projected rank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</x:row>
    <x:row r="4">
      <x:c r="A4" s="15" t="str">
        <x:v>Player</x:v>
      </x:c>
      <x:c r="B4" s="16"/>
      <x:c r="C4" s="16"/>
      <x:c r="D4" s="17"/>
      <x:c r="E4" s="40" t="str">
        <x:v>Mike</x:v>
      </x:c>
      <x:c r="F4" s="79"/>
      <x:c r="G4" s="79"/>
      <x:c r="H4" s="79"/>
      <x:c r="I4" s="79"/>
      <x:c r="J4" s="79"/>
      <x:c r="K4" s="79"/>
      <x:c r="L4" s="41"/>
      <x:c r="M4" s="32" t="str">
        <x:v>Andy</x:v>
      </x:c>
      <x:c r="N4" s="82"/>
      <x:c r="O4" s="82"/>
      <x:c r="P4" s="82"/>
      <x:c r="Q4" s="82"/>
      <x:c r="R4" s="82"/>
      <x:c r="S4" s="82"/>
      <x:c r="T4" s="33"/>
      <x:c r="U4" s="48" t="str">
        <x:v>Jason</x:v>
      </x:c>
      <x:c r="V4" s="88"/>
      <x:c r="W4" s="88"/>
      <x:c r="X4" s="88"/>
      <x:c r="Y4" s="88"/>
      <x:c r="Z4" s="88"/>
      <x:c r="AA4" s="88"/>
      <x:c r="AB4" s="49"/>
      <x:c r="AC4" s="97" t="str">
        <x:v>Three-Analyst Consensus</x:v>
      </x:c>
      <x:c r="AD4" s="98"/>
      <x:c r="AE4" s="98"/>
      <x:c r="AF4" s="98"/>
      <x:c r="AG4" s="98"/>
      <x:c r="AH4" s="98"/>
      <x:c r="AI4" s="98"/>
      <x:c r="AJ4" s="98"/>
      <x:c r="AK4" s="99"/>
    </x:row>
    <x:row r="5" ht="30" customHeight="1">
      <x:c r="A5" s="65" t="str">
        <x:v>Player</x:v>
      </x:c>
      <x:c r="B5" s="66" t="str">
        <x:v>Pos</x:v>
      </x:c>
      <x:c r="C5" s="66" t="str">
        <x:v>Team</x:v>
      </x:c>
      <x:c r="D5" s="66" t="str">
        <x:v>Bye</x:v>
      </x:c>
      <x:c r="E5" s="66" t="str">
        <x:v>Rank</x:v>
      </x:c>
      <x:c r="F5" s="66" t="str">
        <x:v>PPG</x:v>
      </x:c>
      <x:c r="G5" s="66" t="str">
        <x:v>Pass Yds</x:v>
      </x:c>
      <x:c r="H5" s="66" t="str">
        <x:v>Pass TD</x:v>
      </x:c>
      <x:c r="I5" s="66" t="str">
        <x:v>Rush Yds</x:v>
      </x:c>
      <x:c r="J5" s="66" t="str">
        <x:v>Rush TD</x:v>
      </x:c>
      <x:c r="K5" s="66" t="str">
        <x:v>INT</x:v>
      </x:c>
      <x:c r="L5" s="66" t="str">
        <x:v>FUM</x:v>
      </x:c>
      <x:c r="M5" s="66" t="str">
        <x:v>Rank</x:v>
      </x:c>
      <x:c r="N5" s="66" t="str">
        <x:v>PPG</x:v>
      </x:c>
      <x:c r="O5" s="66" t="str">
        <x:v>Pass Yds</x:v>
      </x:c>
      <x:c r="P5" s="66" t="str">
        <x:v>Pass TD</x:v>
      </x:c>
      <x:c r="Q5" s="66" t="str">
        <x:v>Rush Yds</x:v>
      </x:c>
      <x:c r="R5" s="66" t="str">
        <x:v>Rush TD</x:v>
      </x:c>
      <x:c r="S5" s="66" t="str">
        <x:v>INT</x:v>
      </x:c>
      <x:c r="T5" s="66" t="str">
        <x:v>FUM</x:v>
      </x:c>
      <x:c r="U5" s="66" t="str">
        <x:v>Rank</x:v>
      </x:c>
      <x:c r="V5" s="66" t="str">
        <x:v>PPG</x:v>
      </x:c>
      <x:c r="W5" s="66" t="str">
        <x:v>Pass Yds</x:v>
      </x:c>
      <x:c r="X5" s="66" t="str">
        <x:v>Pass TD</x:v>
      </x:c>
      <x:c r="Y5" s="66" t="str">
        <x:v>Rush Yds</x:v>
      </x:c>
      <x:c r="Z5" s="66" t="str">
        <x:v>Rush TD</x:v>
      </x:c>
      <x:c r="AA5" s="66" t="str">
        <x:v>INT</x:v>
      </x:c>
      <x:c r="AB5" s="66" t="str">
        <x:v>FUM</x:v>
      </x:c>
      <x:c r="AC5" s="66" t="str">
        <x:v>Avg Rank</x:v>
      </x:c>
      <x:c r="AD5" s="66" t="str">
        <x:v>Rank Spread</x:v>
      </x:c>
      <x:c r="AE5" s="66" t="str">
        <x:v>Avg PPG</x:v>
      </x:c>
      <x:c r="AF5" s="66" t="str">
        <x:v>Avg Pass Yds</x:v>
      </x:c>
      <x:c r="AG5" s="66" t="str">
        <x:v>Avg Pass TD</x:v>
      </x:c>
      <x:c r="AH5" s="66" t="str">
        <x:v>Avg Rush Yds</x:v>
      </x:c>
      <x:c r="AI5" s="66" t="str">
        <x:v>Avg Rush TD</x:v>
      </x:c>
      <x:c r="AJ5" s="66" t="str">
        <x:v>Avg INT</x:v>
      </x:c>
      <x:c r="AK5" s="67" t="str">
        <x:v>Avg FUM</x:v>
      </x:c>
    </x:row>
    <x:row r="6">
      <x:c r="A6" s="101" t="str">
        <x:v>Josh Allen</x:v>
      </x:c>
      <x:c r="B6" s="102" t="str">
        <x:v>QB</x:v>
      </x:c>
      <x:c r="C6" s="102" t="str">
        <x:v>BUF</x:v>
      </x:c>
      <x:c r="D6" s="103" t="n">
        <x:v>7</x:v>
      </x:c>
      <x:c r="E6" s="103" t="n">
        <x:f>IFERROR(VLOOKUP($A6,'Mike QB'!$A$6:$L$40,4,FALSE),"")</x:f>
        <x:v>1</x:v>
      </x:c>
      <x:c r="F6" s="104" t="n">
        <x:f>IFERROR(VLOOKUP($A6,'Mike QB'!$A$6:$L$40,5,FALSE),"")</x:f>
        <x:v>19.4</x:v>
      </x:c>
      <x:c r="G6" s="105" t="n">
        <x:f>IFERROR(VLOOKUP($A6,'Mike QB'!$A$6:$L$40,6,FALSE),"")</x:f>
        <x:v>3800</x:v>
      </x:c>
      <x:c r="H6" s="105" t="n">
        <x:f>IFERROR(VLOOKUP($A6,'Mike QB'!$A$6:$L$40,7,FALSE),"")</x:f>
        <x:v>28</x:v>
      </x:c>
      <x:c r="I6" s="105" t="n">
        <x:f>IFERROR(VLOOKUP($A6,'Mike QB'!$A$6:$L$40,8,FALSE),"")</x:f>
        <x:v>568</x:v>
      </x:c>
      <x:c r="J6" s="105" t="n">
        <x:f>IFERROR(VLOOKUP($A6,'Mike QB'!$A$6:$L$40,9,FALSE),"")</x:f>
        <x:v>9</x:v>
      </x:c>
      <x:c r="K6" s="105" t="n">
        <x:f>IFERROR(VLOOKUP($A6,'Mike QB'!$A$6:$L$40,10,FALSE),"")</x:f>
        <x:v>11</x:v>
      </x:c>
      <x:c r="L6" s="105" t="n">
        <x:f>IFERROR(VLOOKUP($A6,'Mike QB'!$A$6:$L$40,11,FALSE),"")</x:f>
        <x:v>7</x:v>
      </x:c>
      <x:c r="M6" s="103" t="n">
        <x:f>IFERROR(VLOOKUP($A6,'Andy QB'!$A$6:$L$41,4,FALSE),"")</x:f>
        <x:v>1</x:v>
      </x:c>
      <x:c r="N6" s="104" t="n">
        <x:f>IFERROR(VLOOKUP($A6,'Andy QB'!$A$6:$L$41,5,FALSE),"")</x:f>
        <x:v>21.7</x:v>
      </x:c>
      <x:c r="O6" s="105" t="n">
        <x:f>IFERROR(VLOOKUP($A6,'Andy QB'!$A$6:$L$41,6,FALSE),"")</x:f>
        <x:v>3850</x:v>
      </x:c>
      <x:c r="P6" s="105" t="n">
        <x:f>IFERROR(VLOOKUP($A6,'Andy QB'!$A$6:$L$41,7,FALSE),"")</x:f>
        <x:v>30</x:v>
      </x:c>
      <x:c r="Q6" s="105" t="n">
        <x:f>IFERROR(VLOOKUP($A6,'Andy QB'!$A$6:$L$41,8,FALSE),"")</x:f>
        <x:v>600</x:v>
      </x:c>
      <x:c r="R6" s="105" t="n">
        <x:f>IFERROR(VLOOKUP($A6,'Andy QB'!$A$6:$L$41,9,FALSE),"")</x:f>
        <x:v>12</x:v>
      </x:c>
      <x:c r="S6" s="105" t="n">
        <x:f>IFERROR(VLOOKUP($A6,'Andy QB'!$A$6:$L$41,10,FALSE),"")</x:f>
        <x:v>10</x:v>
      </x:c>
      <x:c r="T6" s="105" t="n">
        <x:f>IFERROR(VLOOKUP($A6,'Andy QB'!$A$6:$L$41,11,FALSE),"")</x:f>
        <x:v>4</x:v>
      </x:c>
      <x:c r="U6" s="103" t="n">
        <x:f>IFERROR(VLOOKUP($A6,'Jason QB'!$A$6:$L$41,4,FALSE),"")</x:f>
        <x:v>1</x:v>
      </x:c>
      <x:c r="V6" s="104" t="n">
        <x:f>IFERROR(VLOOKUP($A6,'Jason QB'!$A$6:$L$41,5,FALSE),"")</x:f>
        <x:v>21.9</x:v>
      </x:c>
      <x:c r="W6" s="105" t="n">
        <x:f>IFERROR(VLOOKUP($A6,'Jason QB'!$A$6:$L$41,6,FALSE),"")</x:f>
        <x:v>4176</x:v>
      </x:c>
      <x:c r="X6" s="105" t="n">
        <x:f>IFERROR(VLOOKUP($A6,'Jason QB'!$A$6:$L$41,7,FALSE),"")</x:f>
        <x:v>32</x:v>
      </x:c>
      <x:c r="Y6" s="105" t="n">
        <x:f>IFERROR(VLOOKUP($A6,'Jason QB'!$A$6:$L$41,8,FALSE),"")</x:f>
        <x:v>560</x:v>
      </x:c>
      <x:c r="Z6" s="105" t="n">
        <x:f>IFERROR(VLOOKUP($A6,'Jason QB'!$A$6:$L$41,9,FALSE),"")</x:f>
        <x:v>11</x:v>
      </x:c>
      <x:c r="AA6" s="105" t="n">
        <x:f>IFERROR(VLOOKUP($A6,'Jason QB'!$A$6:$L$41,10,FALSE),"")</x:f>
        <x:v>11</x:v>
      </x:c>
      <x:c r="AB6" s="105" t="n">
        <x:f>IFERROR(VLOOKUP($A6,'Jason QB'!$A$6:$L$41,11,FALSE),"")</x:f>
        <x:v>6</x:v>
      </x:c>
      <x:c r="AC6" s="104" t="n">
        <x:f>IF(COUNT(E6,M6,U6)=0,"",AVERAGE(E6,M6,U6))</x:f>
        <x:v>1</x:v>
      </x:c>
      <x:c r="AD6" s="104" t="n">
        <x:f>IF(COUNT(E6,M6,U6)=0,"",MAX(E6,M6,U6)-MIN(E6,M6,U6))</x:f>
        <x:v>0</x:v>
      </x:c>
      <x:c r="AE6" s="104" t="n">
        <x:f>IF(COUNT(F6,N6,V6)=0,"",AVERAGE(F6,N6,V6))</x:f>
        <x:v>20.999999999999996</x:v>
      </x:c>
      <x:c r="AF6" s="106" t="n">
        <x:f>IF(COUNT(G6,O6,W6)=0,"",AVERAGE(G6,O6,W6))</x:f>
        <x:v>3942</x:v>
      </x:c>
      <x:c r="AG6" s="106" t="n">
        <x:f>IF(COUNT(H6,P6,X6)=0,"",AVERAGE(H6,P6,X6))</x:f>
        <x:v>30</x:v>
      </x:c>
      <x:c r="AH6" s="106" t="n">
        <x:f>IF(COUNT(I6,Q6,Y6)=0,"",AVERAGE(I6,Q6,Y6))</x:f>
        <x:v>576</x:v>
      </x:c>
      <x:c r="AI6" s="106" t="n">
        <x:f>IF(COUNT(J6,R6,Z6)=0,"",AVERAGE(J6,R6,Z6))</x:f>
        <x:v>10.666666666666666</x:v>
      </x:c>
      <x:c r="AJ6" s="106" t="n">
        <x:f>IF(COUNT(K6,S6,AA6)=0,"",AVERAGE(K6,S6,AA6))</x:f>
        <x:v>10.666666666666666</x:v>
      </x:c>
      <x:c r="AK6" s="106" t="n">
        <x:f>IF(COUNT(L6,T6,AB6)=0,"",AVERAGE(L6,T6,AB6))</x:f>
        <x:v>5.666666666666667</x:v>
      </x:c>
    </x:row>
    <x:row r="7">
      <x:c r="A7" s="107" t="str">
        <x:v>Lamar Jackson</x:v>
      </x:c>
      <x:c r="B7" s="108" t="str">
        <x:v>QB</x:v>
      </x:c>
      <x:c r="C7" s="108" t="str">
        <x:v>BAL</x:v>
      </x:c>
      <x:c r="D7" s="109" t="n">
        <x:v>13</x:v>
      </x:c>
      <x:c r="E7" s="109" t="n">
        <x:f>IFERROR(VLOOKUP($A7,'Mike QB'!$A$6:$L$40,4,FALSE),"")</x:f>
        <x:v>2</x:v>
      </x:c>
      <x:c r="F7" s="110" t="n">
        <x:f>IFERROR(VLOOKUP($A7,'Mike QB'!$A$6:$L$40,5,FALSE),"")</x:f>
        <x:v>19.1</x:v>
      </x:c>
      <x:c r="G7" s="111" t="n">
        <x:f>IFERROR(VLOOKUP($A7,'Mike QB'!$A$6:$L$40,6,FALSE),"")</x:f>
        <x:v>3648</x:v>
      </x:c>
      <x:c r="H7" s="111" t="n">
        <x:f>IFERROR(VLOOKUP($A7,'Mike QB'!$A$6:$L$40,7,FALSE),"")</x:f>
        <x:v>29</x:v>
      </x:c>
      <x:c r="I7" s="111" t="n">
        <x:f>IFERROR(VLOOKUP($A7,'Mike QB'!$A$6:$L$40,8,FALSE),"")</x:f>
        <x:v>614</x:v>
      </x:c>
      <x:c r="J7" s="111" t="n">
        <x:f>IFERROR(VLOOKUP($A7,'Mike QB'!$A$6:$L$40,9,FALSE),"")</x:f>
        <x:v>6</x:v>
      </x:c>
      <x:c r="K7" s="111" t="n">
        <x:f>IFERROR(VLOOKUP($A7,'Mike QB'!$A$6:$L$40,10,FALSE),"")</x:f>
        <x:v>8</x:v>
      </x:c>
      <x:c r="L7" s="111" t="n">
        <x:f>IFERROR(VLOOKUP($A7,'Mike QB'!$A$6:$L$40,11,FALSE),"")</x:f>
        <x:v>7</x:v>
      </x:c>
      <x:c r="M7" s="109" t="n">
        <x:f>IFERROR(VLOOKUP($A7,'Andy QB'!$A$6:$L$41,4,FALSE),"")</x:f>
        <x:v>2</x:v>
      </x:c>
      <x:c r="N7" s="110" t="n">
        <x:f>IFERROR(VLOOKUP($A7,'Andy QB'!$A$6:$L$41,5,FALSE),"")</x:f>
        <x:v>19.1</x:v>
      </x:c>
      <x:c r="O7" s="111" t="n">
        <x:f>IFERROR(VLOOKUP($A7,'Andy QB'!$A$6:$L$41,6,FALSE),"")</x:f>
        <x:v>3600</x:v>
      </x:c>
      <x:c r="P7" s="111" t="n">
        <x:f>IFERROR(VLOOKUP($A7,'Andy QB'!$A$6:$L$41,7,FALSE),"")</x:f>
        <x:v>27</x:v>
      </x:c>
      <x:c r="Q7" s="111" t="n">
        <x:f>IFERROR(VLOOKUP($A7,'Andy QB'!$A$6:$L$41,8,FALSE),"")</x:f>
        <x:v>780</x:v>
      </x:c>
      <x:c r="R7" s="111" t="n">
        <x:f>IFERROR(VLOOKUP($A7,'Andy QB'!$A$6:$L$41,9,FALSE),"")</x:f>
        <x:v>5</x:v>
      </x:c>
      <x:c r="S7" s="111" t="n">
        <x:f>IFERROR(VLOOKUP($A7,'Andy QB'!$A$6:$L$41,10,FALSE),"")</x:f>
        <x:v>9</x:v>
      </x:c>
      <x:c r="T7" s="111" t="n">
        <x:f>IFERROR(VLOOKUP($A7,'Andy QB'!$A$6:$L$41,11,FALSE),"")</x:f>
        <x:v>4</x:v>
      </x:c>
      <x:c r="U7" s="109" t="n">
        <x:f>IFERROR(VLOOKUP($A7,'Jason QB'!$A$6:$L$41,4,FALSE),"")</x:f>
        <x:v>3</x:v>
      </x:c>
      <x:c r="V7" s="110" t="n">
        <x:f>IFERROR(VLOOKUP($A7,'Jason QB'!$A$6:$L$41,5,FALSE),"")</x:f>
        <x:v>19.2</x:v>
      </x:c>
      <x:c r="W7" s="111" t="n">
        <x:f>IFERROR(VLOOKUP($A7,'Jason QB'!$A$6:$L$41,6,FALSE),"")</x:f>
        <x:v>3720</x:v>
      </x:c>
      <x:c r="X7" s="111" t="n">
        <x:f>IFERROR(VLOOKUP($A7,'Jason QB'!$A$6:$L$41,7,FALSE),"")</x:f>
        <x:v>30</x:v>
      </x:c>
      <x:c r="Y7" s="111" t="n">
        <x:f>IFERROR(VLOOKUP($A7,'Jason QB'!$A$6:$L$41,8,FALSE),"")</x:f>
        <x:v>620</x:v>
      </x:c>
      <x:c r="Z7" s="111" t="n">
        <x:f>IFERROR(VLOOKUP($A7,'Jason QB'!$A$6:$L$41,9,FALSE),"")</x:f>
        <x:v>6</x:v>
      </x:c>
      <x:c r="AA7" s="111" t="n">
        <x:f>IFERROR(VLOOKUP($A7,'Jason QB'!$A$6:$L$41,10,FALSE),"")</x:f>
        <x:v>9</x:v>
      </x:c>
      <x:c r="AB7" s="111" t="n">
        <x:f>IFERROR(VLOOKUP($A7,'Jason QB'!$A$6:$L$41,11,FALSE),"")</x:f>
        <x:v>5</x:v>
      </x:c>
      <x:c r="AC7" s="110" t="n">
        <x:f>IF(COUNT(E7,M7,U7)=0,"",AVERAGE(E7,M7,U7))</x:f>
        <x:v>2.3333333333333335</x:v>
      </x:c>
      <x:c r="AD7" s="110" t="n">
        <x:f>IF(COUNT(E7,M7,U7)=0,"",MAX(E7,M7,U7)-MIN(E7,M7,U7))</x:f>
        <x:v>1</x:v>
      </x:c>
      <x:c r="AE7" s="110" t="n">
        <x:f>IF(COUNT(F7,N7,V7)=0,"",AVERAGE(F7,N7,V7))</x:f>
        <x:v>19.133333333333336</x:v>
      </x:c>
      <x:c r="AF7" s="112" t="n">
        <x:f>IF(COUNT(G7,O7,W7)=0,"",AVERAGE(G7,O7,W7))</x:f>
        <x:v>3656</x:v>
      </x:c>
      <x:c r="AG7" s="112" t="n">
        <x:f>IF(COUNT(H7,P7,X7)=0,"",AVERAGE(H7,P7,X7))</x:f>
        <x:v>28.666666666666668</x:v>
      </x:c>
      <x:c r="AH7" s="112" t="n">
        <x:f>IF(COUNT(I7,Q7,Y7)=0,"",AVERAGE(I7,Q7,Y7))</x:f>
        <x:v>671.3333333333334</x:v>
      </x:c>
      <x:c r="AI7" s="112" t="n">
        <x:f>IF(COUNT(J7,R7,Z7)=0,"",AVERAGE(J7,R7,Z7))</x:f>
        <x:v>5.666666666666667</x:v>
      </x:c>
      <x:c r="AJ7" s="112" t="n">
        <x:f>IF(COUNT(K7,S7,AA7)=0,"",AVERAGE(K7,S7,AA7))</x:f>
        <x:v>8.666666666666666</x:v>
      </x:c>
      <x:c r="AK7" s="112" t="n">
        <x:f>IF(COUNT(L7,T7,AB7)=0,"",AVERAGE(L7,T7,AB7))</x:f>
        <x:v>5.333333333333333</x:v>
      </x:c>
    </x:row>
    <x:row r="8">
      <x:c r="A8" s="107" t="str">
        <x:v>Jalen Hurts</x:v>
      </x:c>
      <x:c r="B8" s="108" t="str">
        <x:v>QB</x:v>
      </x:c>
      <x:c r="C8" s="108" t="str">
        <x:v>PHI</x:v>
      </x:c>
      <x:c r="D8" s="109" t="n">
        <x:v>10</x:v>
      </x:c>
      <x:c r="E8" s="109" t="n">
        <x:f>IFERROR(VLOOKUP($A8,'Mike QB'!$A$6:$L$40,4,FALSE),"")</x:f>
        <x:v>4</x:v>
      </x:c>
      <x:c r="F8" s="110" t="n">
        <x:f>IFERROR(VLOOKUP($A8,'Mike QB'!$A$6:$L$40,5,FALSE),"")</x:f>
        <x:v>18.4</x:v>
      </x:c>
      <x:c r="G8" s="111" t="n">
        <x:f>IFERROR(VLOOKUP($A8,'Mike QB'!$A$6:$L$40,6,FALSE),"")</x:f>
        <x:v>3380</x:v>
      </x:c>
      <x:c r="H8" s="111" t="n">
        <x:f>IFERROR(VLOOKUP($A8,'Mike QB'!$A$6:$L$40,7,FALSE),"")</x:f>
        <x:v>27</x:v>
      </x:c>
      <x:c r="I8" s="111" t="n">
        <x:f>IFERROR(VLOOKUP($A8,'Mike QB'!$A$6:$L$40,8,FALSE),"")</x:f>
        <x:v>474</x:v>
      </x:c>
      <x:c r="J8" s="111" t="n">
        <x:f>IFERROR(VLOOKUP($A8,'Mike QB'!$A$6:$L$40,9,FALSE),"")</x:f>
        <x:v>11</x:v>
      </x:c>
      <x:c r="K8" s="111" t="n">
        <x:f>IFERROR(VLOOKUP($A8,'Mike QB'!$A$6:$L$40,10,FALSE),"")</x:f>
        <x:v>9</x:v>
      </x:c>
      <x:c r="L8" s="111" t="n">
        <x:f>IFERROR(VLOOKUP($A8,'Mike QB'!$A$6:$L$40,11,FALSE),"")</x:f>
        <x:v>8</x:v>
      </x:c>
      <x:c r="M8" s="109" t="n">
        <x:f>IFERROR(VLOOKUP($A8,'Andy QB'!$A$6:$L$41,4,FALSE),"")</x:f>
        <x:v>3</x:v>
      </x:c>
      <x:c r="N8" s="110" t="n">
        <x:f>IFERROR(VLOOKUP($A8,'Andy QB'!$A$6:$L$41,5,FALSE),"")</x:f>
        <x:v>18.4</x:v>
      </x:c>
      <x:c r="O8" s="111" t="n">
        <x:f>IFERROR(VLOOKUP($A8,'Andy QB'!$A$6:$L$41,6,FALSE),"")</x:f>
        <x:v>3399</x:v>
      </x:c>
      <x:c r="P8" s="111" t="n">
        <x:f>IFERROR(VLOOKUP($A8,'Andy QB'!$A$6:$L$41,7,FALSE),"")</x:f>
        <x:v>27</x:v>
      </x:c>
      <x:c r="Q8" s="111" t="n">
        <x:f>IFERROR(VLOOKUP($A8,'Andy QB'!$A$6:$L$41,8,FALSE),"")</x:f>
        <x:v>446</x:v>
      </x:c>
      <x:c r="R8" s="111" t="n">
        <x:f>IFERROR(VLOOKUP($A8,'Andy QB'!$A$6:$L$41,9,FALSE),"")</x:f>
        <x:v>9</x:v>
      </x:c>
      <x:c r="S8" s="111" t="n">
        <x:f>IFERROR(VLOOKUP($A8,'Andy QB'!$A$6:$L$41,10,FALSE),"")</x:f>
        <x:v>6</x:v>
      </x:c>
      <x:c r="T8" s="111" t="n">
        <x:f>IFERROR(VLOOKUP($A8,'Andy QB'!$A$6:$L$41,11,FALSE),"")</x:f>
        <x:v>3</x:v>
      </x:c>
      <x:c r="U8" s="109" t="n">
        <x:f>IFERROR(VLOOKUP($A8,'Jason QB'!$A$6:$L$41,4,FALSE),"")</x:f>
        <x:v>2</x:v>
      </x:c>
      <x:c r="V8" s="110" t="n">
        <x:f>IFERROR(VLOOKUP($A8,'Jason QB'!$A$6:$L$41,5,FALSE),"")</x:f>
        <x:v>19.2</x:v>
      </x:c>
      <x:c r="W8" s="111" t="n">
        <x:f>IFERROR(VLOOKUP($A8,'Jason QB'!$A$6:$L$41,6,FALSE),"")</x:f>
        <x:v>3890</x:v>
      </x:c>
      <x:c r="X8" s="111" t="n">
        <x:f>IFERROR(VLOOKUP($A8,'Jason QB'!$A$6:$L$41,7,FALSE),"")</x:f>
        <x:v>26</x:v>
      </x:c>
      <x:c r="Y8" s="111" t="n">
        <x:f>IFERROR(VLOOKUP($A8,'Jason QB'!$A$6:$L$41,8,FALSE),"")</x:f>
        <x:v>430</x:v>
      </x:c>
      <x:c r="Z8" s="111" t="n">
        <x:f>IFERROR(VLOOKUP($A8,'Jason QB'!$A$6:$L$41,9,FALSE),"")</x:f>
        <x:v>10</x:v>
      </x:c>
      <x:c r="AA8" s="111" t="n">
        <x:f>IFERROR(VLOOKUP($A8,'Jason QB'!$A$6:$L$41,10,FALSE),"")</x:f>
        <x:v>9</x:v>
      </x:c>
      <x:c r="AB8" s="111" t="n">
        <x:f>IFERROR(VLOOKUP($A8,'Jason QB'!$A$6:$L$41,11,FALSE),"")</x:f>
        <x:v>4</x:v>
      </x:c>
      <x:c r="AC8" s="110" t="n">
        <x:f>IF(COUNT(E8,M8,U8)=0,"",AVERAGE(E8,M8,U8))</x:f>
        <x:v>3</x:v>
      </x:c>
      <x:c r="AD8" s="110" t="n">
        <x:f>IF(COUNT(E8,M8,U8)=0,"",MAX(E8,M8,U8)-MIN(E8,M8,U8))</x:f>
        <x:v>2</x:v>
      </x:c>
      <x:c r="AE8" s="110" t="n">
        <x:f>IF(COUNT(F8,N8,V8)=0,"",AVERAGE(F8,N8,V8))</x:f>
        <x:v>18.666666666666668</x:v>
      </x:c>
      <x:c r="AF8" s="112" t="n">
        <x:f>IF(COUNT(G8,O8,W8)=0,"",AVERAGE(G8,O8,W8))</x:f>
        <x:v>3556.3333333333335</x:v>
      </x:c>
      <x:c r="AG8" s="112" t="n">
        <x:f>IF(COUNT(H8,P8,X8)=0,"",AVERAGE(H8,P8,X8))</x:f>
        <x:v>26.666666666666668</x:v>
      </x:c>
      <x:c r="AH8" s="112" t="n">
        <x:f>IF(COUNT(I8,Q8,Y8)=0,"",AVERAGE(I8,Q8,Y8))</x:f>
        <x:v>450</x:v>
      </x:c>
      <x:c r="AI8" s="112" t="n">
        <x:f>IF(COUNT(J8,R8,Z8)=0,"",AVERAGE(J8,R8,Z8))</x:f>
        <x:v>10</x:v>
      </x:c>
      <x:c r="AJ8" s="112" t="n">
        <x:f>IF(COUNT(K8,S8,AA8)=0,"",AVERAGE(K8,S8,AA8))</x:f>
        <x:v>8</x:v>
      </x:c>
      <x:c r="AK8" s="112" t="n">
        <x:f>IF(COUNT(L8,T8,AB8)=0,"",AVERAGE(L8,T8,AB8))</x:f>
        <x:v>5</x:v>
      </x:c>
    </x:row>
    <x:row r="9">
      <x:c r="A9" s="107" t="str">
        <x:v>Jayden Daniels</x:v>
      </x:c>
      <x:c r="B9" s="108" t="str">
        <x:v>QB</x:v>
      </x:c>
      <x:c r="C9" s="108" t="str">
        <x:v>WAS</x:v>
      </x:c>
      <x:c r="D9" s="109" t="n">
        <x:v>7</x:v>
      </x:c>
      <x:c r="E9" s="109" t="n">
        <x:f>IFERROR(VLOOKUP($A9,'Mike QB'!$A$6:$L$40,4,FALSE),"")</x:f>
        <x:v>3</x:v>
      </x:c>
      <x:c r="F9" s="110" t="n">
        <x:f>IFERROR(VLOOKUP($A9,'Mike QB'!$A$6:$L$40,5,FALSE),"")</x:f>
        <x:v>18.4</x:v>
      </x:c>
      <x:c r="G9" s="111" t="n">
        <x:f>IFERROR(VLOOKUP($A9,'Mike QB'!$A$6:$L$40,6,FALSE),"")</x:f>
        <x:v>3594</x:v>
      </x:c>
      <x:c r="H9" s="111" t="n">
        <x:f>IFERROR(VLOOKUP($A9,'Mike QB'!$A$6:$L$40,7,FALSE),"")</x:f>
        <x:v>26</x:v>
      </x:c>
      <x:c r="I9" s="111" t="n">
        <x:f>IFERROR(VLOOKUP($A9,'Mike QB'!$A$6:$L$40,8,FALSE),"")</x:f>
        <x:v>670</x:v>
      </x:c>
      <x:c r="J9" s="111" t="n">
        <x:f>IFERROR(VLOOKUP($A9,'Mike QB'!$A$6:$L$40,9,FALSE),"")</x:f>
        <x:v>6</x:v>
      </x:c>
      <x:c r="K9" s="111" t="n">
        <x:f>IFERROR(VLOOKUP($A9,'Mike QB'!$A$6:$L$40,10,FALSE),"")</x:f>
        <x:v>10</x:v>
      </x:c>
      <x:c r="L9" s="111" t="n">
        <x:f>IFERROR(VLOOKUP($A9,'Mike QB'!$A$6:$L$40,11,FALSE),"")</x:f>
        <x:v>4</x:v>
      </x:c>
      <x:c r="M9" s="109" t="n">
        <x:f>IFERROR(VLOOKUP($A9,'Andy QB'!$A$6:$L$41,4,FALSE),"")</x:f>
        <x:v>6</x:v>
      </x:c>
      <x:c r="N9" s="110" t="n">
        <x:f>IFERROR(VLOOKUP($A9,'Andy QB'!$A$6:$L$41,5,FALSE),"")</x:f>
        <x:v>18.1</x:v>
      </x:c>
      <x:c r="O9" s="111" t="n">
        <x:f>IFERROR(VLOOKUP($A9,'Andy QB'!$A$6:$L$41,6,FALSE),"")</x:f>
        <x:v>4050</x:v>
      </x:c>
      <x:c r="P9" s="111" t="n">
        <x:f>IFERROR(VLOOKUP($A9,'Andy QB'!$A$6:$L$41,7,FALSE),"")</x:f>
        <x:v>26</x:v>
      </x:c>
      <x:c r="Q9" s="111" t="n">
        <x:f>IFERROR(VLOOKUP($A9,'Andy QB'!$A$6:$L$41,8,FALSE),"")</x:f>
        <x:v>520</x:v>
      </x:c>
      <x:c r="R9" s="111" t="n">
        <x:f>IFERROR(VLOOKUP($A9,'Andy QB'!$A$6:$L$41,9,FALSE),"")</x:f>
        <x:v>5</x:v>
      </x:c>
      <x:c r="S9" s="111" t="n">
        <x:f>IFERROR(VLOOKUP($A9,'Andy QB'!$A$6:$L$41,10,FALSE),"")</x:f>
        <x:v>11</x:v>
      </x:c>
      <x:c r="T9" s="111" t="n">
        <x:f>IFERROR(VLOOKUP($A9,'Andy QB'!$A$6:$L$41,11,FALSE),"")</x:f>
        <x:v>4</x:v>
      </x:c>
      <x:c r="U9" s="109" t="n">
        <x:f>IFERROR(VLOOKUP($A9,'Jason QB'!$A$6:$L$41,4,FALSE),"")</x:f>
        <x:v>7</x:v>
      </x:c>
      <x:c r="V9" s="110" t="n">
        <x:f>IFERROR(VLOOKUP($A9,'Jason QB'!$A$6:$L$41,5,FALSE),"")</x:f>
        <x:v>18.8</x:v>
      </x:c>
      <x:c r="W9" s="111" t="n">
        <x:f>IFERROR(VLOOKUP($A9,'Jason QB'!$A$6:$L$41,6,FALSE),"")</x:f>
        <x:v>3921</x:v>
      </x:c>
      <x:c r="X9" s="111" t="n">
        <x:f>IFERROR(VLOOKUP($A9,'Jason QB'!$A$6:$L$41,7,FALSE),"")</x:f>
        <x:v>28</x:v>
      </x:c>
      <x:c r="Y9" s="111" t="n">
        <x:f>IFERROR(VLOOKUP($A9,'Jason QB'!$A$6:$L$41,8,FALSE),"")</x:f>
        <x:v>651</x:v>
      </x:c>
      <x:c r="Z9" s="111" t="n">
        <x:f>IFERROR(VLOOKUP($A9,'Jason QB'!$A$6:$L$41,9,FALSE),"")</x:f>
        <x:v>6</x:v>
      </x:c>
      <x:c r="AA9" s="111" t="n">
        <x:f>IFERROR(VLOOKUP($A9,'Jason QB'!$A$6:$L$41,10,FALSE),"")</x:f>
        <x:v>12</x:v>
      </x:c>
      <x:c r="AB9" s="111" t="n">
        <x:f>IFERROR(VLOOKUP($A9,'Jason QB'!$A$6:$L$41,11,FALSE),"")</x:f>
        <x:v>5</x:v>
      </x:c>
      <x:c r="AC9" s="110" t="n">
        <x:f>IF(COUNT(E9,M9,U9)=0,"",AVERAGE(E9,M9,U9))</x:f>
        <x:v>5.333333333333333</x:v>
      </x:c>
      <x:c r="AD9" s="110" t="n">
        <x:f>IF(COUNT(E9,M9,U9)=0,"",MAX(E9,M9,U9)-MIN(E9,M9,U9))</x:f>
        <x:v>4</x:v>
      </x:c>
      <x:c r="AE9" s="110" t="n">
        <x:f>IF(COUNT(F9,N9,V9)=0,"",AVERAGE(F9,N9,V9))</x:f>
        <x:v>18.433333333333334</x:v>
      </x:c>
      <x:c r="AF9" s="112" t="n">
        <x:f>IF(COUNT(G9,O9,W9)=0,"",AVERAGE(G9,O9,W9))</x:f>
        <x:v>3855</x:v>
      </x:c>
      <x:c r="AG9" s="112" t="n">
        <x:f>IF(COUNT(H9,P9,X9)=0,"",AVERAGE(H9,P9,X9))</x:f>
        <x:v>26.666666666666668</x:v>
      </x:c>
      <x:c r="AH9" s="112" t="n">
        <x:f>IF(COUNT(I9,Q9,Y9)=0,"",AVERAGE(I9,Q9,Y9))</x:f>
        <x:v>613.6666666666666</x:v>
      </x:c>
      <x:c r="AI9" s="112" t="n">
        <x:f>IF(COUNT(J9,R9,Z9)=0,"",AVERAGE(J9,R9,Z9))</x:f>
        <x:v>5.666666666666667</x:v>
      </x:c>
      <x:c r="AJ9" s="112" t="n">
        <x:f>IF(COUNT(K9,S9,AA9)=0,"",AVERAGE(K9,S9,AA9))</x:f>
        <x:v>11</x:v>
      </x:c>
      <x:c r="AK9" s="112" t="n">
        <x:f>IF(COUNT(L9,T9,AB9)=0,"",AVERAGE(L9,T9,AB9))</x:f>
        <x:v>4.333333333333333</x:v>
      </x:c>
    </x:row>
    <x:row r="10">
      <x:c r="A10" s="107" t="str">
        <x:v>Joe Burrow</x:v>
      </x:c>
      <x:c r="B10" s="108" t="str">
        <x:v>QB</x:v>
      </x:c>
      <x:c r="C10" s="108" t="str">
        <x:v>CIN</x:v>
      </x:c>
      <x:c r="D10" s="109" t="n">
        <x:v>6</x:v>
      </x:c>
      <x:c r="E10" s="109" t="n">
        <x:f>IFERROR(VLOOKUP($A10,'Mike QB'!$A$6:$L$40,4,FALSE),"")</x:f>
        <x:v>5</x:v>
      </x:c>
      <x:c r="F10" s="110" t="n">
        <x:f>IFERROR(VLOOKUP($A10,'Mike QB'!$A$6:$L$40,5,FALSE),"")</x:f>
        <x:v>18.3</x:v>
      </x:c>
      <x:c r="G10" s="111" t="n">
        <x:f>IFERROR(VLOOKUP($A10,'Mike QB'!$A$6:$L$40,6,FALSE),"")</x:f>
        <x:v>4200</x:v>
      </x:c>
      <x:c r="H10" s="111" t="n">
        <x:f>IFERROR(VLOOKUP($A10,'Mike QB'!$A$6:$L$40,7,FALSE),"")</x:f>
        <x:v>39</x:v>
      </x:c>
      <x:c r="I10" s="111" t="n">
        <x:f>IFERROR(VLOOKUP($A10,'Mike QB'!$A$6:$L$40,8,FALSE),"")</x:f>
        <x:v>146</x:v>
      </x:c>
      <x:c r="J10" s="111" t="n">
        <x:f>IFERROR(VLOOKUP($A10,'Mike QB'!$A$6:$L$40,9,FALSE),"")</x:f>
        <x:v>2</x:v>
      </x:c>
      <x:c r="K10" s="111" t="n">
        <x:f>IFERROR(VLOOKUP($A10,'Mike QB'!$A$6:$L$40,10,FALSE),"")</x:f>
        <x:v>11</x:v>
      </x:c>
      <x:c r="L10" s="111" t="n">
        <x:f>IFERROR(VLOOKUP($A10,'Mike QB'!$A$6:$L$40,11,FALSE),"")</x:f>
        <x:v>3</x:v>
      </x:c>
      <x:c r="M10" s="109" t="n">
        <x:f>IFERROR(VLOOKUP($A10,'Andy QB'!$A$6:$L$41,4,FALSE),"")</x:f>
        <x:v>7</x:v>
      </x:c>
      <x:c r="N10" s="110" t="n">
        <x:f>IFERROR(VLOOKUP($A10,'Andy QB'!$A$6:$L$41,5,FALSE),"")</x:f>
        <x:v>17.9</x:v>
      </x:c>
      <x:c r="O10" s="111" t="n">
        <x:f>IFERROR(VLOOKUP($A10,'Andy QB'!$A$6:$L$41,6,FALSE),"")</x:f>
        <x:v>4393</x:v>
      </x:c>
      <x:c r="P10" s="111" t="n">
        <x:f>IFERROR(VLOOKUP($A10,'Andy QB'!$A$6:$L$41,7,FALSE),"")</x:f>
        <x:v>36</x:v>
      </x:c>
      <x:c r="Q10" s="111" t="n">
        <x:f>IFERROR(VLOOKUP($A10,'Andy QB'!$A$6:$L$41,8,FALSE),"")</x:f>
        <x:v>75</x:v>
      </x:c>
      <x:c r="R10" s="111" t="n">
        <x:f>IFERROR(VLOOKUP($A10,'Andy QB'!$A$6:$L$41,9,FALSE),"")</x:f>
        <x:v>1</x:v>
      </x:c>
      <x:c r="S10" s="111" t="n">
        <x:f>IFERROR(VLOOKUP($A10,'Andy QB'!$A$6:$L$41,10,FALSE),"")</x:f>
        <x:v>10</x:v>
      </x:c>
      <x:c r="T10" s="111" t="n">
        <x:f>IFERROR(VLOOKUP($A10,'Andy QB'!$A$6:$L$41,11,FALSE),"")</x:f>
        <x:v>0</x:v>
      </x:c>
      <x:c r="U10" s="109" t="n">
        <x:f>IFERROR(VLOOKUP($A10,'Jason QB'!$A$6:$L$41,4,FALSE),"")</x:f>
        <x:v>4</x:v>
      </x:c>
      <x:c r="V10" s="110" t="n">
        <x:f>IFERROR(VLOOKUP($A10,'Jason QB'!$A$6:$L$41,5,FALSE),"")</x:f>
        <x:v>19</x:v>
      </x:c>
      <x:c r="W10" s="111" t="n">
        <x:f>IFERROR(VLOOKUP($A10,'Jason QB'!$A$6:$L$41,6,FALSE),"")</x:f>
        <x:v>4751</x:v>
      </x:c>
      <x:c r="X10" s="111" t="n">
        <x:f>IFERROR(VLOOKUP($A10,'Jason QB'!$A$6:$L$41,7,FALSE),"")</x:f>
        <x:v>36</x:v>
      </x:c>
      <x:c r="Y10" s="111" t="n">
        <x:f>IFERROR(VLOOKUP($A10,'Jason QB'!$A$6:$L$41,8,FALSE),"")</x:f>
        <x:v>145</x:v>
      </x:c>
      <x:c r="Z10" s="111" t="n">
        <x:f>IFERROR(VLOOKUP($A10,'Jason QB'!$A$6:$L$41,9,FALSE),"")</x:f>
        <x:v>2</x:v>
      </x:c>
      <x:c r="AA10" s="111" t="n">
        <x:f>IFERROR(VLOOKUP($A10,'Jason QB'!$A$6:$L$41,10,FALSE),"")</x:f>
        <x:v>10</x:v>
      </x:c>
      <x:c r="AB10" s="111" t="n">
        <x:f>IFERROR(VLOOKUP($A10,'Jason QB'!$A$6:$L$41,11,FALSE),"")</x:f>
        <x:v>4</x:v>
      </x:c>
      <x:c r="AC10" s="110" t="n">
        <x:f>IF(COUNT(E10,M10,U10)=0,"",AVERAGE(E10,M10,U10))</x:f>
        <x:v>5.333333333333333</x:v>
      </x:c>
      <x:c r="AD10" s="110" t="n">
        <x:f>IF(COUNT(E10,M10,U10)=0,"",MAX(E10,M10,U10)-MIN(E10,M10,U10))</x:f>
        <x:v>3</x:v>
      </x:c>
      <x:c r="AE10" s="110" t="n">
        <x:f>IF(COUNT(F10,N10,V10)=0,"",AVERAGE(F10,N10,V10))</x:f>
        <x:v>18.400000000000002</x:v>
      </x:c>
      <x:c r="AF10" s="112" t="n">
        <x:f>IF(COUNT(G10,O10,W10)=0,"",AVERAGE(G10,O10,W10))</x:f>
        <x:v>4448</x:v>
      </x:c>
      <x:c r="AG10" s="112" t="n">
        <x:f>IF(COUNT(H10,P10,X10)=0,"",AVERAGE(H10,P10,X10))</x:f>
        <x:v>37</x:v>
      </x:c>
      <x:c r="AH10" s="112" t="n">
        <x:f>IF(COUNT(I10,Q10,Y10)=0,"",AVERAGE(I10,Q10,Y10))</x:f>
        <x:v>122</x:v>
      </x:c>
      <x:c r="AI10" s="112" t="n">
        <x:f>IF(COUNT(J10,R10,Z10)=0,"",AVERAGE(J10,R10,Z10))</x:f>
        <x:v>1.6666666666666667</x:v>
      </x:c>
      <x:c r="AJ10" s="112" t="n">
        <x:f>IF(COUNT(K10,S10,AA10)=0,"",AVERAGE(K10,S10,AA10))</x:f>
        <x:v>10.333333333333334</x:v>
      </x:c>
      <x:c r="AK10" s="112" t="n">
        <x:f>IF(COUNT(L10,T10,AB10)=0,"",AVERAGE(L10,T10,AB10))</x:f>
        <x:v>2.3333333333333335</x:v>
      </x:c>
    </x:row>
    <x:row r="11">
      <x:c r="A11" s="107" t="str">
        <x:v>Drake Maye</x:v>
      </x:c>
      <x:c r="B11" s="108" t="str">
        <x:v>QB</x:v>
      </x:c>
      <x:c r="C11" s="108" t="str">
        <x:v>NE</x:v>
      </x:c>
      <x:c r="D11" s="109" t="n">
        <x:v>11</x:v>
      </x:c>
      <x:c r="E11" s="109" t="n">
        <x:f>IFERROR(VLOOKUP($A11,'Mike QB'!$A$6:$L$40,4,FALSE),"")</x:f>
        <x:v>6</x:v>
      </x:c>
      <x:c r="F11" s="110" t="n">
        <x:f>IFERROR(VLOOKUP($A11,'Mike QB'!$A$6:$L$40,5,FALSE),"")</x:f>
        <x:v>18.1</x:v>
      </x:c>
      <x:c r="G11" s="111" t="n">
        <x:f>IFERROR(VLOOKUP($A11,'Mike QB'!$A$6:$L$40,6,FALSE),"")</x:f>
        <x:v>3831</x:v>
      </x:c>
      <x:c r="H11" s="111" t="n">
        <x:f>IFERROR(VLOOKUP($A11,'Mike QB'!$A$6:$L$40,7,FALSE),"")</x:f>
        <x:v>30</x:v>
      </x:c>
      <x:c r="I11" s="111" t="n">
        <x:f>IFERROR(VLOOKUP($A11,'Mike QB'!$A$6:$L$40,8,FALSE),"")</x:f>
        <x:v>508</x:v>
      </x:c>
      <x:c r="J11" s="111" t="n">
        <x:f>IFERROR(VLOOKUP($A11,'Mike QB'!$A$6:$L$40,9,FALSE),"")</x:f>
        <x:v>5</x:v>
      </x:c>
      <x:c r="K11" s="111" t="n">
        <x:f>IFERROR(VLOOKUP($A11,'Mike QB'!$A$6:$L$40,10,FALSE),"")</x:f>
        <x:v>10</x:v>
      </x:c>
      <x:c r="L11" s="111" t="n">
        <x:f>IFERROR(VLOOKUP($A11,'Mike QB'!$A$6:$L$40,11,FALSE),"")</x:f>
        <x:v>8</x:v>
      </x:c>
      <x:c r="M11" s="109" t="n">
        <x:f>IFERROR(VLOOKUP($A11,'Andy QB'!$A$6:$L$41,4,FALSE),"")</x:f>
        <x:v>5</x:v>
      </x:c>
      <x:c r="N11" s="110" t="n">
        <x:f>IFERROR(VLOOKUP($A11,'Andy QB'!$A$6:$L$41,5,FALSE),"")</x:f>
        <x:v>18.1</x:v>
      </x:c>
      <x:c r="O11" s="111" t="n">
        <x:f>IFERROR(VLOOKUP($A11,'Andy QB'!$A$6:$L$41,6,FALSE),"")</x:f>
        <x:v>4305</x:v>
      </x:c>
      <x:c r="P11" s="111" t="n">
        <x:f>IFERROR(VLOOKUP($A11,'Andy QB'!$A$6:$L$41,7,FALSE),"")</x:f>
        <x:v>30</x:v>
      </x:c>
      <x:c r="Q11" s="111" t="n">
        <x:f>IFERROR(VLOOKUP($A11,'Andy QB'!$A$6:$L$41,8,FALSE),"")</x:f>
        <x:v>335</x:v>
      </x:c>
      <x:c r="R11" s="111" t="n">
        <x:f>IFERROR(VLOOKUP($A11,'Andy QB'!$A$6:$L$41,9,FALSE),"")</x:f>
        <x:v>3</x:v>
      </x:c>
      <x:c r="S11" s="111" t="n">
        <x:f>IFERROR(VLOOKUP($A11,'Andy QB'!$A$6:$L$41,10,FALSE),"")</x:f>
        <x:v>8</x:v>
      </x:c>
      <x:c r="T11" s="111" t="n">
        <x:f>IFERROR(VLOOKUP($A11,'Andy QB'!$A$6:$L$41,11,FALSE),"")</x:f>
        <x:v>4</x:v>
      </x:c>
      <x:c r="U11" s="109" t="n">
        <x:f>IFERROR(VLOOKUP($A11,'Jason QB'!$A$6:$L$41,4,FALSE),"")</x:f>
        <x:v>6</x:v>
      </x:c>
      <x:c r="V11" s="110" t="n">
        <x:f>IFERROR(VLOOKUP($A11,'Jason QB'!$A$6:$L$41,5,FALSE),"")</x:f>
        <x:v>18.8</x:v>
      </x:c>
      <x:c r="W11" s="111" t="n">
        <x:f>IFERROR(VLOOKUP($A11,'Jason QB'!$A$6:$L$41,6,FALSE),"")</x:f>
        <x:v>4433</x:v>
      </x:c>
      <x:c r="X11" s="111" t="n">
        <x:f>IFERROR(VLOOKUP($A11,'Jason QB'!$A$6:$L$41,7,FALSE),"")</x:f>
        <x:v>30</x:v>
      </x:c>
      <x:c r="Y11" s="111" t="n">
        <x:f>IFERROR(VLOOKUP($A11,'Jason QB'!$A$6:$L$41,8,FALSE),"")</x:f>
        <x:v>428</x:v>
      </x:c>
      <x:c r="Z11" s="111" t="n">
        <x:f>IFERROR(VLOOKUP($A11,'Jason QB'!$A$6:$L$41,9,FALSE),"")</x:f>
        <x:v>3</x:v>
      </x:c>
      <x:c r="AA11" s="111" t="n">
        <x:f>IFERROR(VLOOKUP($A11,'Jason QB'!$A$6:$L$41,10,FALSE),"")</x:f>
        <x:v>11</x:v>
      </x:c>
      <x:c r="AB11" s="111" t="n">
        <x:f>IFERROR(VLOOKUP($A11,'Jason QB'!$A$6:$L$41,11,FALSE),"")</x:f>
        <x:v>3</x:v>
      </x:c>
      <x:c r="AC11" s="110" t="n">
        <x:f>IF(COUNT(E11,M11,U11)=0,"",AVERAGE(E11,M11,U11))</x:f>
        <x:v>5.666666666666667</x:v>
      </x:c>
      <x:c r="AD11" s="110" t="n">
        <x:f>IF(COUNT(E11,M11,U11)=0,"",MAX(E11,M11,U11)-MIN(E11,M11,U11))</x:f>
        <x:v>1</x:v>
      </x:c>
      <x:c r="AE11" s="110" t="n">
        <x:f>IF(COUNT(F11,N11,V11)=0,"",AVERAGE(F11,N11,V11))</x:f>
        <x:v>18.333333333333332</x:v>
      </x:c>
      <x:c r="AF11" s="112" t="n">
        <x:f>IF(COUNT(G11,O11,W11)=0,"",AVERAGE(G11,O11,W11))</x:f>
        <x:v>4189.666666666667</x:v>
      </x:c>
      <x:c r="AG11" s="112" t="n">
        <x:f>IF(COUNT(H11,P11,X11)=0,"",AVERAGE(H11,P11,X11))</x:f>
        <x:v>30</x:v>
      </x:c>
      <x:c r="AH11" s="112" t="n">
        <x:f>IF(COUNT(I11,Q11,Y11)=0,"",AVERAGE(I11,Q11,Y11))</x:f>
        <x:v>423.6666666666667</x:v>
      </x:c>
      <x:c r="AI11" s="112" t="n">
        <x:f>IF(COUNT(J11,R11,Z11)=0,"",AVERAGE(J11,R11,Z11))</x:f>
        <x:v>3.6666666666666665</x:v>
      </x:c>
      <x:c r="AJ11" s="112" t="n">
        <x:f>IF(COUNT(K11,S11,AA11)=0,"",AVERAGE(K11,S11,AA11))</x:f>
        <x:v>9.666666666666666</x:v>
      </x:c>
      <x:c r="AK11" s="112" t="n">
        <x:f>IF(COUNT(L11,T11,AB11)=0,"",AVERAGE(L11,T11,AB11))</x:f>
        <x:v>5</x:v>
      </x:c>
    </x:row>
    <x:row r="12">
      <x:c r="A12" s="107" t="str">
        <x:v>Caleb Williams</x:v>
      </x:c>
      <x:c r="B12" s="108" t="str">
        <x:v>QB</x:v>
      </x:c>
      <x:c r="C12" s="108" t="str">
        <x:v>CHI</x:v>
      </x:c>
      <x:c r="D12" s="109" t="n">
        <x:v>10</x:v>
      </x:c>
      <x:c r="E12" s="109" t="n">
        <x:f>IFERROR(VLOOKUP($A12,'Mike QB'!$A$6:$L$40,4,FALSE),"")</x:f>
        <x:v>8</x:v>
      </x:c>
      <x:c r="F12" s="110" t="n">
        <x:f>IFERROR(VLOOKUP($A12,'Mike QB'!$A$6:$L$40,5,FALSE),"")</x:f>
        <x:v>17.7</x:v>
      </x:c>
      <x:c r="G12" s="111" t="n">
        <x:f>IFERROR(VLOOKUP($A12,'Mike QB'!$A$6:$L$40,6,FALSE),"")</x:f>
        <x:v>3856</x:v>
      </x:c>
      <x:c r="H12" s="111" t="n">
        <x:f>IFERROR(VLOOKUP($A12,'Mike QB'!$A$6:$L$40,7,FALSE),"")</x:f>
        <x:v>28</x:v>
      </x:c>
      <x:c r="I12" s="111" t="n">
        <x:f>IFERROR(VLOOKUP($A12,'Mike QB'!$A$6:$L$40,8,FALSE),"")</x:f>
        <x:v>445</x:v>
      </x:c>
      <x:c r="J12" s="111" t="n">
        <x:f>IFERROR(VLOOKUP($A12,'Mike QB'!$A$6:$L$40,9,FALSE),"")</x:f>
        <x:v>5</x:v>
      </x:c>
      <x:c r="K12" s="111" t="n">
        <x:f>IFERROR(VLOOKUP($A12,'Mike QB'!$A$6:$L$40,10,FALSE),"")</x:f>
        <x:v>7</x:v>
      </x:c>
      <x:c r="L12" s="111" t="n">
        <x:f>IFERROR(VLOOKUP($A12,'Mike QB'!$A$6:$L$40,11,FALSE),"")</x:f>
        <x:v>8</x:v>
      </x:c>
      <x:c r="M12" s="109" t="n">
        <x:f>IFERROR(VLOOKUP($A12,'Andy QB'!$A$6:$L$41,4,FALSE),"")</x:f>
        <x:v>4</x:v>
      </x:c>
      <x:c r="N12" s="110" t="n">
        <x:f>IFERROR(VLOOKUP($A12,'Andy QB'!$A$6:$L$41,5,FALSE),"")</x:f>
        <x:v>18.1</x:v>
      </x:c>
      <x:c r="O12" s="111" t="n">
        <x:f>IFERROR(VLOOKUP($A12,'Andy QB'!$A$6:$L$41,6,FALSE),"")</x:f>
        <x:v>4078</x:v>
      </x:c>
      <x:c r="P12" s="111" t="n">
        <x:f>IFERROR(VLOOKUP($A12,'Andy QB'!$A$6:$L$41,7,FALSE),"")</x:f>
        <x:v>29</x:v>
      </x:c>
      <x:c r="Q12" s="111" t="n">
        <x:f>IFERROR(VLOOKUP($A12,'Andy QB'!$A$6:$L$41,8,FALSE),"")</x:f>
        <x:v>407</x:v>
      </x:c>
      <x:c r="R12" s="111" t="n">
        <x:f>IFERROR(VLOOKUP($A12,'Andy QB'!$A$6:$L$41,9,FALSE),"")</x:f>
        <x:v>3</x:v>
      </x:c>
      <x:c r="S12" s="111" t="n">
        <x:f>IFERROR(VLOOKUP($A12,'Andy QB'!$A$6:$L$41,10,FALSE),"")</x:f>
        <x:v>8</x:v>
      </x:c>
      <x:c r="T12" s="111" t="n">
        <x:f>IFERROR(VLOOKUP($A12,'Andy QB'!$A$6:$L$41,11,FALSE),"")</x:f>
        <x:v>3</x:v>
      </x:c>
      <x:c r="U12" s="109" t="n">
        <x:f>IFERROR(VLOOKUP($A12,'Jason QB'!$A$6:$L$41,4,FALSE),"")</x:f>
        <x:v>9</x:v>
      </x:c>
      <x:c r="V12" s="110" t="n">
        <x:f>IFERROR(VLOOKUP($A12,'Jason QB'!$A$6:$L$41,5,FALSE),"")</x:f>
        <x:v>18.4</x:v>
      </x:c>
      <x:c r="W12" s="111" t="n">
        <x:f>IFERROR(VLOOKUP($A12,'Jason QB'!$A$6:$L$41,6,FALSE),"")</x:f>
        <x:v>4211</x:v>
      </x:c>
      <x:c r="X12" s="111" t="n">
        <x:f>IFERROR(VLOOKUP($A12,'Jason QB'!$A$6:$L$41,7,FALSE),"")</x:f>
        <x:v>32</x:v>
      </x:c>
      <x:c r="Y12" s="111" t="n">
        <x:f>IFERROR(VLOOKUP($A12,'Jason QB'!$A$6:$L$41,8,FALSE),"")</x:f>
        <x:v>360</x:v>
      </x:c>
      <x:c r="Z12" s="111" t="n">
        <x:f>IFERROR(VLOOKUP($A12,'Jason QB'!$A$6:$L$41,9,FALSE),"")</x:f>
        <x:v>4</x:v>
      </x:c>
      <x:c r="AA12" s="111" t="n">
        <x:f>IFERROR(VLOOKUP($A12,'Jason QB'!$A$6:$L$41,10,FALSE),"")</x:f>
        <x:v>11</x:v>
      </x:c>
      <x:c r="AB12" s="111" t="n">
        <x:f>IFERROR(VLOOKUP($A12,'Jason QB'!$A$6:$L$41,11,FALSE),"")</x:f>
        <x:v>5</x:v>
      </x:c>
      <x:c r="AC12" s="110" t="n">
        <x:f>IF(COUNT(E12,M12,U12)=0,"",AVERAGE(E12,M12,U12))</x:f>
        <x:v>7</x:v>
      </x:c>
      <x:c r="AD12" s="110" t="n">
        <x:f>IF(COUNT(E12,M12,U12)=0,"",MAX(E12,M12,U12)-MIN(E12,M12,U12))</x:f>
        <x:v>5</x:v>
      </x:c>
      <x:c r="AE12" s="110" t="n">
        <x:f>IF(COUNT(F12,N12,V12)=0,"",AVERAGE(F12,N12,V12))</x:f>
        <x:v>18.066666666666666</x:v>
      </x:c>
      <x:c r="AF12" s="112" t="n">
        <x:f>IF(COUNT(G12,O12,W12)=0,"",AVERAGE(G12,O12,W12))</x:f>
        <x:v>4048.3333333333335</x:v>
      </x:c>
      <x:c r="AG12" s="112" t="n">
        <x:f>IF(COUNT(H12,P12,X12)=0,"",AVERAGE(H12,P12,X12))</x:f>
        <x:v>29.666666666666668</x:v>
      </x:c>
      <x:c r="AH12" s="112" t="n">
        <x:f>IF(COUNT(I12,Q12,Y12)=0,"",AVERAGE(I12,Q12,Y12))</x:f>
        <x:v>404</x:v>
      </x:c>
      <x:c r="AI12" s="112" t="n">
        <x:f>IF(COUNT(J12,R12,Z12)=0,"",AVERAGE(J12,R12,Z12))</x:f>
        <x:v>4</x:v>
      </x:c>
      <x:c r="AJ12" s="112" t="n">
        <x:f>IF(COUNT(K12,S12,AA12)=0,"",AVERAGE(K12,S12,AA12))</x:f>
        <x:v>8.666666666666666</x:v>
      </x:c>
      <x:c r="AK12" s="112" t="n">
        <x:f>IF(COUNT(L12,T12,AB12)=0,"",AVERAGE(L12,T12,AB12))</x:f>
        <x:v>5.333333333333333</x:v>
      </x:c>
    </x:row>
    <x:row r="13">
      <x:c r="A13" s="107" t="str">
        <x:v>Jaxson Dart</x:v>
      </x:c>
      <x:c r="B13" s="108" t="str">
        <x:v>QB</x:v>
      </x:c>
      <x:c r="C13" s="108" t="str">
        <x:v>NYG</x:v>
      </x:c>
      <x:c r="D13" s="109" t="n">
        <x:v>8</x:v>
      </x:c>
      <x:c r="E13" s="109" t="n">
        <x:f>IFERROR(VLOOKUP($A13,'Mike QB'!$A$6:$L$40,4,FALSE),"")</x:f>
        <x:v>7</x:v>
      </x:c>
      <x:c r="F13" s="110" t="n">
        <x:f>IFERROR(VLOOKUP($A13,'Mike QB'!$A$6:$L$40,5,FALSE),"")</x:f>
        <x:v>17.9</x:v>
      </x:c>
      <x:c r="G13" s="111" t="n">
        <x:f>IFERROR(VLOOKUP($A13,'Mike QB'!$A$6:$L$40,6,FALSE),"")</x:f>
        <x:v>3362</x:v>
      </x:c>
      <x:c r="H13" s="111" t="n">
        <x:f>IFERROR(VLOOKUP($A13,'Mike QB'!$A$6:$L$40,7,FALSE),"")</x:f>
        <x:v>23</x:v>
      </x:c>
      <x:c r="I13" s="111" t="n">
        <x:f>IFERROR(VLOOKUP($A13,'Mike QB'!$A$6:$L$40,8,FALSE),"")</x:f>
        <x:v>603</x:v>
      </x:c>
      <x:c r="J13" s="111" t="n">
        <x:f>IFERROR(VLOOKUP($A13,'Mike QB'!$A$6:$L$40,9,FALSE),"")</x:f>
        <x:v>8</x:v>
      </x:c>
      <x:c r="K13" s="111" t="n">
        <x:f>IFERROR(VLOOKUP($A13,'Mike QB'!$A$6:$L$40,10,FALSE),"")</x:f>
        <x:v>7</x:v>
      </x:c>
      <x:c r="L13" s="111" t="n">
        <x:f>IFERROR(VLOOKUP($A13,'Mike QB'!$A$6:$L$40,11,FALSE),"")</x:f>
        <x:v>5</x:v>
      </x:c>
      <x:c r="M13" s="109" t="n">
        <x:f>IFERROR(VLOOKUP($A13,'Andy QB'!$A$6:$L$41,4,FALSE),"")</x:f>
        <x:v>9</x:v>
      </x:c>
      <x:c r="N13" s="110" t="n">
        <x:f>IFERROR(VLOOKUP($A13,'Andy QB'!$A$6:$L$41,5,FALSE),"")</x:f>
        <x:v>17.7</x:v>
      </x:c>
      <x:c r="O13" s="111" t="n">
        <x:f>IFERROR(VLOOKUP($A13,'Andy QB'!$A$6:$L$41,6,FALSE),"")</x:f>
        <x:v>4131</x:v>
      </x:c>
      <x:c r="P13" s="111" t="n">
        <x:f>IFERROR(VLOOKUP($A13,'Andy QB'!$A$6:$L$41,7,FALSE),"")</x:f>
        <x:v>25</x:v>
      </x:c>
      <x:c r="Q13" s="111" t="n">
        <x:f>IFERROR(VLOOKUP($A13,'Andy QB'!$A$6:$L$41,8,FALSE),"")</x:f>
        <x:v>451</x:v>
      </x:c>
      <x:c r="R13" s="111" t="n">
        <x:f>IFERROR(VLOOKUP($A13,'Andy QB'!$A$6:$L$41,9,FALSE),"")</x:f>
        <x:v>5</x:v>
      </x:c>
      <x:c r="S13" s="111" t="n">
        <x:f>IFERROR(VLOOKUP($A13,'Andy QB'!$A$6:$L$41,10,FALSE),"")</x:f>
        <x:v>11</x:v>
      </x:c>
      <x:c r="T13" s="111" t="n">
        <x:f>IFERROR(VLOOKUP($A13,'Andy QB'!$A$6:$L$41,11,FALSE),"")</x:f>
        <x:v>3</x:v>
      </x:c>
      <x:c r="U13" s="109" t="n">
        <x:f>IFERROR(VLOOKUP($A13,'Jason QB'!$A$6:$L$41,4,FALSE),"")</x:f>
        <x:v>5</x:v>
      </x:c>
      <x:c r="V13" s="110" t="n">
        <x:f>IFERROR(VLOOKUP($A13,'Jason QB'!$A$6:$L$41,5,FALSE),"")</x:f>
        <x:v>18.9</x:v>
      </x:c>
      <x:c r="W13" s="111" t="n">
        <x:f>IFERROR(VLOOKUP($A13,'Jason QB'!$A$6:$L$41,6,FALSE),"")</x:f>
        <x:v>3996</x:v>
      </x:c>
      <x:c r="X13" s="111" t="n">
        <x:f>IFERROR(VLOOKUP($A13,'Jason QB'!$A$6:$L$41,7,FALSE),"")</x:f>
        <x:v>26</x:v>
      </x:c>
      <x:c r="Y13" s="111" t="n">
        <x:f>IFERROR(VLOOKUP($A13,'Jason QB'!$A$6:$L$41,8,FALSE),"")</x:f>
        <x:v>633</x:v>
      </x:c>
      <x:c r="Z13" s="111" t="n">
        <x:f>IFERROR(VLOOKUP($A13,'Jason QB'!$A$6:$L$41,9,FALSE),"")</x:f>
        <x:v>6</x:v>
      </x:c>
      <x:c r="AA13" s="111" t="n">
        <x:f>IFERROR(VLOOKUP($A13,'Jason QB'!$A$6:$L$41,10,FALSE),"")</x:f>
        <x:v>10</x:v>
      </x:c>
      <x:c r="AB13" s="111" t="n">
        <x:f>IFERROR(VLOOKUP($A13,'Jason QB'!$A$6:$L$41,11,FALSE),"")</x:f>
        <x:v>5</x:v>
      </x:c>
      <x:c r="AC13" s="110" t="n">
        <x:f>IF(COUNT(E13,M13,U13)=0,"",AVERAGE(E13,M13,U13))</x:f>
        <x:v>7</x:v>
      </x:c>
      <x:c r="AD13" s="110" t="n">
        <x:f>IF(COUNT(E13,M13,U13)=0,"",MAX(E13,M13,U13)-MIN(E13,M13,U13))</x:f>
        <x:v>4</x:v>
      </x:c>
      <x:c r="AE13" s="110" t="n">
        <x:f>IF(COUNT(F13,N13,V13)=0,"",AVERAGE(F13,N13,V13))</x:f>
        <x:v>18.166666666666664</x:v>
      </x:c>
      <x:c r="AF13" s="112" t="n">
        <x:f>IF(COUNT(G13,O13,W13)=0,"",AVERAGE(G13,O13,W13))</x:f>
        <x:v>3829.6666666666665</x:v>
      </x:c>
      <x:c r="AG13" s="112" t="n">
        <x:f>IF(COUNT(H13,P13,X13)=0,"",AVERAGE(H13,P13,X13))</x:f>
        <x:v>24.666666666666668</x:v>
      </x:c>
      <x:c r="AH13" s="112" t="n">
        <x:f>IF(COUNT(I13,Q13,Y13)=0,"",AVERAGE(I13,Q13,Y13))</x:f>
        <x:v>562.3333333333334</x:v>
      </x:c>
      <x:c r="AI13" s="112" t="n">
        <x:f>IF(COUNT(J13,R13,Z13)=0,"",AVERAGE(J13,R13,Z13))</x:f>
        <x:v>6.333333333333333</x:v>
      </x:c>
      <x:c r="AJ13" s="112" t="n">
        <x:f>IF(COUNT(K13,S13,AA13)=0,"",AVERAGE(K13,S13,AA13))</x:f>
        <x:v>9.333333333333334</x:v>
      </x:c>
      <x:c r="AK13" s="112" t="n">
        <x:f>IF(COUNT(L13,T13,AB13)=0,"",AVERAGE(L13,T13,AB13))</x:f>
        <x:v>4.333333333333333</x:v>
      </x:c>
    </x:row>
    <x:row r="14">
      <x:c r="A14" s="107" t="str">
        <x:v>Trevor Lawrence</x:v>
      </x:c>
      <x:c r="B14" s="108" t="str">
        <x:v>QB</x:v>
      </x:c>
      <x:c r="C14" s="108" t="str">
        <x:v>JAX</x:v>
      </x:c>
      <x:c r="D14" s="109" t="n">
        <x:v>7</x:v>
      </x:c>
      <x:c r="E14" s="109" t="n">
        <x:f>IFERROR(VLOOKUP($A14,'Mike QB'!$A$6:$L$40,4,FALSE),"")</x:f>
        <x:v>9</x:v>
      </x:c>
      <x:c r="F14" s="110" t="n">
        <x:f>IFERROR(VLOOKUP($A14,'Mike QB'!$A$6:$L$40,5,FALSE),"")</x:f>
        <x:v>17.7</x:v>
      </x:c>
      <x:c r="G14" s="111" t="n">
        <x:f>IFERROR(VLOOKUP($A14,'Mike QB'!$A$6:$L$40,6,FALSE),"")</x:f>
        <x:v>3876</x:v>
      </x:c>
      <x:c r="H14" s="111" t="n">
        <x:f>IFERROR(VLOOKUP($A14,'Mike QB'!$A$6:$L$40,7,FALSE),"")</x:f>
        <x:v>29</x:v>
      </x:c>
      <x:c r="I14" s="111" t="n">
        <x:f>IFERROR(VLOOKUP($A14,'Mike QB'!$A$6:$L$40,8,FALSE),"")</x:f>
        <x:v>365</x:v>
      </x:c>
      <x:c r="J14" s="111" t="n">
        <x:f>IFERROR(VLOOKUP($A14,'Mike QB'!$A$6:$L$40,9,FALSE),"")</x:f>
        <x:v>7</x:v>
      </x:c>
      <x:c r="K14" s="111" t="n">
        <x:f>IFERROR(VLOOKUP($A14,'Mike QB'!$A$6:$L$40,10,FALSE),"")</x:f>
        <x:v>13</x:v>
      </x:c>
      <x:c r="L14" s="111" t="n">
        <x:f>IFERROR(VLOOKUP($A14,'Mike QB'!$A$6:$L$40,11,FALSE),"")</x:f>
        <x:v>5</x:v>
      </x:c>
      <x:c r="M14" s="109" t="n">
        <x:f>IFERROR(VLOOKUP($A14,'Andy QB'!$A$6:$L$41,4,FALSE),"")</x:f>
        <x:v>8</x:v>
      </x:c>
      <x:c r="N14" s="110" t="n">
        <x:f>IFERROR(VLOOKUP($A14,'Andy QB'!$A$6:$L$41,5,FALSE),"")</x:f>
        <x:v>17.8</x:v>
      </x:c>
      <x:c r="O14" s="111" t="n">
        <x:f>IFERROR(VLOOKUP($A14,'Andy QB'!$A$6:$L$41,6,FALSE),"")</x:f>
        <x:v>3929</x:v>
      </x:c>
      <x:c r="P14" s="111" t="n">
        <x:f>IFERROR(VLOOKUP($A14,'Andy QB'!$A$6:$L$41,7,FALSE),"")</x:f>
        <x:v>29</x:v>
      </x:c>
      <x:c r="Q14" s="111" t="n">
        <x:f>IFERROR(VLOOKUP($A14,'Andy QB'!$A$6:$L$41,8,FALSE),"")</x:f>
        <x:v>328</x:v>
      </x:c>
      <x:c r="R14" s="111" t="n">
        <x:f>IFERROR(VLOOKUP($A14,'Andy QB'!$A$6:$L$41,9,FALSE),"")</x:f>
        <x:v>7</x:v>
      </x:c>
      <x:c r="S14" s="111" t="n">
        <x:f>IFERROR(VLOOKUP($A14,'Andy QB'!$A$6:$L$41,10,FALSE),"")</x:f>
        <x:v>12</x:v>
      </x:c>
      <x:c r="T14" s="111" t="n">
        <x:f>IFERROR(VLOOKUP($A14,'Andy QB'!$A$6:$L$41,11,FALSE),"")</x:f>
        <x:v>4</x:v>
      </x:c>
      <x:c r="U14" s="109" t="n">
        <x:f>IFERROR(VLOOKUP($A14,'Jason QB'!$A$6:$L$41,4,FALSE),"")</x:f>
        <x:v>11</x:v>
      </x:c>
      <x:c r="V14" s="110" t="n">
        <x:f>IFERROR(VLOOKUP($A14,'Jason QB'!$A$6:$L$41,5,FALSE),"")</x:f>
        <x:v>18</x:v>
      </x:c>
      <x:c r="W14" s="111" t="n">
        <x:f>IFERROR(VLOOKUP($A14,'Jason QB'!$A$6:$L$41,6,FALSE),"")</x:f>
        <x:v>4300</x:v>
      </x:c>
      <x:c r="X14" s="111" t="n">
        <x:f>IFERROR(VLOOKUP($A14,'Jason QB'!$A$6:$L$41,7,FALSE),"")</x:f>
        <x:v>31</x:v>
      </x:c>
      <x:c r="Y14" s="111" t="n">
        <x:f>IFERROR(VLOOKUP($A14,'Jason QB'!$A$6:$L$41,8,FALSE),"")</x:f>
        <x:v>295</x:v>
      </x:c>
      <x:c r="Z14" s="111" t="n">
        <x:f>IFERROR(VLOOKUP($A14,'Jason QB'!$A$6:$L$41,9,FALSE),"")</x:f>
        <x:v>4</x:v>
      </x:c>
      <x:c r="AA14" s="111" t="n">
        <x:f>IFERROR(VLOOKUP($A14,'Jason QB'!$A$6:$L$41,10,FALSE),"")</x:f>
        <x:v>11</x:v>
      </x:c>
      <x:c r="AB14" s="111" t="n">
        <x:f>IFERROR(VLOOKUP($A14,'Jason QB'!$A$6:$L$41,11,FALSE),"")</x:f>
        <x:v>5</x:v>
      </x:c>
      <x:c r="AC14" s="110" t="n">
        <x:f>IF(COUNT(E14,M14,U14)=0,"",AVERAGE(E14,M14,U14))</x:f>
        <x:v>9.333333333333334</x:v>
      </x:c>
      <x:c r="AD14" s="110" t="n">
        <x:f>IF(COUNT(E14,M14,U14)=0,"",MAX(E14,M14,U14)-MIN(E14,M14,U14))</x:f>
        <x:v>3</x:v>
      </x:c>
      <x:c r="AE14" s="110" t="n">
        <x:f>IF(COUNT(F14,N14,V14)=0,"",AVERAGE(F14,N14,V14))</x:f>
        <x:v>17.833333333333332</x:v>
      </x:c>
      <x:c r="AF14" s="112" t="n">
        <x:f>IF(COUNT(G14,O14,W14)=0,"",AVERAGE(G14,O14,W14))</x:f>
        <x:v>4035</x:v>
      </x:c>
      <x:c r="AG14" s="112" t="n">
        <x:f>IF(COUNT(H14,P14,X14)=0,"",AVERAGE(H14,P14,X14))</x:f>
        <x:v>29.666666666666668</x:v>
      </x:c>
      <x:c r="AH14" s="112" t="n">
        <x:f>IF(COUNT(I14,Q14,Y14)=0,"",AVERAGE(I14,Q14,Y14))</x:f>
        <x:v>329.3333333333333</x:v>
      </x:c>
      <x:c r="AI14" s="112" t="n">
        <x:f>IF(COUNT(J14,R14,Z14)=0,"",AVERAGE(J14,R14,Z14))</x:f>
        <x:v>6</x:v>
      </x:c>
      <x:c r="AJ14" s="112" t="n">
        <x:f>IF(COUNT(K14,S14,AA14)=0,"",AVERAGE(K14,S14,AA14))</x:f>
        <x:v>12</x:v>
      </x:c>
      <x:c r="AK14" s="112" t="n">
        <x:f>IF(COUNT(L14,T14,AB14)=0,"",AVERAGE(L14,T14,AB14))</x:f>
        <x:v>4.666666666666667</x:v>
      </x:c>
    </x:row>
    <x:row r="15">
      <x:c r="A15" s="107" t="str">
        <x:v>Dak Prescott</x:v>
      </x:c>
      <x:c r="B15" s="108" t="str">
        <x:v>QB</x:v>
      </x:c>
      <x:c r="C15" s="108" t="str">
        <x:v>DAL</x:v>
      </x:c>
      <x:c r="D15" s="109" t="n">
        <x:v>14</x:v>
      </x:c>
      <x:c r="E15" s="109" t="n">
        <x:f>IFERROR(VLOOKUP($A15,'Mike QB'!$A$6:$L$40,4,FALSE),"")</x:f>
        <x:v>11</x:v>
      </x:c>
      <x:c r="F15" s="110" t="n">
        <x:f>IFERROR(VLOOKUP($A15,'Mike QB'!$A$6:$L$40,5,FALSE),"")</x:f>
        <x:v>17.4</x:v>
      </x:c>
      <x:c r="G15" s="111" t="n">
        <x:f>IFERROR(VLOOKUP($A15,'Mike QB'!$A$6:$L$40,6,FALSE),"")</x:f>
        <x:v>4350</x:v>
      </x:c>
      <x:c r="H15" s="111" t="n">
        <x:f>IFERROR(VLOOKUP($A15,'Mike QB'!$A$6:$L$40,7,FALSE),"")</x:f>
        <x:v>34</x:v>
      </x:c>
      <x:c r="I15" s="111" t="n">
        <x:f>IFERROR(VLOOKUP($A15,'Mike QB'!$A$6:$L$40,8,FALSE),"")</x:f>
        <x:v>186</x:v>
      </x:c>
      <x:c r="J15" s="111" t="n">
        <x:f>IFERROR(VLOOKUP($A15,'Mike QB'!$A$6:$L$40,9,FALSE),"")</x:f>
        <x:v>3</x:v>
      </x:c>
      <x:c r="K15" s="111" t="n">
        <x:f>IFERROR(VLOOKUP($A15,'Mike QB'!$A$6:$L$40,10,FALSE),"")</x:f>
        <x:v>13</x:v>
      </x:c>
      <x:c r="L15" s="111" t="n">
        <x:f>IFERROR(VLOOKUP($A15,'Mike QB'!$A$6:$L$40,11,FALSE),"")</x:f>
        <x:v>5</x:v>
      </x:c>
      <x:c r="M15" s="109" t="n">
        <x:f>IFERROR(VLOOKUP($A15,'Andy QB'!$A$6:$L$41,4,FALSE),"")</x:f>
        <x:v>13</x:v>
      </x:c>
      <x:c r="N15" s="110" t="n">
        <x:f>IFERROR(VLOOKUP($A15,'Andy QB'!$A$6:$L$41,5,FALSE),"")</x:f>
        <x:v>17.1</x:v>
      </x:c>
      <x:c r="O15" s="111" t="n">
        <x:f>IFERROR(VLOOKUP($A15,'Andy QB'!$A$6:$L$41,6,FALSE),"")</x:f>
        <x:v>4450</x:v>
      </x:c>
      <x:c r="P15" s="111" t="n">
        <x:f>IFERROR(VLOOKUP($A15,'Andy QB'!$A$6:$L$41,7,FALSE),"")</x:f>
        <x:v>30</x:v>
      </x:c>
      <x:c r="Q15" s="111" t="n">
        <x:f>IFERROR(VLOOKUP($A15,'Andy QB'!$A$6:$L$41,8,FALSE),"")</x:f>
        <x:v>160</x:v>
      </x:c>
      <x:c r="R15" s="111" t="n">
        <x:f>IFERROR(VLOOKUP($A15,'Andy QB'!$A$6:$L$41,9,FALSE),"")</x:f>
        <x:v>2</x:v>
      </x:c>
      <x:c r="S15" s="111" t="n">
        <x:f>IFERROR(VLOOKUP($A15,'Andy QB'!$A$6:$L$41,10,FALSE),"")</x:f>
        <x:v>10</x:v>
      </x:c>
      <x:c r="T15" s="111" t="n">
        <x:f>IFERROR(VLOOKUP($A15,'Andy QB'!$A$6:$L$41,11,FALSE),"")</x:f>
        <x:v>3</x:v>
      </x:c>
      <x:c r="U15" s="109" t="n">
        <x:f>IFERROR(VLOOKUP($A15,'Jason QB'!$A$6:$L$41,4,FALSE),"")</x:f>
        <x:v>10</x:v>
      </x:c>
      <x:c r="V15" s="110" t="n">
        <x:f>IFERROR(VLOOKUP($A15,'Jason QB'!$A$6:$L$41,5,FALSE),"")</x:f>
        <x:v>18.3</x:v>
      </x:c>
      <x:c r="W15" s="111" t="n">
        <x:f>IFERROR(VLOOKUP($A15,'Jason QB'!$A$6:$L$41,6,FALSE),"")</x:f>
        <x:v>4781</x:v>
      </x:c>
      <x:c r="X15" s="111" t="n">
        <x:f>IFERROR(VLOOKUP($A15,'Jason QB'!$A$6:$L$41,7,FALSE),"")</x:f>
        <x:v>34</x:v>
      </x:c>
      <x:c r="Y15" s="111" t="n">
        <x:f>IFERROR(VLOOKUP($A15,'Jason QB'!$A$6:$L$41,8,FALSE),"")</x:f>
        <x:v>155</x:v>
      </x:c>
      <x:c r="Z15" s="111" t="n">
        <x:f>IFERROR(VLOOKUP($A15,'Jason QB'!$A$6:$L$41,9,FALSE),"")</x:f>
        <x:v>2</x:v>
      </x:c>
      <x:c r="AA15" s="111" t="n">
        <x:f>IFERROR(VLOOKUP($A15,'Jason QB'!$A$6:$L$41,10,FALSE),"")</x:f>
        <x:v>12</x:v>
      </x:c>
      <x:c r="AB15" s="111" t="n">
        <x:f>IFERROR(VLOOKUP($A15,'Jason QB'!$A$6:$L$41,11,FALSE),"")</x:f>
        <x:v>4</x:v>
      </x:c>
      <x:c r="AC15" s="110" t="n">
        <x:f>IF(COUNT(E15,M15,U15)=0,"",AVERAGE(E15,M15,U15))</x:f>
        <x:v>11.333333333333334</x:v>
      </x:c>
      <x:c r="AD15" s="110" t="n">
        <x:f>IF(COUNT(E15,M15,U15)=0,"",MAX(E15,M15,U15)-MIN(E15,M15,U15))</x:f>
        <x:v>3</x:v>
      </x:c>
      <x:c r="AE15" s="110" t="n">
        <x:f>IF(COUNT(F15,N15,V15)=0,"",AVERAGE(F15,N15,V15))</x:f>
        <x:v>17.599999999999998</x:v>
      </x:c>
      <x:c r="AF15" s="112" t="n">
        <x:f>IF(COUNT(G15,O15,W15)=0,"",AVERAGE(G15,O15,W15))</x:f>
        <x:v>4527</x:v>
      </x:c>
      <x:c r="AG15" s="112" t="n">
        <x:f>IF(COUNT(H15,P15,X15)=0,"",AVERAGE(H15,P15,X15))</x:f>
        <x:v>32.666666666666664</x:v>
      </x:c>
      <x:c r="AH15" s="112" t="n">
        <x:f>IF(COUNT(I15,Q15,Y15)=0,"",AVERAGE(I15,Q15,Y15))</x:f>
        <x:v>167</x:v>
      </x:c>
      <x:c r="AI15" s="112" t="n">
        <x:f>IF(COUNT(J15,R15,Z15)=0,"",AVERAGE(J15,R15,Z15))</x:f>
        <x:v>2.3333333333333335</x:v>
      </x:c>
      <x:c r="AJ15" s="112" t="n">
        <x:f>IF(COUNT(K15,S15,AA15)=0,"",AVERAGE(K15,S15,AA15))</x:f>
        <x:v>11.666666666666666</x:v>
      </x:c>
      <x:c r="AK15" s="112" t="n">
        <x:f>IF(COUNT(L15,T15,AB15)=0,"",AVERAGE(L15,T15,AB15))</x:f>
        <x:v>4</x:v>
      </x:c>
    </x:row>
    <x:row r="16">
      <x:c r="A16" s="107" t="str">
        <x:v>Bo Nix</x:v>
      </x:c>
      <x:c r="B16" s="108" t="str">
        <x:v>QB</x:v>
      </x:c>
      <x:c r="C16" s="108" t="str">
        <x:v>DEN</x:v>
      </x:c>
      <x:c r="D16" s="109" t="n">
        <x:v>10</x:v>
      </x:c>
      <x:c r="E16" s="109" t="n">
        <x:f>IFERROR(VLOOKUP($A16,'Mike QB'!$A$6:$L$40,4,FALSE),"")</x:f>
        <x:v>13</x:v>
      </x:c>
      <x:c r="F16" s="110" t="n">
        <x:f>IFERROR(VLOOKUP($A16,'Mike QB'!$A$6:$L$40,5,FALSE),"")</x:f>
        <x:v>16.9</x:v>
      </x:c>
      <x:c r="G16" s="111" t="n">
        <x:f>IFERROR(VLOOKUP($A16,'Mike QB'!$A$6:$L$40,6,FALSE),"")</x:f>
        <x:v>3891</x:v>
      </x:c>
      <x:c r="H16" s="111" t="n">
        <x:f>IFERROR(VLOOKUP($A16,'Mike QB'!$A$6:$L$40,7,FALSE),"")</x:f>
        <x:v>29</x:v>
      </x:c>
      <x:c r="I16" s="111" t="n">
        <x:f>IFERROR(VLOOKUP($A16,'Mike QB'!$A$6:$L$40,8,FALSE),"")</x:f>
        <x:v>375</x:v>
      </x:c>
      <x:c r="J16" s="111" t="n">
        <x:f>IFERROR(VLOOKUP($A16,'Mike QB'!$A$6:$L$40,9,FALSE),"")</x:f>
        <x:v>4</x:v>
      </x:c>
      <x:c r="K16" s="111" t="n">
        <x:f>IFERROR(VLOOKUP($A16,'Mike QB'!$A$6:$L$40,10,FALSE),"")</x:f>
        <x:v>12</x:v>
      </x:c>
      <x:c r="L16" s="111" t="n">
        <x:f>IFERROR(VLOOKUP($A16,'Mike QB'!$A$6:$L$40,11,FALSE),"")</x:f>
        <x:v>4</x:v>
      </x:c>
      <x:c r="M16" s="109" t="n">
        <x:f>IFERROR(VLOOKUP($A16,'Andy QB'!$A$6:$L$41,4,FALSE),"")</x:f>
        <x:v>11</x:v>
      </x:c>
      <x:c r="N16" s="110" t="n">
        <x:f>IFERROR(VLOOKUP($A16,'Andy QB'!$A$6:$L$41,5,FALSE),"")</x:f>
        <x:v>17.6</x:v>
      </x:c>
      <x:c r="O16" s="111" t="n">
        <x:f>IFERROR(VLOOKUP($A16,'Andy QB'!$A$6:$L$41,6,FALSE),"")</x:f>
        <x:v>4115</x:v>
      </x:c>
      <x:c r="P16" s="111" t="n">
        <x:f>IFERROR(VLOOKUP($A16,'Andy QB'!$A$6:$L$41,7,FALSE),"")</x:f>
        <x:v>27</x:v>
      </x:c>
      <x:c r="Q16" s="111" t="n">
        <x:f>IFERROR(VLOOKUP($A16,'Andy QB'!$A$6:$L$41,8,FALSE),"")</x:f>
        <x:v>351</x:v>
      </x:c>
      <x:c r="R16" s="111" t="n">
        <x:f>IFERROR(VLOOKUP($A16,'Andy QB'!$A$6:$L$41,9,FALSE),"")</x:f>
        <x:v>5</x:v>
      </x:c>
      <x:c r="S16" s="111" t="n">
        <x:f>IFERROR(VLOOKUP($A16,'Andy QB'!$A$6:$L$41,10,FALSE),"")</x:f>
        <x:v>11</x:v>
      </x:c>
      <x:c r="T16" s="111" t="n">
        <x:f>IFERROR(VLOOKUP($A16,'Andy QB'!$A$6:$L$41,11,FALSE),"")</x:f>
        <x:v>4</x:v>
      </x:c>
      <x:c r="U16" s="109" t="n">
        <x:f>IFERROR(VLOOKUP($A16,'Jason QB'!$A$6:$L$41,4,FALSE),"")</x:f>
        <x:v>12</x:v>
      </x:c>
      <x:c r="V16" s="110" t="n">
        <x:f>IFERROR(VLOOKUP($A16,'Jason QB'!$A$6:$L$41,5,FALSE),"")</x:f>
        <x:v>17.9</x:v>
      </x:c>
      <x:c r="W16" s="111" t="n">
        <x:f>IFERROR(VLOOKUP($A16,'Jason QB'!$A$6:$L$41,6,FALSE),"")</x:f>
        <x:v>4213</x:v>
      </x:c>
      <x:c r="X16" s="111" t="n">
        <x:f>IFERROR(VLOOKUP($A16,'Jason QB'!$A$6:$L$41,7,FALSE),"")</x:f>
        <x:v>29</x:v>
      </x:c>
      <x:c r="Y16" s="111" t="n">
        <x:f>IFERROR(VLOOKUP($A16,'Jason QB'!$A$6:$L$41,8,FALSE),"")</x:f>
        <x:v>334</x:v>
      </x:c>
      <x:c r="Z16" s="111" t="n">
        <x:f>IFERROR(VLOOKUP($A16,'Jason QB'!$A$6:$L$41,9,FALSE),"")</x:f>
        <x:v>4</x:v>
      </x:c>
      <x:c r="AA16" s="111" t="n">
        <x:f>IFERROR(VLOOKUP($A16,'Jason QB'!$A$6:$L$41,10,FALSE),"")</x:f>
        <x:v>11</x:v>
      </x:c>
      <x:c r="AB16" s="111" t="n">
        <x:f>IFERROR(VLOOKUP($A16,'Jason QB'!$A$6:$L$41,11,FALSE),"")</x:f>
        <x:v>2</x:v>
      </x:c>
      <x:c r="AC16" s="110" t="n">
        <x:f>IF(COUNT(E16,M16,U16)=0,"",AVERAGE(E16,M16,U16))</x:f>
        <x:v>12</x:v>
      </x:c>
      <x:c r="AD16" s="110" t="n">
        <x:f>IF(COUNT(E16,M16,U16)=0,"",MAX(E16,M16,U16)-MIN(E16,M16,U16))</x:f>
        <x:v>2</x:v>
      </x:c>
      <x:c r="AE16" s="110" t="n">
        <x:f>IF(COUNT(F16,N16,V16)=0,"",AVERAGE(F16,N16,V16))</x:f>
        <x:v>17.466666666666665</x:v>
      </x:c>
      <x:c r="AF16" s="112" t="n">
        <x:f>IF(COUNT(G16,O16,W16)=0,"",AVERAGE(G16,O16,W16))</x:f>
        <x:v>4073</x:v>
      </x:c>
      <x:c r="AG16" s="112" t="n">
        <x:f>IF(COUNT(H16,P16,X16)=0,"",AVERAGE(H16,P16,X16))</x:f>
        <x:v>28.333333333333332</x:v>
      </x:c>
      <x:c r="AH16" s="112" t="n">
        <x:f>IF(COUNT(I16,Q16,Y16)=0,"",AVERAGE(I16,Q16,Y16))</x:f>
        <x:v>353.3333333333333</x:v>
      </x:c>
      <x:c r="AI16" s="112" t="n">
        <x:f>IF(COUNT(J16,R16,Z16)=0,"",AVERAGE(J16,R16,Z16))</x:f>
        <x:v>4.333333333333333</x:v>
      </x:c>
      <x:c r="AJ16" s="112" t="n">
        <x:f>IF(COUNT(K16,S16,AA16)=0,"",AVERAGE(K16,S16,AA16))</x:f>
        <x:v>11.333333333333334</x:v>
      </x:c>
      <x:c r="AK16" s="112" t="n">
        <x:f>IF(COUNT(L16,T16,AB16)=0,"",AVERAGE(L16,T16,AB16))</x:f>
        <x:v>3.3333333333333335</x:v>
      </x:c>
    </x:row>
    <x:row r="17">
      <x:c r="A17" s="107" t="str">
        <x:v>Justin Herbert</x:v>
      </x:c>
      <x:c r="B17" s="108" t="str">
        <x:v>QB</x:v>
      </x:c>
      <x:c r="C17" s="108" t="str">
        <x:v>LAC</x:v>
      </x:c>
      <x:c r="D17" s="109" t="n">
        <x:v>7</x:v>
      </x:c>
      <x:c r="E17" s="109" t="n">
        <x:f>IFERROR(VLOOKUP($A17,'Mike QB'!$A$6:$L$40,4,FALSE),"")</x:f>
        <x:v>10</x:v>
      </x:c>
      <x:c r="F17" s="110" t="n">
        <x:f>IFERROR(VLOOKUP($A17,'Mike QB'!$A$6:$L$40,5,FALSE),"")</x:f>
        <x:v>17.5</x:v>
      </x:c>
      <x:c r="G17" s="111" t="n">
        <x:f>IFERROR(VLOOKUP($A17,'Mike QB'!$A$6:$L$40,6,FALSE),"")</x:f>
        <x:v>4146</x:v>
      </x:c>
      <x:c r="H17" s="111" t="n">
        <x:f>IFERROR(VLOOKUP($A17,'Mike QB'!$A$6:$L$40,7,FALSE),"")</x:f>
        <x:v>28</x:v>
      </x:c>
      <x:c r="I17" s="111" t="n">
        <x:f>IFERROR(VLOOKUP($A17,'Mike QB'!$A$6:$L$40,8,FALSE),"")</x:f>
        <x:v>383</x:v>
      </x:c>
      <x:c r="J17" s="111" t="n">
        <x:f>IFERROR(VLOOKUP($A17,'Mike QB'!$A$6:$L$40,9,FALSE),"")</x:f>
        <x:v>4</x:v>
      </x:c>
      <x:c r="K17" s="111" t="n">
        <x:f>IFERROR(VLOOKUP($A17,'Mike QB'!$A$6:$L$40,10,FALSE),"")</x:f>
        <x:v>10</x:v>
      </x:c>
      <x:c r="L17" s="111" t="n">
        <x:f>IFERROR(VLOOKUP($A17,'Mike QB'!$A$6:$L$40,11,FALSE),"")</x:f>
        <x:v>6</x:v>
      </x:c>
      <x:c r="M17" s="109" t="n">
        <x:f>IFERROR(VLOOKUP($A17,'Andy QB'!$A$6:$L$41,4,FALSE),"")</x:f>
        <x:v>20</x:v>
      </x:c>
      <x:c r="N17" s="110" t="n">
        <x:f>IFERROR(VLOOKUP($A17,'Andy QB'!$A$6:$L$41,5,FALSE),"")</x:f>
        <x:v>16.5</x:v>
      </x:c>
      <x:c r="O17" s="111" t="n">
        <x:f>IFERROR(VLOOKUP($A17,'Andy QB'!$A$6:$L$41,6,FALSE),"")</x:f>
        <x:v>3950</x:v>
      </x:c>
      <x:c r="P17" s="111" t="n">
        <x:f>IFERROR(VLOOKUP($A17,'Andy QB'!$A$6:$L$41,7,FALSE),"")</x:f>
        <x:v>27</x:v>
      </x:c>
      <x:c r="Q17" s="111" t="n">
        <x:f>IFERROR(VLOOKUP($A17,'Andy QB'!$A$6:$L$41,8,FALSE),"")</x:f>
        <x:v>440</x:v>
      </x:c>
      <x:c r="R17" s="111" t="n">
        <x:f>IFERROR(VLOOKUP($A17,'Andy QB'!$A$6:$L$41,9,FALSE),"")</x:f>
        <x:v>2</x:v>
      </x:c>
      <x:c r="S17" s="111" t="n">
        <x:f>IFERROR(VLOOKUP($A17,'Andy QB'!$A$6:$L$41,10,FALSE),"")</x:f>
        <x:v>12</x:v>
      </x:c>
      <x:c r="T17" s="111" t="n">
        <x:f>IFERROR(VLOOKUP($A17,'Andy QB'!$A$6:$L$41,11,FALSE),"")</x:f>
        <x:v>3</x:v>
      </x:c>
      <x:c r="U17" s="109" t="n">
        <x:f>IFERROR(VLOOKUP($A17,'Jason QB'!$A$6:$L$41,4,FALSE),"")</x:f>
        <x:v>8</x:v>
      </x:c>
      <x:c r="V17" s="110" t="n">
        <x:f>IFERROR(VLOOKUP($A17,'Jason QB'!$A$6:$L$41,5,FALSE),"")</x:f>
        <x:v>18.5</x:v>
      </x:c>
      <x:c r="W17" s="111" t="n">
        <x:f>IFERROR(VLOOKUP($A17,'Jason QB'!$A$6:$L$41,6,FALSE),"")</x:f>
        <x:v>4245</x:v>
      </x:c>
      <x:c r="X17" s="111" t="n">
        <x:f>IFERROR(VLOOKUP($A17,'Jason QB'!$A$6:$L$41,7,FALSE),"")</x:f>
        <x:v>33</x:v>
      </x:c>
      <x:c r="Y17" s="111" t="n">
        <x:f>IFERROR(VLOOKUP($A17,'Jason QB'!$A$6:$L$41,8,FALSE),"")</x:f>
        <x:v>300</x:v>
      </x:c>
      <x:c r="Z17" s="111" t="n">
        <x:f>IFERROR(VLOOKUP($A17,'Jason QB'!$A$6:$L$41,9,FALSE),"")</x:f>
        <x:v>3</x:v>
      </x:c>
      <x:c r="AA17" s="111" t="n">
        <x:f>IFERROR(VLOOKUP($A17,'Jason QB'!$A$6:$L$41,10,FALSE),"")</x:f>
        <x:v>10</x:v>
      </x:c>
      <x:c r="AB17" s="111" t="n">
        <x:f>IFERROR(VLOOKUP($A17,'Jason QB'!$A$6:$L$41,11,FALSE),"")</x:f>
        <x:v>2</x:v>
      </x:c>
      <x:c r="AC17" s="110" t="n">
        <x:f>IF(COUNT(E17,M17,U17)=0,"",AVERAGE(E17,M17,U17))</x:f>
        <x:v>12.666666666666666</x:v>
      </x:c>
      <x:c r="AD17" s="110" t="n">
        <x:f>IF(COUNT(E17,M17,U17)=0,"",MAX(E17,M17,U17)-MIN(E17,M17,U17))</x:f>
        <x:v>12</x:v>
      </x:c>
      <x:c r="AE17" s="110" t="n">
        <x:f>IF(COUNT(F17,N17,V17)=0,"",AVERAGE(F17,N17,V17))</x:f>
        <x:v>17.5</x:v>
      </x:c>
      <x:c r="AF17" s="112" t="n">
        <x:f>IF(COUNT(G17,O17,W17)=0,"",AVERAGE(G17,O17,W17))</x:f>
        <x:v>4113.666666666667</x:v>
      </x:c>
      <x:c r="AG17" s="112" t="n">
        <x:f>IF(COUNT(H17,P17,X17)=0,"",AVERAGE(H17,P17,X17))</x:f>
        <x:v>29.333333333333332</x:v>
      </x:c>
      <x:c r="AH17" s="112" t="n">
        <x:f>IF(COUNT(I17,Q17,Y17)=0,"",AVERAGE(I17,Q17,Y17))</x:f>
        <x:v>374.3333333333333</x:v>
      </x:c>
      <x:c r="AI17" s="112" t="n">
        <x:f>IF(COUNT(J17,R17,Z17)=0,"",AVERAGE(J17,R17,Z17))</x:f>
        <x:v>3</x:v>
      </x:c>
      <x:c r="AJ17" s="112" t="n">
        <x:f>IF(COUNT(K17,S17,AA17)=0,"",AVERAGE(K17,S17,AA17))</x:f>
        <x:v>10.666666666666666</x:v>
      </x:c>
      <x:c r="AK17" s="112" t="n">
        <x:f>IF(COUNT(L17,T17,AB17)=0,"",AVERAGE(L17,T17,AB17))</x:f>
        <x:v>3.6666666666666665</x:v>
      </x:c>
    </x:row>
    <x:row r="18">
      <x:c r="A18" s="107" t="str">
        <x:v>Matthew Stafford</x:v>
      </x:c>
      <x:c r="B18" s="108" t="str">
        <x:v>QB</x:v>
      </x:c>
      <x:c r="C18" s="108" t="str">
        <x:v>LAR</x:v>
      </x:c>
      <x:c r="D18" s="109" t="n">
        <x:v>11</x:v>
      </x:c>
      <x:c r="E18" s="109" t="n">
        <x:f>IFERROR(VLOOKUP($A18,'Mike QB'!$A$6:$L$40,4,FALSE),"")</x:f>
        <x:v>14</x:v>
      </x:c>
      <x:c r="F18" s="110" t="n">
        <x:f>IFERROR(VLOOKUP($A18,'Mike QB'!$A$6:$L$40,5,FALSE),"")</x:f>
        <x:v>16.8</x:v>
      </x:c>
      <x:c r="G18" s="111" t="n">
        <x:f>IFERROR(VLOOKUP($A18,'Mike QB'!$A$6:$L$40,6,FALSE),"")</x:f>
        <x:v>4300</x:v>
      </x:c>
      <x:c r="H18" s="111" t="n">
        <x:f>IFERROR(VLOOKUP($A18,'Mike QB'!$A$6:$L$40,7,FALSE),"")</x:f>
        <x:v>37</x:v>
      </x:c>
      <x:c r="I18" s="111" t="n">
        <x:f>IFERROR(VLOOKUP($A18,'Mike QB'!$A$6:$L$40,8,FALSE),"")</x:f>
        <x:v>26</x:v>
      </x:c>
      <x:c r="J18" s="111" t="n">
        <x:f>IFERROR(VLOOKUP($A18,'Mike QB'!$A$6:$L$40,9,FALSE),"")</x:f>
        <x:v>0</x:v>
      </x:c>
      <x:c r="K18" s="111" t="n">
        <x:f>IFERROR(VLOOKUP($A18,'Mike QB'!$A$6:$L$40,10,FALSE),"")</x:f>
        <x:v>10</x:v>
      </x:c>
      <x:c r="L18" s="111" t="n">
        <x:f>IFERROR(VLOOKUP($A18,'Mike QB'!$A$6:$L$40,11,FALSE),"")</x:f>
        <x:v>4</x:v>
      </x:c>
      <x:c r="M18" s="109" t="n">
        <x:f>IFERROR(VLOOKUP($A18,'Andy QB'!$A$6:$L$41,4,FALSE),"")</x:f>
        <x:v>14</x:v>
      </x:c>
      <x:c r="N18" s="110" t="n">
        <x:f>IFERROR(VLOOKUP($A18,'Andy QB'!$A$6:$L$41,5,FALSE),"")</x:f>
        <x:v>17</x:v>
      </x:c>
      <x:c r="O18" s="111" t="n">
        <x:f>IFERROR(VLOOKUP($A18,'Andy QB'!$A$6:$L$41,6,FALSE),"")</x:f>
        <x:v>4300</x:v>
      </x:c>
      <x:c r="P18" s="111" t="n">
        <x:f>IFERROR(VLOOKUP($A18,'Andy QB'!$A$6:$L$41,7,FALSE),"")</x:f>
        <x:v>37</x:v>
      </x:c>
      <x:c r="Q18" s="111" t="n">
        <x:f>IFERROR(VLOOKUP($A18,'Andy QB'!$A$6:$L$41,8,FALSE),"")</x:f>
        <x:v>10</x:v>
      </x:c>
      <x:c r="R18" s="111" t="n">
        <x:f>IFERROR(VLOOKUP($A18,'Andy QB'!$A$6:$L$41,9,FALSE),"")</x:f>
        <x:v>0</x:v>
      </x:c>
      <x:c r="S18" s="111" t="n">
        <x:f>IFERROR(VLOOKUP($A18,'Andy QB'!$A$6:$L$41,10,FALSE),"")</x:f>
        <x:v>9</x:v>
      </x:c>
      <x:c r="T18" s="111" t="n">
        <x:f>IFERROR(VLOOKUP($A18,'Andy QB'!$A$6:$L$41,11,FALSE),"")</x:f>
        <x:v>2</x:v>
      </x:c>
      <x:c r="U18" s="109" t="n">
        <x:f>IFERROR(VLOOKUP($A18,'Jason QB'!$A$6:$L$41,4,FALSE),"")</x:f>
        <x:v>17</x:v>
      </x:c>
      <x:c r="V18" s="110" t="n">
        <x:f>IFERROR(VLOOKUP($A18,'Jason QB'!$A$6:$L$41,5,FALSE),"")</x:f>
        <x:v>17.3</x:v>
      </x:c>
      <x:c r="W18" s="111" t="n">
        <x:f>IFERROR(VLOOKUP($A18,'Jason QB'!$A$6:$L$41,6,FALSE),"")</x:f>
        <x:v>4580</x:v>
      </x:c>
      <x:c r="X18" s="111" t="n">
        <x:f>IFERROR(VLOOKUP($A18,'Jason QB'!$A$6:$L$41,7,FALSE),"")</x:f>
        <x:v>36</x:v>
      </x:c>
      <x:c r="Y18" s="111" t="n">
        <x:f>IFERROR(VLOOKUP($A18,'Jason QB'!$A$6:$L$41,8,FALSE),"")</x:f>
        <x:v>0</x:v>
      </x:c>
      <x:c r="Z18" s="111" t="n">
        <x:f>IFERROR(VLOOKUP($A18,'Jason QB'!$A$6:$L$41,9,FALSE),"")</x:f>
        <x:v>0</x:v>
      </x:c>
      <x:c r="AA18" s="111" t="n">
        <x:f>IFERROR(VLOOKUP($A18,'Jason QB'!$A$6:$L$41,10,FALSE),"")</x:f>
        <x:v>9</x:v>
      </x:c>
      <x:c r="AB18" s="111" t="n">
        <x:f>IFERROR(VLOOKUP($A18,'Jason QB'!$A$6:$L$41,11,FALSE),"")</x:f>
        <x:v>3</x:v>
      </x:c>
      <x:c r="AC18" s="110" t="n">
        <x:f>IF(COUNT(E18,M18,U18)=0,"",AVERAGE(E18,M18,U18))</x:f>
        <x:v>15</x:v>
      </x:c>
      <x:c r="AD18" s="110" t="n">
        <x:f>IF(COUNT(E18,M18,U18)=0,"",MAX(E18,M18,U18)-MIN(E18,M18,U18))</x:f>
        <x:v>3</x:v>
      </x:c>
      <x:c r="AE18" s="110" t="n">
        <x:f>IF(COUNT(F18,N18,V18)=0,"",AVERAGE(F18,N18,V18))</x:f>
        <x:v>17.03333333333333</x:v>
      </x:c>
      <x:c r="AF18" s="112" t="n">
        <x:f>IF(COUNT(G18,O18,W18)=0,"",AVERAGE(G18,O18,W18))</x:f>
        <x:v>4393.333333333333</x:v>
      </x:c>
      <x:c r="AG18" s="112" t="n">
        <x:f>IF(COUNT(H18,P18,X18)=0,"",AVERAGE(H18,P18,X18))</x:f>
        <x:v>36.666666666666664</x:v>
      </x:c>
      <x:c r="AH18" s="112" t="n">
        <x:f>IF(COUNT(I18,Q18,Y18)=0,"",AVERAGE(I18,Q18,Y18))</x:f>
        <x:v>12</x:v>
      </x:c>
      <x:c r="AI18" s="112" t="n">
        <x:f>IF(COUNT(J18,R18,Z18)=0,"",AVERAGE(J18,R18,Z18))</x:f>
        <x:v>0</x:v>
      </x:c>
      <x:c r="AJ18" s="112" t="n">
        <x:f>IF(COUNT(K18,S18,AA18)=0,"",AVERAGE(K18,S18,AA18))</x:f>
        <x:v>9.333333333333334</x:v>
      </x:c>
      <x:c r="AK18" s="112" t="n">
        <x:f>IF(COUNT(L18,T18,AB18)=0,"",AVERAGE(L18,T18,AB18))</x:f>
        <x:v>3</x:v>
      </x:c>
    </x:row>
    <x:row r="19">
      <x:c r="A19" s="107" t="str">
        <x:v>Jared Goff</x:v>
      </x:c>
      <x:c r="B19" s="108" t="str">
        <x:v>QB</x:v>
      </x:c>
      <x:c r="C19" s="108" t="str">
        <x:v>DET</x:v>
      </x:c>
      <x:c r="D19" s="109" t="n">
        <x:v>6</x:v>
      </x:c>
      <x:c r="E19" s="109" t="n">
        <x:f>IFERROR(VLOOKUP($A19,'Mike QB'!$A$6:$L$40,4,FALSE),"")</x:f>
        <x:v>17</x:v>
      </x:c>
      <x:c r="F19" s="110" t="n">
        <x:f>IFERROR(VLOOKUP($A19,'Mike QB'!$A$6:$L$40,5,FALSE),"")</x:f>
        <x:v>16.6</x:v>
      </x:c>
      <x:c r="G19" s="111" t="n">
        <x:f>IFERROR(VLOOKUP($A19,'Mike QB'!$A$6:$L$40,6,FALSE),"")</x:f>
        <x:v>4312</x:v>
      </x:c>
      <x:c r="H19" s="111" t="n">
        <x:f>IFERROR(VLOOKUP($A19,'Mike QB'!$A$6:$L$40,7,FALSE),"")</x:f>
        <x:v>36</x:v>
      </x:c>
      <x:c r="I19" s="111" t="n">
        <x:f>IFERROR(VLOOKUP($A19,'Mike QB'!$A$6:$L$40,8,FALSE),"")</x:f>
        <x:v>47</x:v>
      </x:c>
      <x:c r="J19" s="111" t="n">
        <x:f>IFERROR(VLOOKUP($A19,'Mike QB'!$A$6:$L$40,9,FALSE),"")</x:f>
        <x:v>1</x:v>
      </x:c>
      <x:c r="K19" s="111" t="n">
        <x:f>IFERROR(VLOOKUP($A19,'Mike QB'!$A$6:$L$40,10,FALSE),"")</x:f>
        <x:v>10</x:v>
      </x:c>
      <x:c r="L19" s="111" t="n">
        <x:f>IFERROR(VLOOKUP($A19,'Mike QB'!$A$6:$L$40,11,FALSE),"")</x:f>
        <x:v>6</x:v>
      </x:c>
      <x:c r="M19" s="109" t="n">
        <x:f>IFERROR(VLOOKUP($A19,'Andy QB'!$A$6:$L$41,4,FALSE),"")</x:f>
        <x:v>10</x:v>
      </x:c>
      <x:c r="N19" s="110" t="n">
        <x:f>IFERROR(VLOOKUP($A19,'Andy QB'!$A$6:$L$41,5,FALSE),"")</x:f>
        <x:v>17.7</x:v>
      </x:c>
      <x:c r="O19" s="111" t="n">
        <x:f>IFERROR(VLOOKUP($A19,'Andy QB'!$A$6:$L$41,6,FALSE),"")</x:f>
        <x:v>4550</x:v>
      </x:c>
      <x:c r="P19" s="111" t="n">
        <x:f>IFERROR(VLOOKUP($A19,'Andy QB'!$A$6:$L$41,7,FALSE),"")</x:f>
        <x:v>36</x:v>
      </x:c>
      <x:c r="Q19" s="111" t="n">
        <x:f>IFERROR(VLOOKUP($A19,'Andy QB'!$A$6:$L$41,8,FALSE),"")</x:f>
        <x:v>40</x:v>
      </x:c>
      <x:c r="R19" s="111" t="n">
        <x:f>IFERROR(VLOOKUP($A19,'Andy QB'!$A$6:$L$41,9,FALSE),"")</x:f>
        <x:v>0</x:v>
      </x:c>
      <x:c r="S19" s="111" t="n">
        <x:f>IFERROR(VLOOKUP($A19,'Andy QB'!$A$6:$L$41,10,FALSE),"")</x:f>
        <x:v>9</x:v>
      </x:c>
      <x:c r="T19" s="111" t="n">
        <x:f>IFERROR(VLOOKUP($A19,'Andy QB'!$A$6:$L$41,11,FALSE),"")</x:f>
        <x:v>2</x:v>
      </x:c>
      <x:c r="U19" s="109" t="n">
        <x:f>IFERROR(VLOOKUP($A19,'Jason QB'!$A$6:$L$41,4,FALSE),"")</x:f>
        <x:v>19</x:v>
      </x:c>
      <x:c r="V19" s="110" t="n">
        <x:f>IFERROR(VLOOKUP($A19,'Jason QB'!$A$6:$L$41,5,FALSE),"")</x:f>
        <x:v>17.3</x:v>
      </x:c>
      <x:c r="W19" s="111" t="n">
        <x:f>IFERROR(VLOOKUP($A19,'Jason QB'!$A$6:$L$41,6,FALSE),"")</x:f>
        <x:v>4650</x:v>
      </x:c>
      <x:c r="X19" s="111" t="n">
        <x:f>IFERROR(VLOOKUP($A19,'Jason QB'!$A$6:$L$41,7,FALSE),"")</x:f>
        <x:v>35</x:v>
      </x:c>
      <x:c r="Y19" s="111" t="n">
        <x:f>IFERROR(VLOOKUP($A19,'Jason QB'!$A$6:$L$41,8,FALSE),"")</x:f>
        <x:v>105</x:v>
      </x:c>
      <x:c r="Z19" s="111" t="n">
        <x:f>IFERROR(VLOOKUP($A19,'Jason QB'!$A$6:$L$41,9,FALSE),"")</x:f>
        <x:v>0</x:v>
      </x:c>
      <x:c r="AA19" s="111" t="n">
        <x:f>IFERROR(VLOOKUP($A19,'Jason QB'!$A$6:$L$41,10,FALSE),"")</x:f>
        <x:v>11</x:v>
      </x:c>
      <x:c r="AB19" s="111" t="n">
        <x:f>IFERROR(VLOOKUP($A19,'Jason QB'!$A$6:$L$41,11,FALSE),"")</x:f>
        <x:v>5</x:v>
      </x:c>
      <x:c r="AC19" s="110" t="n">
        <x:f>IF(COUNT(E19,M19,U19)=0,"",AVERAGE(E19,M19,U19))</x:f>
        <x:v>15.333333333333334</x:v>
      </x:c>
      <x:c r="AD19" s="110" t="n">
        <x:f>IF(COUNT(E19,M19,U19)=0,"",MAX(E19,M19,U19)-MIN(E19,M19,U19))</x:f>
        <x:v>9</x:v>
      </x:c>
      <x:c r="AE19" s="110" t="n">
        <x:f>IF(COUNT(F19,N19,V19)=0,"",AVERAGE(F19,N19,V19))</x:f>
        <x:v>17.2</x:v>
      </x:c>
      <x:c r="AF19" s="112" t="n">
        <x:f>IF(COUNT(G19,O19,W19)=0,"",AVERAGE(G19,O19,W19))</x:f>
        <x:v>4504</x:v>
      </x:c>
      <x:c r="AG19" s="112" t="n">
        <x:f>IF(COUNT(H19,P19,X19)=0,"",AVERAGE(H19,P19,X19))</x:f>
        <x:v>35.666666666666664</x:v>
      </x:c>
      <x:c r="AH19" s="112" t="n">
        <x:f>IF(COUNT(I19,Q19,Y19)=0,"",AVERAGE(I19,Q19,Y19))</x:f>
        <x:v>64</x:v>
      </x:c>
      <x:c r="AI19" s="112" t="n">
        <x:f>IF(COUNT(J19,R19,Z19)=0,"",AVERAGE(J19,R19,Z19))</x:f>
        <x:v>0.3333333333333333</x:v>
      </x:c>
      <x:c r="AJ19" s="112" t="n">
        <x:f>IF(COUNT(K19,S19,AA19)=0,"",AVERAGE(K19,S19,AA19))</x:f>
        <x:v>10</x:v>
      </x:c>
      <x:c r="AK19" s="112" t="n">
        <x:f>IF(COUNT(L19,T19,AB19)=0,"",AVERAGE(L19,T19,AB19))</x:f>
        <x:v>4.333333333333333</x:v>
      </x:c>
    </x:row>
    <x:row r="20">
      <x:c r="A20" s="107" t="str">
        <x:v>Brock Purdy</x:v>
      </x:c>
      <x:c r="B20" s="108" t="str">
        <x:v>QB</x:v>
      </x:c>
      <x:c r="C20" s="108" t="str">
        <x:v>SF</x:v>
      </x:c>
      <x:c r="D20" s="109" t="n">
        <x:v>8</x:v>
      </x:c>
      <x:c r="E20" s="109" t="n">
        <x:f>IFERROR(VLOOKUP($A20,'Mike QB'!$A$6:$L$40,4,FALSE),"")</x:f>
        <x:v>18</x:v>
      </x:c>
      <x:c r="F20" s="110" t="n">
        <x:f>IFERROR(VLOOKUP($A20,'Mike QB'!$A$6:$L$40,5,FALSE),"")</x:f>
        <x:v>16.6</x:v>
      </x:c>
      <x:c r="G20" s="111" t="n">
        <x:f>IFERROR(VLOOKUP($A20,'Mike QB'!$A$6:$L$40,6,FALSE),"")</x:f>
        <x:v>4152</x:v>
      </x:c>
      <x:c r="H20" s="111" t="n">
        <x:f>IFERROR(VLOOKUP($A20,'Mike QB'!$A$6:$L$40,7,FALSE),"")</x:f>
        <x:v>32</x:v>
      </x:c>
      <x:c r="I20" s="111" t="n">
        <x:f>IFERROR(VLOOKUP($A20,'Mike QB'!$A$6:$L$40,8,FALSE),"")</x:f>
        <x:v>258</x:v>
      </x:c>
      <x:c r="J20" s="111" t="n">
        <x:f>IFERROR(VLOOKUP($A20,'Mike QB'!$A$6:$L$40,9,FALSE),"")</x:f>
        <x:v>4</x:v>
      </x:c>
      <x:c r="K20" s="111" t="n">
        <x:f>IFERROR(VLOOKUP($A20,'Mike QB'!$A$6:$L$40,10,FALSE),"")</x:f>
        <x:v>17</x:v>
      </x:c>
      <x:c r="L20" s="111" t="n">
        <x:f>IFERROR(VLOOKUP($A20,'Mike QB'!$A$6:$L$40,11,FALSE),"")</x:f>
        <x:v>4</x:v>
      </x:c>
      <x:c r="M20" s="109" t="n">
        <x:f>IFERROR(VLOOKUP($A20,'Andy QB'!$A$6:$L$41,4,FALSE),"")</x:f>
        <x:v>16</x:v>
      </x:c>
      <x:c r="N20" s="110" t="n">
        <x:f>IFERROR(VLOOKUP($A20,'Andy QB'!$A$6:$L$41,5,FALSE),"")</x:f>
        <x:v>16.8</x:v>
      </x:c>
      <x:c r="O20" s="111" t="n">
        <x:f>IFERROR(VLOOKUP($A20,'Andy QB'!$A$6:$L$41,6,FALSE),"")</x:f>
        <x:v>4333</x:v>
      </x:c>
      <x:c r="P20" s="111" t="n">
        <x:f>IFERROR(VLOOKUP($A20,'Andy QB'!$A$6:$L$41,7,FALSE),"")</x:f>
        <x:v>30</x:v>
      </x:c>
      <x:c r="Q20" s="111" t="n">
        <x:f>IFERROR(VLOOKUP($A20,'Andy QB'!$A$6:$L$41,8,FALSE),"")</x:f>
        <x:v>215</x:v>
      </x:c>
      <x:c r="R20" s="111" t="n">
        <x:f>IFERROR(VLOOKUP($A20,'Andy QB'!$A$6:$L$41,9,FALSE),"")</x:f>
        <x:v>3</x:v>
      </x:c>
      <x:c r="S20" s="111" t="n">
        <x:f>IFERROR(VLOOKUP($A20,'Andy QB'!$A$6:$L$41,10,FALSE),"")</x:f>
        <x:v>13</x:v>
      </x:c>
      <x:c r="T20" s="111" t="n">
        <x:f>IFERROR(VLOOKUP($A20,'Andy QB'!$A$6:$L$41,11,FALSE),"")</x:f>
        <x:v>3</x:v>
      </x:c>
      <x:c r="U20" s="109" t="n">
        <x:f>IFERROR(VLOOKUP($A20,'Jason QB'!$A$6:$L$41,4,FALSE),"")</x:f>
        <x:v>14</x:v>
      </x:c>
      <x:c r="V20" s="110" t="n">
        <x:f>IFERROR(VLOOKUP($A20,'Jason QB'!$A$6:$L$41,5,FALSE),"")</x:f>
        <x:v>17.6</x:v>
      </x:c>
      <x:c r="W20" s="111" t="n">
        <x:f>IFERROR(VLOOKUP($A20,'Jason QB'!$A$6:$L$41,6,FALSE),"")</x:f>
        <x:v>4384</x:v>
      </x:c>
      <x:c r="X20" s="111" t="n">
        <x:f>IFERROR(VLOOKUP($A20,'Jason QB'!$A$6:$L$41,7,FALSE),"")</x:f>
        <x:v>33</x:v>
      </x:c>
      <x:c r="Y20" s="111" t="n">
        <x:f>IFERROR(VLOOKUP($A20,'Jason QB'!$A$6:$L$41,8,FALSE),"")</x:f>
        <x:v>225</x:v>
      </x:c>
      <x:c r="Z20" s="111" t="n">
        <x:f>IFERROR(VLOOKUP($A20,'Jason QB'!$A$6:$L$41,9,FALSE),"")</x:f>
        <x:v>3</x:v>
      </x:c>
      <x:c r="AA20" s="111" t="n">
        <x:f>IFERROR(VLOOKUP($A20,'Jason QB'!$A$6:$L$41,10,FALSE),"")</x:f>
        <x:v>13</x:v>
      </x:c>
      <x:c r="AB20" s="111" t="n">
        <x:f>IFERROR(VLOOKUP($A20,'Jason QB'!$A$6:$L$41,11,FALSE),"")</x:f>
        <x:v>5</x:v>
      </x:c>
      <x:c r="AC20" s="110" t="n">
        <x:f>IF(COUNT(E20,M20,U20)=0,"",AVERAGE(E20,M20,U20))</x:f>
        <x:v>16</x:v>
      </x:c>
      <x:c r="AD20" s="110" t="n">
        <x:f>IF(COUNT(E20,M20,U20)=0,"",MAX(E20,M20,U20)-MIN(E20,M20,U20))</x:f>
        <x:v>4</x:v>
      </x:c>
      <x:c r="AE20" s="110" t="n">
        <x:f>IF(COUNT(F20,N20,V20)=0,"",AVERAGE(F20,N20,V20))</x:f>
        <x:v>17.000000000000004</x:v>
      </x:c>
      <x:c r="AF20" s="112" t="n">
        <x:f>IF(COUNT(G20,O20,W20)=0,"",AVERAGE(G20,O20,W20))</x:f>
        <x:v>4289.666666666667</x:v>
      </x:c>
      <x:c r="AG20" s="112" t="n">
        <x:f>IF(COUNT(H20,P20,X20)=0,"",AVERAGE(H20,P20,X20))</x:f>
        <x:v>31.666666666666668</x:v>
      </x:c>
      <x:c r="AH20" s="112" t="n">
        <x:f>IF(COUNT(I20,Q20,Y20)=0,"",AVERAGE(I20,Q20,Y20))</x:f>
        <x:v>232.66666666666666</x:v>
      </x:c>
      <x:c r="AI20" s="112" t="n">
        <x:f>IF(COUNT(J20,R20,Z20)=0,"",AVERAGE(J20,R20,Z20))</x:f>
        <x:v>3.3333333333333335</x:v>
      </x:c>
      <x:c r="AJ20" s="112" t="n">
        <x:f>IF(COUNT(K20,S20,AA20)=0,"",AVERAGE(K20,S20,AA20))</x:f>
        <x:v>14.333333333333334</x:v>
      </x:c>
      <x:c r="AK20" s="112" t="n">
        <x:f>IF(COUNT(L20,T20,AB20)=0,"",AVERAGE(L20,T20,AB20))</x:f>
        <x:v>4</x:v>
      </x:c>
    </x:row>
    <x:row r="21">
      <x:c r="A21" s="107" t="str">
        <x:v>Jordan Love</x:v>
      </x:c>
      <x:c r="B21" s="108" t="str">
        <x:v>QB</x:v>
      </x:c>
      <x:c r="C21" s="108" t="str">
        <x:v>GB</x:v>
      </x:c>
      <x:c r="D21" s="109" t="n">
        <x:v>11</x:v>
      </x:c>
      <x:c r="E21" s="109" t="n">
        <x:f>IFERROR(VLOOKUP($A21,'Mike QB'!$A$6:$L$40,4,FALSE),"")</x:f>
        <x:v>15</x:v>
      </x:c>
      <x:c r="F21" s="110" t="n">
        <x:f>IFERROR(VLOOKUP($A21,'Mike QB'!$A$6:$L$40,5,FALSE),"")</x:f>
        <x:v>16.8</x:v>
      </x:c>
      <x:c r="G21" s="111" t="n">
        <x:f>IFERROR(VLOOKUP($A21,'Mike QB'!$A$6:$L$40,6,FALSE),"")</x:f>
        <x:v>4104</x:v>
      </x:c>
      <x:c r="H21" s="111" t="n">
        <x:f>IFERROR(VLOOKUP($A21,'Mike QB'!$A$6:$L$40,7,FALSE),"")</x:f>
        <x:v>31</x:v>
      </x:c>
      <x:c r="I21" s="111" t="n">
        <x:f>IFERROR(VLOOKUP($A21,'Mike QB'!$A$6:$L$40,8,FALSE),"")</x:f>
        <x:v>227</x:v>
      </x:c>
      <x:c r="J21" s="111" t="n">
        <x:f>IFERROR(VLOOKUP($A21,'Mike QB'!$A$6:$L$40,9,FALSE),"")</x:f>
        <x:v>2</x:v>
      </x:c>
      <x:c r="K21" s="111" t="n">
        <x:f>IFERROR(VLOOKUP($A21,'Mike QB'!$A$6:$L$40,10,FALSE),"")</x:f>
        <x:v>10</x:v>
      </x:c>
      <x:c r="L21" s="111" t="n">
        <x:f>IFERROR(VLOOKUP($A21,'Mike QB'!$A$6:$L$40,11,FALSE),"")</x:f>
        <x:v>5</x:v>
      </x:c>
      <x:c r="M21" s="109" t="n">
        <x:f>IFERROR(VLOOKUP($A21,'Andy QB'!$A$6:$L$41,4,FALSE),"")</x:f>
        <x:v>17</x:v>
      </x:c>
      <x:c r="N21" s="110" t="n">
        <x:f>IFERROR(VLOOKUP($A21,'Andy QB'!$A$6:$L$41,5,FALSE),"")</x:f>
        <x:v>16.8</x:v>
      </x:c>
      <x:c r="O21" s="111" t="n">
        <x:f>IFERROR(VLOOKUP($A21,'Andy QB'!$A$6:$L$41,6,FALSE),"")</x:f>
        <x:v>4317</x:v>
      </x:c>
      <x:c r="P21" s="111" t="n">
        <x:f>IFERROR(VLOOKUP($A21,'Andy QB'!$A$6:$L$41,7,FALSE),"")</x:f>
        <x:v>29</x:v>
      </x:c>
      <x:c r="Q21" s="111" t="n">
        <x:f>IFERROR(VLOOKUP($A21,'Andy QB'!$A$6:$L$41,8,FALSE),"")</x:f>
        <x:v>234</x:v>
      </x:c>
      <x:c r="R21" s="111" t="n">
        <x:f>IFERROR(VLOOKUP($A21,'Andy QB'!$A$6:$L$41,9,FALSE),"")</x:f>
        <x:v>1</x:v>
      </x:c>
      <x:c r="S21" s="111" t="n">
        <x:f>IFERROR(VLOOKUP($A21,'Andy QB'!$A$6:$L$41,10,FALSE),"")</x:f>
        <x:v>9</x:v>
      </x:c>
      <x:c r="T21" s="111" t="n">
        <x:f>IFERROR(VLOOKUP($A21,'Andy QB'!$A$6:$L$41,11,FALSE),"")</x:f>
        <x:v>3</x:v>
      </x:c>
      <x:c r="U21" s="109" t="n">
        <x:f>IFERROR(VLOOKUP($A21,'Jason QB'!$A$6:$L$41,4,FALSE),"")</x:f>
        <x:v>16</x:v>
      </x:c>
      <x:c r="V21" s="110" t="n">
        <x:f>IFERROR(VLOOKUP($A21,'Jason QB'!$A$6:$L$41,5,FALSE),"")</x:f>
        <x:v>17.4</x:v>
      </x:c>
      <x:c r="W21" s="111" t="n">
        <x:f>IFERROR(VLOOKUP($A21,'Jason QB'!$A$6:$L$41,6,FALSE),"")</x:f>
        <x:v>4250</x:v>
      </x:c>
      <x:c r="X21" s="111" t="n">
        <x:f>IFERROR(VLOOKUP($A21,'Jason QB'!$A$6:$L$41,7,FALSE),"")</x:f>
        <x:v>32</x:v>
      </x:c>
      <x:c r="Y21" s="111" t="n">
        <x:f>IFERROR(VLOOKUP($A21,'Jason QB'!$A$6:$L$41,8,FALSE),"")</x:f>
        <x:v>180</x:v>
      </x:c>
      <x:c r="Z21" s="111" t="n">
        <x:f>IFERROR(VLOOKUP($A21,'Jason QB'!$A$6:$L$41,9,FALSE),"")</x:f>
        <x:v>2</x:v>
      </x:c>
      <x:c r="AA21" s="111" t="n">
        <x:f>IFERROR(VLOOKUP($A21,'Jason QB'!$A$6:$L$41,10,FALSE),"")</x:f>
        <x:v>8</x:v>
      </x:c>
      <x:c r="AB21" s="111" t="n">
        <x:f>IFERROR(VLOOKUP($A21,'Jason QB'!$A$6:$L$41,11,FALSE),"")</x:f>
        <x:v>4</x:v>
      </x:c>
      <x:c r="AC21" s="110" t="n">
        <x:f>IF(COUNT(E21,M21,U21)=0,"",AVERAGE(E21,M21,U21))</x:f>
        <x:v>16</x:v>
      </x:c>
      <x:c r="AD21" s="110" t="n">
        <x:f>IF(COUNT(E21,M21,U21)=0,"",MAX(E21,M21,U21)-MIN(E21,M21,U21))</x:f>
        <x:v>2</x:v>
      </x:c>
      <x:c r="AE21" s="110" t="n">
        <x:f>IF(COUNT(F21,N21,V21)=0,"",AVERAGE(F21,N21,V21))</x:f>
        <x:v>17</x:v>
      </x:c>
      <x:c r="AF21" s="112" t="n">
        <x:f>IF(COUNT(G21,O21,W21)=0,"",AVERAGE(G21,O21,W21))</x:f>
        <x:v>4223.666666666667</x:v>
      </x:c>
      <x:c r="AG21" s="112" t="n">
        <x:f>IF(COUNT(H21,P21,X21)=0,"",AVERAGE(H21,P21,X21))</x:f>
        <x:v>30.666666666666668</x:v>
      </x:c>
      <x:c r="AH21" s="112" t="n">
        <x:f>IF(COUNT(I21,Q21,Y21)=0,"",AVERAGE(I21,Q21,Y21))</x:f>
        <x:v>213.66666666666666</x:v>
      </x:c>
      <x:c r="AI21" s="112" t="n">
        <x:f>IF(COUNT(J21,R21,Z21)=0,"",AVERAGE(J21,R21,Z21))</x:f>
        <x:v>1.6666666666666667</x:v>
      </x:c>
      <x:c r="AJ21" s="112" t="n">
        <x:f>IF(COUNT(K21,S21,AA21)=0,"",AVERAGE(K21,S21,AA21))</x:f>
        <x:v>9</x:v>
      </x:c>
      <x:c r="AK21" s="112" t="n">
        <x:f>IF(COUNT(L21,T21,AB21)=0,"",AVERAGE(L21,T21,AB21))</x:f>
        <x:v>4</x:v>
      </x:c>
    </x:row>
    <x:row r="22">
      <x:c r="A22" s="107" t="str">
        <x:v>Kyler Murray</x:v>
      </x:c>
      <x:c r="B22" s="108" t="str">
        <x:v>QB</x:v>
      </x:c>
      <x:c r="C22" s="108" t="str">
        <x:v>MIN</x:v>
      </x:c>
      <x:c r="D22" s="109" t="n">
        <x:v>6</x:v>
      </x:c>
      <x:c r="E22" s="109" t="n">
        <x:f>IFERROR(VLOOKUP($A22,'Mike QB'!$A$6:$L$40,4,FALSE),"")</x:f>
        <x:v>16</x:v>
      </x:c>
      <x:c r="F22" s="110" t="n">
        <x:f>IFERROR(VLOOKUP($A22,'Mike QB'!$A$6:$L$40,5,FALSE),"")</x:f>
        <x:v>16.7</x:v>
      </x:c>
      <x:c r="G22" s="111" t="n">
        <x:f>IFERROR(VLOOKUP($A22,'Mike QB'!$A$6:$L$40,6,FALSE),"")</x:f>
        <x:v>3400</x:v>
      </x:c>
      <x:c r="H22" s="111" t="n">
        <x:f>IFERROR(VLOOKUP($A22,'Mike QB'!$A$6:$L$40,7,FALSE),"")</x:f>
        <x:v>24</x:v>
      </x:c>
      <x:c r="I22" s="111" t="n">
        <x:f>IFERROR(VLOOKUP($A22,'Mike QB'!$A$6:$L$40,8,FALSE),"")</x:f>
        <x:v>574</x:v>
      </x:c>
      <x:c r="J22" s="111" t="n">
        <x:f>IFERROR(VLOOKUP($A22,'Mike QB'!$A$6:$L$40,9,FALSE),"")</x:f>
        <x:v>6</x:v>
      </x:c>
      <x:c r="K22" s="111" t="n">
        <x:f>IFERROR(VLOOKUP($A22,'Mike QB'!$A$6:$L$40,10,FALSE),"")</x:f>
        <x:v>10</x:v>
      </x:c>
      <x:c r="L22" s="111" t="n">
        <x:f>IFERROR(VLOOKUP($A22,'Mike QB'!$A$6:$L$40,11,FALSE),"")</x:f>
        <x:v>5</x:v>
      </x:c>
      <x:c r="M22" s="109" t="n">
        <x:f>IFERROR(VLOOKUP($A22,'Andy QB'!$A$6:$L$41,4,FALSE),"")</x:f>
        <x:v>15</x:v>
      </x:c>
      <x:c r="N22" s="110" t="n">
        <x:f>IFERROR(VLOOKUP($A22,'Andy QB'!$A$6:$L$41,5,FALSE),"")</x:f>
        <x:v>16.8</x:v>
      </x:c>
      <x:c r="O22" s="111" t="n">
        <x:f>IFERROR(VLOOKUP($A22,'Andy QB'!$A$6:$L$41,6,FALSE),"")</x:f>
        <x:v>3637</x:v>
      </x:c>
      <x:c r="P22" s="111" t="n">
        <x:f>IFERROR(VLOOKUP($A22,'Andy QB'!$A$6:$L$41,7,FALSE),"")</x:f>
        <x:v>27</x:v>
      </x:c>
      <x:c r="Q22" s="111" t="n">
        <x:f>IFERROR(VLOOKUP($A22,'Andy QB'!$A$6:$L$41,8,FALSE),"")</x:f>
        <x:v>457</x:v>
      </x:c>
      <x:c r="R22" s="111" t="n">
        <x:f>IFERROR(VLOOKUP($A22,'Andy QB'!$A$6:$L$41,9,FALSE),"")</x:f>
        <x:v>5</x:v>
      </x:c>
      <x:c r="S22" s="111" t="n">
        <x:f>IFERROR(VLOOKUP($A22,'Andy QB'!$A$6:$L$41,10,FALSE),"")</x:f>
        <x:v>12</x:v>
      </x:c>
      <x:c r="T22" s="111" t="n">
        <x:f>IFERROR(VLOOKUP($A22,'Andy QB'!$A$6:$L$41,11,FALSE),"")</x:f>
        <x:v>4</x:v>
      </x:c>
      <x:c r="U22" s="109" t="n">
        <x:f>IFERROR(VLOOKUP($A22,'Jason QB'!$A$6:$L$41,4,FALSE),"")</x:f>
        <x:v>18</x:v>
      </x:c>
      <x:c r="V22" s="110" t="n">
        <x:f>IFERROR(VLOOKUP($A22,'Jason QB'!$A$6:$L$41,5,FALSE),"")</x:f>
        <x:v>17.3</x:v>
      </x:c>
      <x:c r="W22" s="111" t="n">
        <x:f>IFERROR(VLOOKUP($A22,'Jason QB'!$A$6:$L$41,6,FALSE),"")</x:f>
        <x:v>3745</x:v>
      </x:c>
      <x:c r="X22" s="111" t="n">
        <x:f>IFERROR(VLOOKUP($A22,'Jason QB'!$A$6:$L$41,7,FALSE),"")</x:f>
        <x:v>24</x:v>
      </x:c>
      <x:c r="Y22" s="111" t="n">
        <x:f>IFERROR(VLOOKUP($A22,'Jason QB'!$A$6:$L$41,8,FALSE),"")</x:f>
        <x:v>560</x:v>
      </x:c>
      <x:c r="Z22" s="111" t="n">
        <x:f>IFERROR(VLOOKUP($A22,'Jason QB'!$A$6:$L$41,9,FALSE),"")</x:f>
        <x:v>5</x:v>
      </x:c>
      <x:c r="AA22" s="111" t="n">
        <x:f>IFERROR(VLOOKUP($A22,'Jason QB'!$A$6:$L$41,10,FALSE),"")</x:f>
        <x:v>11</x:v>
      </x:c>
      <x:c r="AB22" s="111" t="n">
        <x:f>IFERROR(VLOOKUP($A22,'Jason QB'!$A$6:$L$41,11,FALSE),"")</x:f>
        <x:v>3</x:v>
      </x:c>
      <x:c r="AC22" s="110" t="n">
        <x:f>IF(COUNT(E22,M22,U22)=0,"",AVERAGE(E22,M22,U22))</x:f>
        <x:v>16.333333333333332</x:v>
      </x:c>
      <x:c r="AD22" s="110" t="n">
        <x:f>IF(COUNT(E22,M22,U22)=0,"",MAX(E22,M22,U22)-MIN(E22,M22,U22))</x:f>
        <x:v>3</x:v>
      </x:c>
      <x:c r="AE22" s="110" t="n">
        <x:f>IF(COUNT(F22,N22,V22)=0,"",AVERAGE(F22,N22,V22))</x:f>
        <x:v>16.933333333333334</x:v>
      </x:c>
      <x:c r="AF22" s="112" t="n">
        <x:f>IF(COUNT(G22,O22,W22)=0,"",AVERAGE(G22,O22,W22))</x:f>
        <x:v>3594</x:v>
      </x:c>
      <x:c r="AG22" s="112" t="n">
        <x:f>IF(COUNT(H22,P22,X22)=0,"",AVERAGE(H22,P22,X22))</x:f>
        <x:v>25</x:v>
      </x:c>
      <x:c r="AH22" s="112" t="n">
        <x:f>IF(COUNT(I22,Q22,Y22)=0,"",AVERAGE(I22,Q22,Y22))</x:f>
        <x:v>530.3333333333334</x:v>
      </x:c>
      <x:c r="AI22" s="112" t="n">
        <x:f>IF(COUNT(J22,R22,Z22)=0,"",AVERAGE(J22,R22,Z22))</x:f>
        <x:v>5.333333333333333</x:v>
      </x:c>
      <x:c r="AJ22" s="112" t="n">
        <x:f>IF(COUNT(K22,S22,AA22)=0,"",AVERAGE(K22,S22,AA22))</x:f>
        <x:v>11</x:v>
      </x:c>
      <x:c r="AK22" s="112" t="n">
        <x:f>IF(COUNT(L22,T22,AB22)=0,"",AVERAGE(L22,T22,AB22))</x:f>
        <x:v>4</x:v>
      </x:c>
    </x:row>
    <x:row r="23">
      <x:c r="A23" s="107" t="str">
        <x:v>Patrick Mahomes</x:v>
      </x:c>
      <x:c r="B23" s="108" t="str">
        <x:v>QB</x:v>
      </x:c>
      <x:c r="C23" s="108" t="str">
        <x:v>KC</x:v>
      </x:c>
      <x:c r="D23" s="109" t="n">
        <x:v>5</x:v>
      </x:c>
      <x:c r="E23" s="109" t="n">
        <x:f>IFERROR(VLOOKUP($A23,'Mike QB'!$A$6:$L$40,4,FALSE),"")</x:f>
        <x:v>20</x:v>
      </x:c>
      <x:c r="F23" s="110" t="n">
        <x:f>IFERROR(VLOOKUP($A23,'Mike QB'!$A$6:$L$40,5,FALSE),"")</x:f>
        <x:v>15.8</x:v>
      </x:c>
      <x:c r="G23" s="111" t="n">
        <x:f>IFERROR(VLOOKUP($A23,'Mike QB'!$A$6:$L$40,6,FALSE),"")</x:f>
        <x:v>4050</x:v>
      </x:c>
      <x:c r="H23" s="111" t="n">
        <x:f>IFERROR(VLOOKUP($A23,'Mike QB'!$A$6:$L$40,7,FALSE),"")</x:f>
        <x:v>29</x:v>
      </x:c>
      <x:c r="I23" s="111" t="n">
        <x:f>IFERROR(VLOOKUP($A23,'Mike QB'!$A$6:$L$40,8,FALSE),"")</x:f>
        <x:v>227</x:v>
      </x:c>
      <x:c r="J23" s="111" t="n">
        <x:f>IFERROR(VLOOKUP($A23,'Mike QB'!$A$6:$L$40,9,FALSE),"")</x:f>
        <x:v>2</x:v>
      </x:c>
      <x:c r="K23" s="111" t="n">
        <x:f>IFERROR(VLOOKUP($A23,'Mike QB'!$A$6:$L$40,10,FALSE),"")</x:f>
        <x:v>13</x:v>
      </x:c>
      <x:c r="L23" s="111" t="n">
        <x:f>IFERROR(VLOOKUP($A23,'Mike QB'!$A$6:$L$40,11,FALSE),"")</x:f>
        <x:v>3</x:v>
      </x:c>
      <x:c r="M23" s="109" t="n">
        <x:f>IFERROR(VLOOKUP($A23,'Andy QB'!$A$6:$L$41,4,FALSE),"")</x:f>
        <x:v>18</x:v>
      </x:c>
      <x:c r="N23" s="110" t="n">
        <x:f>IFERROR(VLOOKUP($A23,'Andy QB'!$A$6:$L$41,5,FALSE),"")</x:f>
        <x:v>16.7</x:v>
      </x:c>
      <x:c r="O23" s="111" t="n">
        <x:f>IFERROR(VLOOKUP($A23,'Andy QB'!$A$6:$L$41,6,FALSE),"")</x:f>
        <x:v>3950</x:v>
      </x:c>
      <x:c r="P23" s="111" t="n">
        <x:f>IFERROR(VLOOKUP($A23,'Andy QB'!$A$6:$L$41,7,FALSE),"")</x:f>
        <x:v>28</x:v>
      </x:c>
      <x:c r="Q23" s="111" t="n">
        <x:f>IFERROR(VLOOKUP($A23,'Andy QB'!$A$6:$L$41,8,FALSE),"")</x:f>
        <x:v>290</x:v>
      </x:c>
      <x:c r="R23" s="111" t="n">
        <x:f>IFERROR(VLOOKUP($A23,'Andy QB'!$A$6:$L$41,9,FALSE),"")</x:f>
        <x:v>4</x:v>
      </x:c>
      <x:c r="S23" s="111" t="n">
        <x:f>IFERROR(VLOOKUP($A23,'Andy QB'!$A$6:$L$41,10,FALSE),"")</x:f>
        <x:v>11</x:v>
      </x:c>
      <x:c r="T23" s="111" t="n">
        <x:f>IFERROR(VLOOKUP($A23,'Andy QB'!$A$6:$L$41,11,FALSE),"")</x:f>
        <x:v>3</x:v>
      </x:c>
      <x:c r="U23" s="109" t="n">
        <x:f>IFERROR(VLOOKUP($A23,'Jason QB'!$A$6:$L$41,4,FALSE),"")</x:f>
        <x:v>13</x:v>
      </x:c>
      <x:c r="V23" s="110" t="n">
        <x:f>IFERROR(VLOOKUP($A23,'Jason QB'!$A$6:$L$41,5,FALSE),"")</x:f>
        <x:v>17.6</x:v>
      </x:c>
      <x:c r="W23" s="111" t="n">
        <x:f>IFERROR(VLOOKUP($A23,'Jason QB'!$A$6:$L$41,6,FALSE),"")</x:f>
        <x:v>4336</x:v>
      </x:c>
      <x:c r="X23" s="111" t="n">
        <x:f>IFERROR(VLOOKUP($A23,'Jason QB'!$A$6:$L$41,7,FALSE),"")</x:f>
        <x:v>31</x:v>
      </x:c>
      <x:c r="Y23" s="111" t="n">
        <x:f>IFERROR(VLOOKUP($A23,'Jason QB'!$A$6:$L$41,8,FALSE),"")</x:f>
        <x:v>248</x:v>
      </x:c>
      <x:c r="Z23" s="111" t="n">
        <x:f>IFERROR(VLOOKUP($A23,'Jason QB'!$A$6:$L$41,9,FALSE),"")</x:f>
        <x:v>2</x:v>
      </x:c>
      <x:c r="AA23" s="111" t="n">
        <x:f>IFERROR(VLOOKUP($A23,'Jason QB'!$A$6:$L$41,10,FALSE),"")</x:f>
        <x:v>11</x:v>
      </x:c>
      <x:c r="AB23" s="111" t="n">
        <x:f>IFERROR(VLOOKUP($A23,'Jason QB'!$A$6:$L$41,11,FALSE),"")</x:f>
        <x:v>1</x:v>
      </x:c>
      <x:c r="AC23" s="110" t="n">
        <x:f>IF(COUNT(E23,M23,U23)=0,"",AVERAGE(E23,M23,U23))</x:f>
        <x:v>17</x:v>
      </x:c>
      <x:c r="AD23" s="110" t="n">
        <x:f>IF(COUNT(E23,M23,U23)=0,"",MAX(E23,M23,U23)-MIN(E23,M23,U23))</x:f>
        <x:v>7</x:v>
      </x:c>
      <x:c r="AE23" s="110" t="n">
        <x:f>IF(COUNT(F23,N23,V23)=0,"",AVERAGE(F23,N23,V23))</x:f>
        <x:v>16.7</x:v>
      </x:c>
      <x:c r="AF23" s="112" t="n">
        <x:f>IF(COUNT(G23,O23,W23)=0,"",AVERAGE(G23,O23,W23))</x:f>
        <x:v>4112</x:v>
      </x:c>
      <x:c r="AG23" s="112" t="n">
        <x:f>IF(COUNT(H23,P23,X23)=0,"",AVERAGE(H23,P23,X23))</x:f>
        <x:v>29.333333333333332</x:v>
      </x:c>
      <x:c r="AH23" s="112" t="n">
        <x:f>IF(COUNT(I23,Q23,Y23)=0,"",AVERAGE(I23,Q23,Y23))</x:f>
        <x:v>255</x:v>
      </x:c>
      <x:c r="AI23" s="112" t="n">
        <x:f>IF(COUNT(J23,R23,Z23)=0,"",AVERAGE(J23,R23,Z23))</x:f>
        <x:v>2.6666666666666665</x:v>
      </x:c>
      <x:c r="AJ23" s="112" t="n">
        <x:f>IF(COUNT(K23,S23,AA23)=0,"",AVERAGE(K23,S23,AA23))</x:f>
        <x:v>11.666666666666666</x:v>
      </x:c>
      <x:c r="AK23" s="112" t="n">
        <x:f>IF(COUNT(L23,T23,AB23)=0,"",AVERAGE(L23,T23,AB23))</x:f>
        <x:v>2.3333333333333335</x:v>
      </x:c>
    </x:row>
    <x:row r="24">
      <x:c r="A24" s="107" t="str">
        <x:v>Tyler Shough</x:v>
      </x:c>
      <x:c r="B24" s="108" t="str">
        <x:v>QB</x:v>
      </x:c>
      <x:c r="C24" s="108" t="str">
        <x:v>NO</x:v>
      </x:c>
      <x:c r="D24" s="109" t="n">
        <x:v>8</x:v>
      </x:c>
      <x:c r="E24" s="109" t="n">
        <x:f>IFERROR(VLOOKUP($A24,'Mike QB'!$A$6:$L$40,4,FALSE),"")</x:f>
        <x:v>12</x:v>
      </x:c>
      <x:c r="F24" s="110" t="n">
        <x:f>IFERROR(VLOOKUP($A24,'Mike QB'!$A$6:$L$40,5,FALSE),"")</x:f>
        <x:v>17.2</x:v>
      </x:c>
      <x:c r="G24" s="111" t="n">
        <x:f>IFERROR(VLOOKUP($A24,'Mike QB'!$A$6:$L$40,6,FALSE),"")</x:f>
        <x:v>4221</x:v>
      </x:c>
      <x:c r="H24" s="111" t="n">
        <x:f>IFERROR(VLOOKUP($A24,'Mike QB'!$A$6:$L$40,7,FALSE),"")</x:f>
        <x:v>29</x:v>
      </x:c>
      <x:c r="I24" s="111" t="n">
        <x:f>IFERROR(VLOOKUP($A24,'Mike QB'!$A$6:$L$40,8,FALSE),"")</x:f>
        <x:v>252</x:v>
      </x:c>
      <x:c r="J24" s="111" t="n">
        <x:f>IFERROR(VLOOKUP($A24,'Mike QB'!$A$6:$L$40,9,FALSE),"")</x:f>
        <x:v>3</x:v>
      </x:c>
      <x:c r="K24" s="111" t="n">
        <x:f>IFERROR(VLOOKUP($A24,'Mike QB'!$A$6:$L$40,10,FALSE),"")</x:f>
        <x:v>10</x:v>
      </x:c>
      <x:c r="L24" s="111" t="n">
        <x:f>IFERROR(VLOOKUP($A24,'Mike QB'!$A$6:$L$40,11,FALSE),"")</x:f>
        <x:v>3</x:v>
      </x:c>
      <x:c r="M24" s="109" t="n">
        <x:f>IFERROR(VLOOKUP($A24,'Andy QB'!$A$6:$L$41,4,FALSE),"")</x:f>
        <x:v>19</x:v>
      </x:c>
      <x:c r="N24" s="110" t="n">
        <x:f>IFERROR(VLOOKUP($A24,'Andy QB'!$A$6:$L$41,5,FALSE),"")</x:f>
        <x:v>16.7</x:v>
      </x:c>
      <x:c r="O24" s="111" t="n">
        <x:f>IFERROR(VLOOKUP($A24,'Andy QB'!$A$6:$L$41,6,FALSE),"")</x:f>
        <x:v>4245</x:v>
      </x:c>
      <x:c r="P24" s="111" t="n">
        <x:f>IFERROR(VLOOKUP($A24,'Andy QB'!$A$6:$L$41,7,FALSE),"")</x:f>
        <x:v>24</x:v>
      </x:c>
      <x:c r="Q24" s="111" t="n">
        <x:f>IFERROR(VLOOKUP($A24,'Andy QB'!$A$6:$L$41,8,FALSE),"")</x:f>
        <x:v>342</x:v>
      </x:c>
      <x:c r="R24" s="111" t="n">
        <x:f>IFERROR(VLOOKUP($A24,'Andy QB'!$A$6:$L$41,9,FALSE),"")</x:f>
        <x:v>3</x:v>
      </x:c>
      <x:c r="S24" s="111" t="n">
        <x:f>IFERROR(VLOOKUP($A24,'Andy QB'!$A$6:$L$41,10,FALSE),"")</x:f>
        <x:v>10</x:v>
      </x:c>
      <x:c r="T24" s="111" t="n">
        <x:f>IFERROR(VLOOKUP($A24,'Andy QB'!$A$6:$L$41,11,FALSE),"")</x:f>
        <x:v>3</x:v>
      </x:c>
      <x:c r="U24" s="109" t="n">
        <x:f>IFERROR(VLOOKUP($A24,'Jason QB'!$A$6:$L$41,4,FALSE),"")</x:f>
        <x:v>20</x:v>
      </x:c>
      <x:c r="V24" s="110" t="n">
        <x:f>IFERROR(VLOOKUP($A24,'Jason QB'!$A$6:$L$41,5,FALSE),"")</x:f>
        <x:v>17.1</x:v>
      </x:c>
      <x:c r="W24" s="111" t="n">
        <x:f>IFERROR(VLOOKUP($A24,'Jason QB'!$A$6:$L$41,6,FALSE),"")</x:f>
        <x:v>4180</x:v>
      </x:c>
      <x:c r="X24" s="111" t="n">
        <x:f>IFERROR(VLOOKUP($A24,'Jason QB'!$A$6:$L$41,7,FALSE),"")</x:f>
        <x:v>26</x:v>
      </x:c>
      <x:c r="Y24" s="111" t="n">
        <x:f>IFERROR(VLOOKUP($A24,'Jason QB'!$A$6:$L$41,8,FALSE),"")</x:f>
        <x:v>413</x:v>
      </x:c>
      <x:c r="Z24" s="111" t="n">
        <x:f>IFERROR(VLOOKUP($A24,'Jason QB'!$A$6:$L$41,9,FALSE),"")</x:f>
        <x:v>4</x:v>
      </x:c>
      <x:c r="AA24" s="111" t="n">
        <x:f>IFERROR(VLOOKUP($A24,'Jason QB'!$A$6:$L$41,10,FALSE),"")</x:f>
        <x:v>12</x:v>
      </x:c>
      <x:c r="AB24" s="111" t="n">
        <x:f>IFERROR(VLOOKUP($A24,'Jason QB'!$A$6:$L$41,11,FALSE),"")</x:f>
        <x:v>5</x:v>
      </x:c>
      <x:c r="AC24" s="110" t="n">
        <x:f>IF(COUNT(E24,M24,U24)=0,"",AVERAGE(E24,M24,U24))</x:f>
        <x:v>17</x:v>
      </x:c>
      <x:c r="AD24" s="110" t="n">
        <x:f>IF(COUNT(E24,M24,U24)=0,"",MAX(E24,M24,U24)-MIN(E24,M24,U24))</x:f>
        <x:v>8</x:v>
      </x:c>
      <x:c r="AE24" s="110" t="n">
        <x:f>IF(COUNT(F24,N24,V24)=0,"",AVERAGE(F24,N24,V24))</x:f>
        <x:v>17</x:v>
      </x:c>
      <x:c r="AF24" s="112" t="n">
        <x:f>IF(COUNT(G24,O24,W24)=0,"",AVERAGE(G24,O24,W24))</x:f>
        <x:v>4215.333333333333</x:v>
      </x:c>
      <x:c r="AG24" s="112" t="n">
        <x:f>IF(COUNT(H24,P24,X24)=0,"",AVERAGE(H24,P24,X24))</x:f>
        <x:v>26.333333333333332</x:v>
      </x:c>
      <x:c r="AH24" s="112" t="n">
        <x:f>IF(COUNT(I24,Q24,Y24)=0,"",AVERAGE(I24,Q24,Y24))</x:f>
        <x:v>335.6666666666667</x:v>
      </x:c>
      <x:c r="AI24" s="112" t="n">
        <x:f>IF(COUNT(J24,R24,Z24)=0,"",AVERAGE(J24,R24,Z24))</x:f>
        <x:v>3.3333333333333335</x:v>
      </x:c>
      <x:c r="AJ24" s="112" t="n">
        <x:f>IF(COUNT(K24,S24,AA24)=0,"",AVERAGE(K24,S24,AA24))</x:f>
        <x:v>10.666666666666666</x:v>
      </x:c>
      <x:c r="AK24" s="112" t="n">
        <x:f>IF(COUNT(L24,T24,AB24)=0,"",AVERAGE(L24,T24,AB24))</x:f>
        <x:v>3.6666666666666665</x:v>
      </x:c>
    </x:row>
    <x:row r="25">
      <x:c r="A25" s="107" t="str">
        <x:v>Baker Mayfield</x:v>
      </x:c>
      <x:c r="B25" s="108" t="str">
        <x:v>QB</x:v>
      </x:c>
      <x:c r="C25" s="108" t="str">
        <x:v>TB</x:v>
      </x:c>
      <x:c r="D25" s="109" t="n">
        <x:v>10</x:v>
      </x:c>
      <x:c r="E25" s="109" t="n">
        <x:f>IFERROR(VLOOKUP($A25,'Mike QB'!$A$6:$L$40,4,FALSE),"")</x:f>
        <x:v>19</x:v>
      </x:c>
      <x:c r="F25" s="110" t="n">
        <x:f>IFERROR(VLOOKUP($A25,'Mike QB'!$A$6:$L$40,5,FALSE),"")</x:f>
        <x:v>16.4</x:v>
      </x:c>
      <x:c r="G25" s="111" t="n">
        <x:f>IFERROR(VLOOKUP($A25,'Mike QB'!$A$6:$L$40,6,FALSE),"")</x:f>
        <x:v>3938</x:v>
      </x:c>
      <x:c r="H25" s="111" t="n">
        <x:f>IFERROR(VLOOKUP($A25,'Mike QB'!$A$6:$L$40,7,FALSE),"")</x:f>
        <x:v>32</x:v>
      </x:c>
      <x:c r="I25" s="111" t="n">
        <x:f>IFERROR(VLOOKUP($A25,'Mike QB'!$A$6:$L$40,8,FALSE),"")</x:f>
        <x:v>325</x:v>
      </x:c>
      <x:c r="J25" s="111" t="n">
        <x:f>IFERROR(VLOOKUP($A25,'Mike QB'!$A$6:$L$40,9,FALSE),"")</x:f>
        <x:v>3</x:v>
      </x:c>
      <x:c r="K25" s="111" t="n">
        <x:f>IFERROR(VLOOKUP($A25,'Mike QB'!$A$6:$L$40,10,FALSE),"")</x:f>
        <x:v>13</x:v>
      </x:c>
      <x:c r="L25" s="111" t="n">
        <x:f>IFERROR(VLOOKUP($A25,'Mike QB'!$A$6:$L$40,11,FALSE),"")</x:f>
        <x:v>9</x:v>
      </x:c>
      <x:c r="M25" s="109" t="n">
        <x:f>IFERROR(VLOOKUP($A25,'Andy QB'!$A$6:$L$41,4,FALSE),"")</x:f>
        <x:v>21</x:v>
      </x:c>
      <x:c r="N25" s="110" t="n">
        <x:f>IFERROR(VLOOKUP($A25,'Andy QB'!$A$6:$L$41,5,FALSE),"")</x:f>
        <x:v>16.2</x:v>
      </x:c>
      <x:c r="O25" s="111" t="n">
        <x:f>IFERROR(VLOOKUP($A25,'Andy QB'!$A$6:$L$41,6,FALSE),"")</x:f>
        <x:v>4233</x:v>
      </x:c>
      <x:c r="P25" s="111" t="n">
        <x:f>IFERROR(VLOOKUP($A25,'Andy QB'!$A$6:$L$41,7,FALSE),"")</x:f>
        <x:v>28</x:v>
      </x:c>
      <x:c r="Q25" s="111" t="n">
        <x:f>IFERROR(VLOOKUP($A25,'Andy QB'!$A$6:$L$41,8,FALSE),"")</x:f>
        <x:v>320</x:v>
      </x:c>
      <x:c r="R25" s="111" t="n">
        <x:f>IFERROR(VLOOKUP($A25,'Andy QB'!$A$6:$L$41,9,FALSE),"")</x:f>
        <x:v>1</x:v>
      </x:c>
      <x:c r="S25" s="111" t="n">
        <x:f>IFERROR(VLOOKUP($A25,'Andy QB'!$A$6:$L$41,10,FALSE),"")</x:f>
        <x:v>12</x:v>
      </x:c>
      <x:c r="T25" s="111" t="n">
        <x:f>IFERROR(VLOOKUP($A25,'Andy QB'!$A$6:$L$41,11,FALSE),"")</x:f>
        <x:v>4</x:v>
      </x:c>
      <x:c r="U25" s="109" t="n">
        <x:f>IFERROR(VLOOKUP($A25,'Jason QB'!$A$6:$L$41,4,FALSE),"")</x:f>
        <x:v>15</x:v>
      </x:c>
      <x:c r="V25" s="110" t="n">
        <x:f>IFERROR(VLOOKUP($A25,'Jason QB'!$A$6:$L$41,5,FALSE),"")</x:f>
        <x:v>17.4</x:v>
      </x:c>
      <x:c r="W25" s="111" t="n">
        <x:f>IFERROR(VLOOKUP($A25,'Jason QB'!$A$6:$L$41,6,FALSE),"")</x:f>
        <x:v>4364</x:v>
      </x:c>
      <x:c r="X25" s="111" t="n">
        <x:f>IFERROR(VLOOKUP($A25,'Jason QB'!$A$6:$L$41,7,FALSE),"")</x:f>
        <x:v>32</x:v>
      </x:c>
      <x:c r="Y25" s="111" t="n">
        <x:f>IFERROR(VLOOKUP($A25,'Jason QB'!$A$6:$L$41,8,FALSE),"")</x:f>
        <x:v>310</x:v>
      </x:c>
      <x:c r="Z25" s="111" t="n">
        <x:f>IFERROR(VLOOKUP($A25,'Jason QB'!$A$6:$L$41,9,FALSE),"")</x:f>
        <x:v>2</x:v>
      </x:c>
      <x:c r="AA25" s="111" t="n">
        <x:f>IFERROR(VLOOKUP($A25,'Jason QB'!$A$6:$L$41,10,FALSE),"")</x:f>
        <x:v>13</x:v>
      </x:c>
      <x:c r="AB25" s="111" t="n">
        <x:f>IFERROR(VLOOKUP($A25,'Jason QB'!$A$6:$L$41,11,FALSE),"")</x:f>
        <x:v>4</x:v>
      </x:c>
      <x:c r="AC25" s="110" t="n">
        <x:f>IF(COUNT(E25,M25,U25)=0,"",AVERAGE(E25,M25,U25))</x:f>
        <x:v>18.333333333333332</x:v>
      </x:c>
      <x:c r="AD25" s="110" t="n">
        <x:f>IF(COUNT(E25,M25,U25)=0,"",MAX(E25,M25,U25)-MIN(E25,M25,U25))</x:f>
        <x:v>6</x:v>
      </x:c>
      <x:c r="AE25" s="110" t="n">
        <x:f>IF(COUNT(F25,N25,V25)=0,"",AVERAGE(F25,N25,V25))</x:f>
        <x:v>16.666666666666664</x:v>
      </x:c>
      <x:c r="AF25" s="112" t="n">
        <x:f>IF(COUNT(G25,O25,W25)=0,"",AVERAGE(G25,O25,W25))</x:f>
        <x:v>4178.333333333333</x:v>
      </x:c>
      <x:c r="AG25" s="112" t="n">
        <x:f>IF(COUNT(H25,P25,X25)=0,"",AVERAGE(H25,P25,X25))</x:f>
        <x:v>30.666666666666668</x:v>
      </x:c>
      <x:c r="AH25" s="112" t="n">
        <x:f>IF(COUNT(I25,Q25,Y25)=0,"",AVERAGE(I25,Q25,Y25))</x:f>
        <x:v>318.3333333333333</x:v>
      </x:c>
      <x:c r="AI25" s="112" t="n">
        <x:f>IF(COUNT(J25,R25,Z25)=0,"",AVERAGE(J25,R25,Z25))</x:f>
        <x:v>2</x:v>
      </x:c>
      <x:c r="AJ25" s="112" t="n">
        <x:f>IF(COUNT(K25,S25,AA25)=0,"",AVERAGE(K25,S25,AA25))</x:f>
        <x:v>12.666666666666666</x:v>
      </x:c>
      <x:c r="AK25" s="112" t="n">
        <x:f>IF(COUNT(L25,T25,AB25)=0,"",AVERAGE(L25,T25,AB25))</x:f>
        <x:v>5.666666666666667</x:v>
      </x:c>
    </x:row>
    <x:row r="26">
      <x:c r="A26" s="107" t="str">
        <x:v>Malik Willis</x:v>
      </x:c>
      <x:c r="B26" s="108" t="str">
        <x:v>QB</x:v>
      </x:c>
      <x:c r="C26" s="108" t="str">
        <x:v>MIA</x:v>
      </x:c>
      <x:c r="D26" s="109" t="n">
        <x:v>6</x:v>
      </x:c>
      <x:c r="E26" s="109" t="n">
        <x:f>IFERROR(VLOOKUP($A26,'Mike QB'!$A$6:$L$40,4,FALSE),"")</x:f>
        <x:v>22</x:v>
      </x:c>
      <x:c r="F26" s="110" t="n">
        <x:f>IFERROR(VLOOKUP($A26,'Mike QB'!$A$6:$L$40,5,FALSE),"")</x:f>
        <x:v>15.1</x:v>
      </x:c>
      <x:c r="G26" s="111" t="n">
        <x:f>IFERROR(VLOOKUP($A26,'Mike QB'!$A$6:$L$40,6,FALSE),"")</x:f>
        <x:v>3350</x:v>
      </x:c>
      <x:c r="H26" s="111" t="n">
        <x:f>IFERROR(VLOOKUP($A26,'Mike QB'!$A$6:$L$40,7,FALSE),"")</x:f>
        <x:v>23</x:v>
      </x:c>
      <x:c r="I26" s="111" t="n">
        <x:f>IFERROR(VLOOKUP($A26,'Mike QB'!$A$6:$L$40,8,FALSE),"")</x:f>
        <x:v>416</x:v>
      </x:c>
      <x:c r="J26" s="111" t="n">
        <x:f>IFERROR(VLOOKUP($A26,'Mike QB'!$A$6:$L$40,9,FALSE),"")</x:f>
        <x:v>4</x:v>
      </x:c>
      <x:c r="K26" s="111" t="n">
        <x:f>IFERROR(VLOOKUP($A26,'Mike QB'!$A$6:$L$40,10,FALSE),"")</x:f>
        <x:v>12</x:v>
      </x:c>
      <x:c r="L26" s="111" t="n">
        <x:f>IFERROR(VLOOKUP($A26,'Mike QB'!$A$6:$L$40,11,FALSE),"")</x:f>
        <x:v>0</x:v>
      </x:c>
      <x:c r="M26" s="109" t="n">
        <x:f>IFERROR(VLOOKUP($A26,'Andy QB'!$A$6:$L$41,4,FALSE),"")</x:f>
        <x:v>12</x:v>
      </x:c>
      <x:c r="N26" s="110" t="n">
        <x:f>IFERROR(VLOOKUP($A26,'Andy QB'!$A$6:$L$41,5,FALSE),"")</x:f>
        <x:v>17.4</x:v>
      </x:c>
      <x:c r="O26" s="111" t="n">
        <x:f>IFERROR(VLOOKUP($A26,'Andy QB'!$A$6:$L$41,6,FALSE),"")</x:f>
        <x:v>3753</x:v>
      </x:c>
      <x:c r="P26" s="111" t="n">
        <x:f>IFERROR(VLOOKUP($A26,'Andy QB'!$A$6:$L$41,7,FALSE),"")</x:f>
        <x:v>21</x:v>
      </x:c>
      <x:c r="Q26" s="111" t="n">
        <x:f>IFERROR(VLOOKUP($A26,'Andy QB'!$A$6:$L$41,8,FALSE),"")</x:f>
        <x:v>705</x:v>
      </x:c>
      <x:c r="R26" s="111" t="n">
        <x:f>IFERROR(VLOOKUP($A26,'Andy QB'!$A$6:$L$41,9,FALSE),"")</x:f>
        <x:v>5</x:v>
      </x:c>
      <x:c r="S26" s="111" t="n">
        <x:f>IFERROR(VLOOKUP($A26,'Andy QB'!$A$6:$L$41,10,FALSE),"")</x:f>
        <x:v>11</x:v>
      </x:c>
      <x:c r="T26" s="111" t="n">
        <x:f>IFERROR(VLOOKUP($A26,'Andy QB'!$A$6:$L$41,11,FALSE),"")</x:f>
        <x:v>5</x:v>
      </x:c>
      <x:c r="U26" s="109" t="n">
        <x:f>IFERROR(VLOOKUP($A26,'Jason QB'!$A$6:$L$41,4,FALSE),"")</x:f>
        <x:v>22</x:v>
      </x:c>
      <x:c r="V26" s="110" t="n">
        <x:f>IFERROR(VLOOKUP($A26,'Jason QB'!$A$6:$L$41,5,FALSE),"")</x:f>
        <x:v>15.3</x:v>
      </x:c>
      <x:c r="W26" s="111" t="n">
        <x:f>IFERROR(VLOOKUP($A26,'Jason QB'!$A$6:$L$41,6,FALSE),"")</x:f>
        <x:v>3414</x:v>
      </x:c>
      <x:c r="X26" s="111" t="n">
        <x:f>IFERROR(VLOOKUP($A26,'Jason QB'!$A$6:$L$41,7,FALSE),"")</x:f>
        <x:v>18</x:v>
      </x:c>
      <x:c r="Y26" s="111" t="n">
        <x:f>IFERROR(VLOOKUP($A26,'Jason QB'!$A$6:$L$41,8,FALSE),"")</x:f>
        <x:v>655</x:v>
      </x:c>
      <x:c r="Z26" s="111" t="n">
        <x:f>IFERROR(VLOOKUP($A26,'Jason QB'!$A$6:$L$41,9,FALSE),"")</x:f>
        <x:v>5</x:v>
      </x:c>
      <x:c r="AA26" s="111" t="n">
        <x:f>IFERROR(VLOOKUP($A26,'Jason QB'!$A$6:$L$41,10,FALSE),"")</x:f>
        <x:v>12</x:v>
      </x:c>
      <x:c r="AB26" s="111" t="n">
        <x:f>IFERROR(VLOOKUP($A26,'Jason QB'!$A$6:$L$41,11,FALSE),"")</x:f>
        <x:v>3</x:v>
      </x:c>
      <x:c r="AC26" s="110" t="n">
        <x:f>IF(COUNT(E26,M26,U26)=0,"",AVERAGE(E26,M26,U26))</x:f>
        <x:v>18.666666666666668</x:v>
      </x:c>
      <x:c r="AD26" s="110" t="n">
        <x:f>IF(COUNT(E26,M26,U26)=0,"",MAX(E26,M26,U26)-MIN(E26,M26,U26))</x:f>
        <x:v>10</x:v>
      </x:c>
      <x:c r="AE26" s="110" t="n">
        <x:f>IF(COUNT(F26,N26,V26)=0,"",AVERAGE(F26,N26,V26))</x:f>
        <x:v>15.933333333333332</x:v>
      </x:c>
      <x:c r="AF26" s="112" t="n">
        <x:f>IF(COUNT(G26,O26,W26)=0,"",AVERAGE(G26,O26,W26))</x:f>
        <x:v>3505.6666666666665</x:v>
      </x:c>
      <x:c r="AG26" s="112" t="n">
        <x:f>IF(COUNT(H26,P26,X26)=0,"",AVERAGE(H26,P26,X26))</x:f>
        <x:v>20.666666666666668</x:v>
      </x:c>
      <x:c r="AH26" s="112" t="n">
        <x:f>IF(COUNT(I26,Q26,Y26)=0,"",AVERAGE(I26,Q26,Y26))</x:f>
        <x:v>592</x:v>
      </x:c>
      <x:c r="AI26" s="112" t="n">
        <x:f>IF(COUNT(J26,R26,Z26)=0,"",AVERAGE(J26,R26,Z26))</x:f>
        <x:v>4.666666666666667</x:v>
      </x:c>
      <x:c r="AJ26" s="112" t="n">
        <x:f>IF(COUNT(K26,S26,AA26)=0,"",AVERAGE(K26,S26,AA26))</x:f>
        <x:v>11.666666666666666</x:v>
      </x:c>
      <x:c r="AK26" s="112" t="n">
        <x:f>IF(COUNT(L26,T26,AB26)=0,"",AVERAGE(L26,T26,AB26))</x:f>
        <x:v>2.6666666666666665</x:v>
      </x:c>
    </x:row>
    <x:row r="27">
      <x:c r="A27" s="107" t="str">
        <x:v>Cam Ward</x:v>
      </x:c>
      <x:c r="B27" s="108" t="str">
        <x:v>QB</x:v>
      </x:c>
      <x:c r="C27" s="108" t="str">
        <x:v>TEN</x:v>
      </x:c>
      <x:c r="D27" s="109" t="n">
        <x:v>9</x:v>
      </x:c>
      <x:c r="E27" s="109" t="n">
        <x:f>IFERROR(VLOOKUP($A27,'Mike QB'!$A$6:$L$40,4,FALSE),"")</x:f>
        <x:v>24</x:v>
      </x:c>
      <x:c r="F27" s="110" t="n">
        <x:f>IFERROR(VLOOKUP($A27,'Mike QB'!$A$6:$L$40,5,FALSE),"")</x:f>
        <x:v>14.8</x:v>
      </x:c>
      <x:c r="G27" s="111" t="n">
        <x:f>IFERROR(VLOOKUP($A27,'Mike QB'!$A$6:$L$40,6,FALSE),"")</x:f>
        <x:v>3675</x:v>
      </x:c>
      <x:c r="H27" s="111" t="n">
        <x:f>IFERROR(VLOOKUP($A27,'Mike QB'!$A$6:$L$40,7,FALSE),"")</x:f>
        <x:v>27</x:v>
      </x:c>
      <x:c r="I27" s="111" t="n">
        <x:f>IFERROR(VLOOKUP($A27,'Mike QB'!$A$6:$L$40,8,FALSE),"")</x:f>
        <x:v>195</x:v>
      </x:c>
      <x:c r="J27" s="111" t="n">
        <x:f>IFERROR(VLOOKUP($A27,'Mike QB'!$A$6:$L$40,9,FALSE),"")</x:f>
        <x:v>2</x:v>
      </x:c>
      <x:c r="K27" s="111" t="n">
        <x:f>IFERROR(VLOOKUP($A27,'Mike QB'!$A$6:$L$40,10,FALSE),"")</x:f>
        <x:v>5</x:v>
      </x:c>
      <x:c r="L27" s="111" t="n">
        <x:f>IFERROR(VLOOKUP($A27,'Mike QB'!$A$6:$L$40,11,FALSE),"")</x:f>
        <x:v>10</x:v>
      </x:c>
      <x:c r="M27" s="109" t="n">
        <x:f>IFERROR(VLOOKUP($A27,'Andy QB'!$A$6:$L$41,4,FALSE),"")</x:f>
        <x:v>23</x:v>
      </x:c>
      <x:c r="N27" s="110" t="n">
        <x:f>IFERROR(VLOOKUP($A27,'Andy QB'!$A$6:$L$41,5,FALSE),"")</x:f>
        <x:v>14.1</x:v>
      </x:c>
      <x:c r="O27" s="111" t="n">
        <x:f>IFERROR(VLOOKUP($A27,'Andy QB'!$A$6:$L$41,6,FALSE),"")</x:f>
        <x:v>3691</x:v>
      </x:c>
      <x:c r="P27" s="111" t="n">
        <x:f>IFERROR(VLOOKUP($A27,'Andy QB'!$A$6:$L$41,7,FALSE),"")</x:f>
        <x:v>22</x:v>
      </x:c>
      <x:c r="Q27" s="111" t="n">
        <x:f>IFERROR(VLOOKUP($A27,'Andy QB'!$A$6:$L$41,8,FALSE),"")</x:f>
        <x:v>179</x:v>
      </x:c>
      <x:c r="R27" s="111" t="n">
        <x:f>IFERROR(VLOOKUP($A27,'Andy QB'!$A$6:$L$41,9,FALSE),"")</x:f>
        <x:v>3</x:v>
      </x:c>
      <x:c r="S27" s="111" t="n">
        <x:f>IFERROR(VLOOKUP($A27,'Andy QB'!$A$6:$L$41,10,FALSE),"")</x:f>
        <x:v>8</x:v>
      </x:c>
      <x:c r="T27" s="111" t="n">
        <x:f>IFERROR(VLOOKUP($A27,'Andy QB'!$A$6:$L$41,11,FALSE),"")</x:f>
        <x:v>4</x:v>
      </x:c>
      <x:c r="U27" s="109" t="n">
        <x:f>IFERROR(VLOOKUP($A27,'Jason QB'!$A$6:$L$41,4,FALSE),"")</x:f>
        <x:v>21</x:v>
      </x:c>
      <x:c r="V27" s="110" t="n">
        <x:f>IFERROR(VLOOKUP($A27,'Jason QB'!$A$6:$L$41,5,FALSE),"")</x:f>
        <x:v>15.6</x:v>
      </x:c>
      <x:c r="W27" s="111" t="n">
        <x:f>IFERROR(VLOOKUP($A27,'Jason QB'!$A$6:$L$41,6,FALSE),"")</x:f>
        <x:v>4017</x:v>
      </x:c>
      <x:c r="X27" s="111" t="n">
        <x:f>IFERROR(VLOOKUP($A27,'Jason QB'!$A$6:$L$41,7,FALSE),"")</x:f>
        <x:v>26</x:v>
      </x:c>
      <x:c r="Y27" s="111" t="n">
        <x:f>IFERROR(VLOOKUP($A27,'Jason QB'!$A$6:$L$41,8,FALSE),"")</x:f>
        <x:v>310</x:v>
      </x:c>
      <x:c r="Z27" s="111" t="n">
        <x:f>IFERROR(VLOOKUP($A27,'Jason QB'!$A$6:$L$41,9,FALSE),"")</x:f>
        <x:v>3</x:v>
      </x:c>
      <x:c r="AA27" s="111" t="n">
        <x:f>IFERROR(VLOOKUP($A27,'Jason QB'!$A$6:$L$41,10,FALSE),"")</x:f>
        <x:v>12</x:v>
      </x:c>
      <x:c r="AB27" s="111" t="n">
        <x:f>IFERROR(VLOOKUP($A27,'Jason QB'!$A$6:$L$41,11,FALSE),"")</x:f>
        <x:v>5</x:v>
      </x:c>
      <x:c r="AC27" s="110" t="n">
        <x:f>IF(COUNT(E27,M27,U27)=0,"",AVERAGE(E27,M27,U27))</x:f>
        <x:v>22.666666666666668</x:v>
      </x:c>
      <x:c r="AD27" s="110" t="n">
        <x:f>IF(COUNT(E27,M27,U27)=0,"",MAX(E27,M27,U27)-MIN(E27,M27,U27))</x:f>
        <x:v>3</x:v>
      </x:c>
      <x:c r="AE27" s="110" t="n">
        <x:f>IF(COUNT(F27,N27,V27)=0,"",AVERAGE(F27,N27,V27))</x:f>
        <x:v>14.833333333333334</x:v>
      </x:c>
      <x:c r="AF27" s="112" t="n">
        <x:f>IF(COUNT(G27,O27,W27)=0,"",AVERAGE(G27,O27,W27))</x:f>
        <x:v>3794.3333333333335</x:v>
      </x:c>
      <x:c r="AG27" s="112" t="n">
        <x:f>IF(COUNT(H27,P27,X27)=0,"",AVERAGE(H27,P27,X27))</x:f>
        <x:v>25</x:v>
      </x:c>
      <x:c r="AH27" s="112" t="n">
        <x:f>IF(COUNT(I27,Q27,Y27)=0,"",AVERAGE(I27,Q27,Y27))</x:f>
        <x:v>228</x:v>
      </x:c>
      <x:c r="AI27" s="112" t="n">
        <x:f>IF(COUNT(J27,R27,Z27)=0,"",AVERAGE(J27,R27,Z27))</x:f>
        <x:v>2.6666666666666665</x:v>
      </x:c>
      <x:c r="AJ27" s="112" t="n">
        <x:f>IF(COUNT(K27,S27,AA27)=0,"",AVERAGE(K27,S27,AA27))</x:f>
        <x:v>8.333333333333334</x:v>
      </x:c>
      <x:c r="AK27" s="112" t="n">
        <x:f>IF(COUNT(L27,T27,AB27)=0,"",AVERAGE(L27,T27,AB27))</x:f>
        <x:v>6.333333333333333</x:v>
      </x:c>
    </x:row>
    <x:row r="28">
      <x:c r="A28" s="107" t="str">
        <x:v>C.J. Stroud</x:v>
      </x:c>
      <x:c r="B28" s="108" t="str">
        <x:v>QB</x:v>
      </x:c>
      <x:c r="C28" s="108" t="str">
        <x:v>HOU</x:v>
      </x:c>
      <x:c r="D28" s="109" t="n">
        <x:v>8</x:v>
      </x:c>
      <x:c r="E28" s="109" t="n">
        <x:f>IFERROR(VLOOKUP($A28,'Mike QB'!$A$6:$L$40,4,FALSE),"")</x:f>
        <x:v>23</x:v>
      </x:c>
      <x:c r="F28" s="110" t="n">
        <x:f>IFERROR(VLOOKUP($A28,'Mike QB'!$A$6:$L$40,5,FALSE),"")</x:f>
        <x:v>14.8</x:v>
      </x:c>
      <x:c r="G28" s="111" t="n">
        <x:f>IFERROR(VLOOKUP($A28,'Mike QB'!$A$6:$L$40,6,FALSE),"")</x:f>
        <x:v>3700</x:v>
      </x:c>
      <x:c r="H28" s="111" t="n">
        <x:f>IFERROR(VLOOKUP($A28,'Mike QB'!$A$6:$L$40,7,FALSE),"")</x:f>
        <x:v>25</x:v>
      </x:c>
      <x:c r="I28" s="111" t="n">
        <x:f>IFERROR(VLOOKUP($A28,'Mike QB'!$A$6:$L$40,8,FALSE),"")</x:f>
        <x:v>241</x:v>
      </x:c>
      <x:c r="J28" s="111" t="n">
        <x:f>IFERROR(VLOOKUP($A28,'Mike QB'!$A$6:$L$40,9,FALSE),"")</x:f>
        <x:v>3</x:v>
      </x:c>
      <x:c r="K28" s="111" t="n">
        <x:f>IFERROR(VLOOKUP($A28,'Mike QB'!$A$6:$L$40,10,FALSE),"")</x:f>
        <x:v>11</x:v>
      </x:c>
      <x:c r="L28" s="111" t="n">
        <x:f>IFERROR(VLOOKUP($A28,'Mike QB'!$A$6:$L$40,11,FALSE),"")</x:f>
        <x:v>2</x:v>
      </x:c>
      <x:c r="M28" s="109" t="n">
        <x:f>IFERROR(VLOOKUP($A28,'Andy QB'!$A$6:$L$41,4,FALSE),"")</x:f>
        <x:v>22</x:v>
      </x:c>
      <x:c r="N28" s="110" t="n">
        <x:f>IFERROR(VLOOKUP($A28,'Andy QB'!$A$6:$L$41,5,FALSE),"")</x:f>
        <x:v>14.5</x:v>
      </x:c>
      <x:c r="O28" s="111" t="n">
        <x:f>IFERROR(VLOOKUP($A28,'Andy QB'!$A$6:$L$41,6,FALSE),"")</x:f>
        <x:v>3750</x:v>
      </x:c>
      <x:c r="P28" s="111" t="n">
        <x:f>IFERROR(VLOOKUP($A28,'Andy QB'!$A$6:$L$41,7,FALSE),"")</x:f>
        <x:v>24</x:v>
      </x:c>
      <x:c r="Q28" s="111" t="n">
        <x:f>IFERROR(VLOOKUP($A28,'Andy QB'!$A$6:$L$41,8,FALSE),"")</x:f>
        <x:v>240</x:v>
      </x:c>
      <x:c r="R28" s="111" t="n">
        <x:f>IFERROR(VLOOKUP($A28,'Andy QB'!$A$6:$L$41,9,FALSE),"")</x:f>
        <x:v>2</x:v>
      </x:c>
      <x:c r="S28" s="111" t="n">
        <x:f>IFERROR(VLOOKUP($A28,'Andy QB'!$A$6:$L$41,10,FALSE),"")</x:f>
        <x:v>10</x:v>
      </x:c>
      <x:c r="T28" s="111" t="n">
        <x:f>IFERROR(VLOOKUP($A28,'Andy QB'!$A$6:$L$41,11,FALSE),"")</x:f>
        <x:v>3</x:v>
      </x:c>
      <x:c r="U28" s="109" t="n">
        <x:f>IFERROR(VLOOKUP($A28,'Jason QB'!$A$6:$L$41,4,FALSE),"")</x:f>
        <x:v>24</x:v>
      </x:c>
      <x:c r="V28" s="110" t="n">
        <x:f>IFERROR(VLOOKUP($A28,'Jason QB'!$A$6:$L$41,5,FALSE),"")</x:f>
        <x:v>14.7</x:v>
      </x:c>
      <x:c r="W28" s="111" t="n">
        <x:f>IFERROR(VLOOKUP($A28,'Jason QB'!$A$6:$L$41,6,FALSE),"")</x:f>
        <x:v>3976</x:v>
      </x:c>
      <x:c r="X28" s="111" t="n">
        <x:f>IFERROR(VLOOKUP($A28,'Jason QB'!$A$6:$L$41,7,FALSE),"")</x:f>
        <x:v>25</x:v>
      </x:c>
      <x:c r="Y28" s="111" t="n">
        <x:f>IFERROR(VLOOKUP($A28,'Jason QB'!$A$6:$L$41,8,FALSE),"")</x:f>
        <x:v>215</x:v>
      </x:c>
      <x:c r="Z28" s="111" t="n">
        <x:f>IFERROR(VLOOKUP($A28,'Jason QB'!$A$6:$L$41,9,FALSE),"")</x:f>
        <x:v>2</x:v>
      </x:c>
      <x:c r="AA28" s="111" t="n">
        <x:f>IFERROR(VLOOKUP($A28,'Jason QB'!$A$6:$L$41,10,FALSE),"")</x:f>
        <x:v>10</x:v>
      </x:c>
      <x:c r="AB28" s="111" t="n">
        <x:f>IFERROR(VLOOKUP($A28,'Jason QB'!$A$6:$L$41,11,FALSE),"")</x:f>
        <x:v>5</x:v>
      </x:c>
      <x:c r="AC28" s="110" t="n">
        <x:f>IF(COUNT(E28,M28,U28)=0,"",AVERAGE(E28,M28,U28))</x:f>
        <x:v>23</x:v>
      </x:c>
      <x:c r="AD28" s="110" t="n">
        <x:f>IF(COUNT(E28,M28,U28)=0,"",MAX(E28,M28,U28)-MIN(E28,M28,U28))</x:f>
        <x:v>2</x:v>
      </x:c>
      <x:c r="AE28" s="110" t="n">
        <x:f>IF(COUNT(F28,N28,V28)=0,"",AVERAGE(F28,N28,V28))</x:f>
        <x:v>14.666666666666666</x:v>
      </x:c>
      <x:c r="AF28" s="112" t="n">
        <x:f>IF(COUNT(G28,O28,W28)=0,"",AVERAGE(G28,O28,W28))</x:f>
        <x:v>3808.6666666666665</x:v>
      </x:c>
      <x:c r="AG28" s="112" t="n">
        <x:f>IF(COUNT(H28,P28,X28)=0,"",AVERAGE(H28,P28,X28))</x:f>
        <x:v>24.666666666666668</x:v>
      </x:c>
      <x:c r="AH28" s="112" t="n">
        <x:f>IF(COUNT(I28,Q28,Y28)=0,"",AVERAGE(I28,Q28,Y28))</x:f>
        <x:v>232</x:v>
      </x:c>
      <x:c r="AI28" s="112" t="n">
        <x:f>IF(COUNT(J28,R28,Z28)=0,"",AVERAGE(J28,R28,Z28))</x:f>
        <x:v>2.3333333333333335</x:v>
      </x:c>
      <x:c r="AJ28" s="112" t="n">
        <x:f>IF(COUNT(K28,S28,AA28)=0,"",AVERAGE(K28,S28,AA28))</x:f>
        <x:v>10.333333333333334</x:v>
      </x:c>
      <x:c r="AK28" s="112" t="n">
        <x:f>IF(COUNT(L28,T28,AB28)=0,"",AVERAGE(L28,T28,AB28))</x:f>
        <x:v>3.3333333333333335</x:v>
      </x:c>
    </x:row>
    <x:row r="29">
      <x:c r="A29" s="107" t="str">
        <x:v>Sam Darnold</x:v>
      </x:c>
      <x:c r="B29" s="108" t="str">
        <x:v>QB</x:v>
      </x:c>
      <x:c r="C29" s="108" t="str">
        <x:v>SEA</x:v>
      </x:c>
      <x:c r="D29" s="109" t="n">
        <x:v>11</x:v>
      </x:c>
      <x:c r="E29" s="109" t="n">
        <x:f>IFERROR(VLOOKUP($A29,'Mike QB'!$A$6:$L$40,4,FALSE),"")</x:f>
        <x:v>21</x:v>
      </x:c>
      <x:c r="F29" s="110" t="n">
        <x:f>IFERROR(VLOOKUP($A29,'Mike QB'!$A$6:$L$40,5,FALSE),"")</x:f>
        <x:v>15.2</x:v>
      </x:c>
      <x:c r="G29" s="111" t="n">
        <x:f>IFERROR(VLOOKUP($A29,'Mike QB'!$A$6:$L$40,6,FALSE),"")</x:f>
        <x:v>4052</x:v>
      </x:c>
      <x:c r="H29" s="111" t="n">
        <x:f>IFERROR(VLOOKUP($A29,'Mike QB'!$A$6:$L$40,7,FALSE),"")</x:f>
        <x:v>34</x:v>
      </x:c>
      <x:c r="I29" s="111" t="n">
        <x:f>IFERROR(VLOOKUP($A29,'Mike QB'!$A$6:$L$40,8,FALSE),"")</x:f>
        <x:v>129</x:v>
      </x:c>
      <x:c r="J29" s="111" t="n">
        <x:f>IFERROR(VLOOKUP($A29,'Mike QB'!$A$6:$L$40,9,FALSE),"")</x:f>
        <x:v>2</x:v>
      </x:c>
      <x:c r="K29" s="111" t="n">
        <x:f>IFERROR(VLOOKUP($A29,'Mike QB'!$A$6:$L$40,10,FALSE),"")</x:f>
        <x:v>15</x:v>
      </x:c>
      <x:c r="L29" s="111" t="n">
        <x:f>IFERROR(VLOOKUP($A29,'Mike QB'!$A$6:$L$40,11,FALSE),"")</x:f>
        <x:v>8</x:v>
      </x:c>
      <x:c r="M29" s="109" t="n">
        <x:f>IFERROR(VLOOKUP($A29,'Andy QB'!$A$6:$L$41,4,FALSE),"")</x:f>
        <x:v>26</x:v>
      </x:c>
      <x:c r="N29" s="110" t="n">
        <x:f>IFERROR(VLOOKUP($A29,'Andy QB'!$A$6:$L$41,5,FALSE),"")</x:f>
        <x:v>13.2</x:v>
      </x:c>
      <x:c r="O29" s="111" t="n">
        <x:f>IFERROR(VLOOKUP($A29,'Andy QB'!$A$6:$L$41,6,FALSE),"")</x:f>
        <x:v>4095</x:v>
      </x:c>
      <x:c r="P29" s="111" t="n">
        <x:f>IFERROR(VLOOKUP($A29,'Andy QB'!$A$6:$L$41,7,FALSE),"")</x:f>
        <x:v>26</x:v>
      </x:c>
      <x:c r="Q29" s="111" t="n">
        <x:f>IFERROR(VLOOKUP($A29,'Andy QB'!$A$6:$L$41,8,FALSE),"")</x:f>
        <x:v>92</x:v>
      </x:c>
      <x:c r="R29" s="111" t="n">
        <x:f>IFERROR(VLOOKUP($A29,'Andy QB'!$A$6:$L$41,9,FALSE),"")</x:f>
        <x:v>0</x:v>
      </x:c>
      <x:c r="S29" s="111" t="n">
        <x:f>IFERROR(VLOOKUP($A29,'Andy QB'!$A$6:$L$41,10,FALSE),"")</x:f>
        <x:v>15</x:v>
      </x:c>
      <x:c r="T29" s="111" t="n">
        <x:f>IFERROR(VLOOKUP($A29,'Andy QB'!$A$6:$L$41,11,FALSE),"")</x:f>
        <x:v>4</x:v>
      </x:c>
      <x:c r="U29" s="109" t="n">
        <x:f>IFERROR(VLOOKUP($A29,'Jason QB'!$A$6:$L$41,4,FALSE),"")</x:f>
        <x:v>26</x:v>
      </x:c>
      <x:c r="V29" s="110" t="n">
        <x:f>IFERROR(VLOOKUP($A29,'Jason QB'!$A$6:$L$41,5,FALSE),"")</x:f>
        <x:v>13.8</x:v>
      </x:c>
      <x:c r="W29" s="111" t="n">
        <x:f>IFERROR(VLOOKUP($A29,'Jason QB'!$A$6:$L$41,6,FALSE),"")</x:f>
        <x:v>4166</x:v>
      </x:c>
      <x:c r="X29" s="111" t="n">
        <x:f>IFERROR(VLOOKUP($A29,'Jason QB'!$A$6:$L$41,7,FALSE),"")</x:f>
        <x:v>27</x:v>
      </x:c>
      <x:c r="Y29" s="111" t="n">
        <x:f>IFERROR(VLOOKUP($A29,'Jason QB'!$A$6:$L$41,8,FALSE),"")</x:f>
        <x:v>107</x:v>
      </x:c>
      <x:c r="Z29" s="111" t="n">
        <x:f>IFERROR(VLOOKUP($A29,'Jason QB'!$A$6:$L$41,9,FALSE),"")</x:f>
        <x:v>1</x:v>
      </x:c>
      <x:c r="AA29" s="111" t="n">
        <x:f>IFERROR(VLOOKUP($A29,'Jason QB'!$A$6:$L$41,10,FALSE),"")</x:f>
        <x:v>15</x:v>
      </x:c>
      <x:c r="AB29" s="111" t="n">
        <x:f>IFERROR(VLOOKUP($A29,'Jason QB'!$A$6:$L$41,11,FALSE),"")</x:f>
        <x:v>5</x:v>
      </x:c>
      <x:c r="AC29" s="110" t="n">
        <x:f>IF(COUNT(E29,M29,U29)=0,"",AVERAGE(E29,M29,U29))</x:f>
        <x:v>24.333333333333332</x:v>
      </x:c>
      <x:c r="AD29" s="110" t="n">
        <x:f>IF(COUNT(E29,M29,U29)=0,"",MAX(E29,M29,U29)-MIN(E29,M29,U29))</x:f>
        <x:v>5</x:v>
      </x:c>
      <x:c r="AE29" s="110" t="n">
        <x:f>IF(COUNT(F29,N29,V29)=0,"",AVERAGE(F29,N29,V29))</x:f>
        <x:v>14.066666666666668</x:v>
      </x:c>
      <x:c r="AF29" s="112" t="n">
        <x:f>IF(COUNT(G29,O29,W29)=0,"",AVERAGE(G29,O29,W29))</x:f>
        <x:v>4104.333333333333</x:v>
      </x:c>
      <x:c r="AG29" s="112" t="n">
        <x:f>IF(COUNT(H29,P29,X29)=0,"",AVERAGE(H29,P29,X29))</x:f>
        <x:v>29</x:v>
      </x:c>
      <x:c r="AH29" s="112" t="n">
        <x:f>IF(COUNT(I29,Q29,Y29)=0,"",AVERAGE(I29,Q29,Y29))</x:f>
        <x:v>109.33333333333333</x:v>
      </x:c>
      <x:c r="AI29" s="112" t="n">
        <x:f>IF(COUNT(J29,R29,Z29)=0,"",AVERAGE(J29,R29,Z29))</x:f>
        <x:v>1</x:v>
      </x:c>
      <x:c r="AJ29" s="112" t="n">
        <x:f>IF(COUNT(K29,S29,AA29)=0,"",AVERAGE(K29,S29,AA29))</x:f>
        <x:v>15</x:v>
      </x:c>
      <x:c r="AK29" s="112" t="n">
        <x:f>IF(COUNT(L29,T29,AB29)=0,"",AVERAGE(L29,T29,AB29))</x:f>
        <x:v>5.666666666666667</x:v>
      </x:c>
    </x:row>
    <x:row r="30">
      <x:c r="A30" s="107" t="str">
        <x:v>Daniel Jones</x:v>
      </x:c>
      <x:c r="B30" s="108" t="str">
        <x:v>QB</x:v>
      </x:c>
      <x:c r="C30" s="108" t="str">
        <x:v>IND</x:v>
      </x:c>
      <x:c r="D30" s="109" t="n">
        <x:v>13</x:v>
      </x:c>
      <x:c r="E30" s="109" t="n">
        <x:f>IFERROR(VLOOKUP($A30,'Mike QB'!$A$6:$L$40,4,FALSE),"")</x:f>
        <x:v>26</x:v>
      </x:c>
      <x:c r="F30" s="110" t="n">
        <x:f>IFERROR(VLOOKUP($A30,'Mike QB'!$A$6:$L$40,5,FALSE),"")</x:f>
        <x:v>14.3</x:v>
      </x:c>
      <x:c r="G30" s="111" t="n">
        <x:f>IFERROR(VLOOKUP($A30,'Mike QB'!$A$6:$L$40,6,FALSE),"")</x:f>
        <x:v>3900</x:v>
      </x:c>
      <x:c r="H30" s="111" t="n">
        <x:f>IFERROR(VLOOKUP($A30,'Mike QB'!$A$6:$L$40,7,FALSE),"")</x:f>
        <x:v>27</x:v>
      </x:c>
      <x:c r="I30" s="111" t="n">
        <x:f>IFERROR(VLOOKUP($A30,'Mike QB'!$A$6:$L$40,8,FALSE),"")</x:f>
        <x:v>147</x:v>
      </x:c>
      <x:c r="J30" s="111" t="n">
        <x:f>IFERROR(VLOOKUP($A30,'Mike QB'!$A$6:$L$40,9,FALSE),"")</x:f>
        <x:v>2</x:v>
      </x:c>
      <x:c r="K30" s="111" t="n">
        <x:f>IFERROR(VLOOKUP($A30,'Mike QB'!$A$6:$L$40,10,FALSE),"")</x:f>
        <x:v>11</x:v>
      </x:c>
      <x:c r="L30" s="111" t="n">
        <x:f>IFERROR(VLOOKUP($A30,'Mike QB'!$A$6:$L$40,11,FALSE),"")</x:f>
        <x:v>6</x:v>
      </x:c>
      <x:c r="M30" s="109" t="n">
        <x:f>IFERROR(VLOOKUP($A30,'Andy QB'!$A$6:$L$41,4,FALSE),"")</x:f>
        <x:v>29</x:v>
      </x:c>
      <x:c r="N30" s="110" t="n">
        <x:f>IFERROR(VLOOKUP($A30,'Andy QB'!$A$6:$L$41,5,FALSE),"")</x:f>
        <x:v>12.5</x:v>
      </x:c>
      <x:c r="O30" s="111" t="n">
        <x:f>IFERROR(VLOOKUP($A30,'Andy QB'!$A$6:$L$41,6,FALSE),"")</x:f>
        <x:v>3100</x:v>
      </x:c>
      <x:c r="P30" s="111" t="n">
        <x:f>IFERROR(VLOOKUP($A30,'Andy QB'!$A$6:$L$41,7,FALSE),"")</x:f>
        <x:v>20</x:v>
      </x:c>
      <x:c r="Q30" s="111" t="n">
        <x:f>IFERROR(VLOOKUP($A30,'Andy QB'!$A$6:$L$41,8,FALSE),"")</x:f>
        <x:v>195</x:v>
      </x:c>
      <x:c r="R30" s="111" t="n">
        <x:f>IFERROR(VLOOKUP($A30,'Andy QB'!$A$6:$L$41,9,FALSE),"")</x:f>
        <x:v>4</x:v>
      </x:c>
      <x:c r="S30" s="111" t="n">
        <x:f>IFERROR(VLOOKUP($A30,'Andy QB'!$A$6:$L$41,10,FALSE),"")</x:f>
        <x:v>9</x:v>
      </x:c>
      <x:c r="T30" s="111" t="n">
        <x:f>IFERROR(VLOOKUP($A30,'Andy QB'!$A$6:$L$41,11,FALSE),"")</x:f>
        <x:v>4</x:v>
      </x:c>
      <x:c r="U30" s="109" t="n">
        <x:f>IFERROR(VLOOKUP($A30,'Jason QB'!$A$6:$L$41,4,FALSE),"")</x:f>
        <x:v>23</x:v>
      </x:c>
      <x:c r="V30" s="110" t="n">
        <x:f>IFERROR(VLOOKUP($A30,'Jason QB'!$A$6:$L$41,5,FALSE),"")</x:f>
        <x:v>15.2</x:v>
      </x:c>
      <x:c r="W30" s="111" t="n">
        <x:f>IFERROR(VLOOKUP($A30,'Jason QB'!$A$6:$L$41,6,FALSE),"")</x:f>
        <x:v>4082</x:v>
      </x:c>
      <x:c r="X30" s="111" t="n">
        <x:f>IFERROR(VLOOKUP($A30,'Jason QB'!$A$6:$L$41,7,FALSE),"")</x:f>
        <x:v>25</x:v>
      </x:c>
      <x:c r="Y30" s="111" t="n">
        <x:f>IFERROR(VLOOKUP($A30,'Jason QB'!$A$6:$L$41,8,FALSE),"")</x:f>
        <x:v>200</x:v>
      </x:c>
      <x:c r="Z30" s="111" t="n">
        <x:f>IFERROR(VLOOKUP($A30,'Jason QB'!$A$6:$L$41,9,FALSE),"")</x:f>
        <x:v>3</x:v>
      </x:c>
      <x:c r="AA30" s="111" t="n">
        <x:f>IFERROR(VLOOKUP($A30,'Jason QB'!$A$6:$L$41,10,FALSE),"")</x:f>
        <x:v>11</x:v>
      </x:c>
      <x:c r="AB30" s="111" t="n">
        <x:f>IFERROR(VLOOKUP($A30,'Jason QB'!$A$6:$L$41,11,FALSE),"")</x:f>
        <x:v>5</x:v>
      </x:c>
      <x:c r="AC30" s="110" t="n">
        <x:f>IF(COUNT(E30,M30,U30)=0,"",AVERAGE(E30,M30,U30))</x:f>
        <x:v>26</x:v>
      </x:c>
      <x:c r="AD30" s="110" t="n">
        <x:f>IF(COUNT(E30,M30,U30)=0,"",MAX(E30,M30,U30)-MIN(E30,M30,U30))</x:f>
        <x:v>6</x:v>
      </x:c>
      <x:c r="AE30" s="110" t="n">
        <x:f>IF(COUNT(F30,N30,V30)=0,"",AVERAGE(F30,N30,V30))</x:f>
        <x:v>14</x:v>
      </x:c>
      <x:c r="AF30" s="112" t="n">
        <x:f>IF(COUNT(G30,O30,W30)=0,"",AVERAGE(G30,O30,W30))</x:f>
        <x:v>3694</x:v>
      </x:c>
      <x:c r="AG30" s="112" t="n">
        <x:f>IF(COUNT(H30,P30,X30)=0,"",AVERAGE(H30,P30,X30))</x:f>
        <x:v>24</x:v>
      </x:c>
      <x:c r="AH30" s="112" t="n">
        <x:f>IF(COUNT(I30,Q30,Y30)=0,"",AVERAGE(I30,Q30,Y30))</x:f>
        <x:v>180.66666666666666</x:v>
      </x:c>
      <x:c r="AI30" s="112" t="n">
        <x:f>IF(COUNT(J30,R30,Z30)=0,"",AVERAGE(J30,R30,Z30))</x:f>
        <x:v>3</x:v>
      </x:c>
      <x:c r="AJ30" s="112" t="n">
        <x:f>IF(COUNT(K30,S30,AA30)=0,"",AVERAGE(K30,S30,AA30))</x:f>
        <x:v>10.333333333333334</x:v>
      </x:c>
      <x:c r="AK30" s="112" t="n">
        <x:f>IF(COUNT(L30,T30,AB30)=0,"",AVERAGE(L30,T30,AB30))</x:f>
        <x:v>5</x:v>
      </x:c>
    </x:row>
    <x:row r="31">
      <x:c r="A31" s="107" t="str">
        <x:v>Aaron Rodgers</x:v>
      </x:c>
      <x:c r="B31" s="108" t="str">
        <x:v>QB</x:v>
      </x:c>
      <x:c r="C31" s="108" t="str">
        <x:v>PIT</x:v>
      </x:c>
      <x:c r="D31" s="109" t="n">
        <x:v>9</x:v>
      </x:c>
      <x:c r="E31" s="109" t="n">
        <x:f>IFERROR(VLOOKUP($A31,'Mike QB'!$A$6:$L$40,4,FALSE),"")</x:f>
        <x:v>27</x:v>
      </x:c>
      <x:c r="F31" s="110" t="n">
        <x:f>IFERROR(VLOOKUP($A31,'Mike QB'!$A$6:$L$40,5,FALSE),"")</x:f>
        <x:v>12.8</x:v>
      </x:c>
      <x:c r="G31" s="111" t="n">
        <x:f>IFERROR(VLOOKUP($A31,'Mike QB'!$A$6:$L$40,6,FALSE),"")</x:f>
        <x:v>3400</x:v>
      </x:c>
      <x:c r="H31" s="111" t="n">
        <x:f>IFERROR(VLOOKUP($A31,'Mike QB'!$A$6:$L$40,7,FALSE),"")</x:f>
        <x:v>26</x:v>
      </x:c>
      <x:c r="I31" s="111" t="n">
        <x:f>IFERROR(VLOOKUP($A31,'Mike QB'!$A$6:$L$40,8,FALSE),"")</x:f>
        <x:v>82</x:v>
      </x:c>
      <x:c r="J31" s="111" t="n">
        <x:f>IFERROR(VLOOKUP($A31,'Mike QB'!$A$6:$L$40,9,FALSE),"")</x:f>
        <x:v>1</x:v>
      </x:c>
      <x:c r="K31" s="111" t="n">
        <x:f>IFERROR(VLOOKUP($A31,'Mike QB'!$A$6:$L$40,10,FALSE),"")</x:f>
        <x:v>9</x:v>
      </x:c>
      <x:c r="L31" s="111" t="n">
        <x:f>IFERROR(VLOOKUP($A31,'Mike QB'!$A$6:$L$40,11,FALSE),"")</x:f>
        <x:v>4</x:v>
      </x:c>
      <x:c r="M31" s="109" t="n">
        <x:f>IFERROR(VLOOKUP($A31,'Andy QB'!$A$6:$L$41,4,FALSE),"")</x:f>
        <x:v>27</x:v>
      </x:c>
      <x:c r="N31" s="110" t="n">
        <x:f>IFERROR(VLOOKUP($A31,'Andy QB'!$A$6:$L$41,5,FALSE),"")</x:f>
        <x:v>12.7</x:v>
      </x:c>
      <x:c r="O31" s="111" t="n">
        <x:f>IFERROR(VLOOKUP($A31,'Andy QB'!$A$6:$L$41,6,FALSE),"")</x:f>
        <x:v>3521</x:v>
      </x:c>
      <x:c r="P31" s="111" t="n">
        <x:f>IFERROR(VLOOKUP($A31,'Andy QB'!$A$6:$L$41,7,FALSE),"")</x:f>
        <x:v>24</x:v>
      </x:c>
      <x:c r="Q31" s="111" t="n">
        <x:f>IFERROR(VLOOKUP($A31,'Andy QB'!$A$6:$L$41,8,FALSE),"")</x:f>
        <x:v>58</x:v>
      </x:c>
      <x:c r="R31" s="111" t="n">
        <x:f>IFERROR(VLOOKUP($A31,'Andy QB'!$A$6:$L$41,9,FALSE),"")</x:f>
        <x:v>1</x:v>
      </x:c>
      <x:c r="S31" s="111" t="n">
        <x:f>IFERROR(VLOOKUP($A31,'Andy QB'!$A$6:$L$41,10,FALSE),"")</x:f>
        <x:v>9</x:v>
      </x:c>
      <x:c r="T31" s="111" t="n">
        <x:f>IFERROR(VLOOKUP($A31,'Andy QB'!$A$6:$L$41,11,FALSE),"")</x:f>
        <x:v>3</x:v>
      </x:c>
      <x:c r="U31" s="109" t="n">
        <x:f>IFERROR(VLOOKUP($A31,'Jason QB'!$A$6:$L$41,4,FALSE),"")</x:f>
        <x:v>25</x:v>
      </x:c>
      <x:c r="V31" s="110" t="n">
        <x:f>IFERROR(VLOOKUP($A31,'Jason QB'!$A$6:$L$41,5,FALSE),"")</x:f>
        <x:v>14.1</x:v>
      </x:c>
      <x:c r="W31" s="111" t="n">
        <x:f>IFERROR(VLOOKUP($A31,'Jason QB'!$A$6:$L$41,6,FALSE),"")</x:f>
        <x:v>3942</x:v>
      </x:c>
      <x:c r="X31" s="111" t="n">
        <x:f>IFERROR(VLOOKUP($A31,'Jason QB'!$A$6:$L$41,7,FALSE),"")</x:f>
        <x:v>27</x:v>
      </x:c>
      <x:c r="Y31" s="111" t="n">
        <x:f>IFERROR(VLOOKUP($A31,'Jason QB'!$A$6:$L$41,8,FALSE),"")</x:f>
        <x:v>60</x:v>
      </x:c>
      <x:c r="Z31" s="111" t="n">
        <x:f>IFERROR(VLOOKUP($A31,'Jason QB'!$A$6:$L$41,9,FALSE),"")</x:f>
        <x:v>1</x:v>
      </x:c>
      <x:c r="AA31" s="111" t="n">
        <x:f>IFERROR(VLOOKUP($A31,'Jason QB'!$A$6:$L$41,10,FALSE),"")</x:f>
        <x:v>10</x:v>
      </x:c>
      <x:c r="AB31" s="111" t="n">
        <x:f>IFERROR(VLOOKUP($A31,'Jason QB'!$A$6:$L$41,11,FALSE),"")</x:f>
        <x:v>4</x:v>
      </x:c>
      <x:c r="AC31" s="110" t="n">
        <x:f>IF(COUNT(E31,M31,U31)=0,"",AVERAGE(E31,M31,U31))</x:f>
        <x:v>26.333333333333332</x:v>
      </x:c>
      <x:c r="AD31" s="110" t="n">
        <x:f>IF(COUNT(E31,M31,U31)=0,"",MAX(E31,M31,U31)-MIN(E31,M31,U31))</x:f>
        <x:v>2</x:v>
      </x:c>
      <x:c r="AE31" s="110" t="n">
        <x:f>IF(COUNT(F31,N31,V31)=0,"",AVERAGE(F31,N31,V31))</x:f>
        <x:v>13.200000000000001</x:v>
      </x:c>
      <x:c r="AF31" s="112" t="n">
        <x:f>IF(COUNT(G31,O31,W31)=0,"",AVERAGE(G31,O31,W31))</x:f>
        <x:v>3621</x:v>
      </x:c>
      <x:c r="AG31" s="112" t="n">
        <x:f>IF(COUNT(H31,P31,X31)=0,"",AVERAGE(H31,P31,X31))</x:f>
        <x:v>25.666666666666668</x:v>
      </x:c>
      <x:c r="AH31" s="112" t="n">
        <x:f>IF(COUNT(I31,Q31,Y31)=0,"",AVERAGE(I31,Q31,Y31))</x:f>
        <x:v>66.66666666666667</x:v>
      </x:c>
      <x:c r="AI31" s="112" t="n">
        <x:f>IF(COUNT(J31,R31,Z31)=0,"",AVERAGE(J31,R31,Z31))</x:f>
        <x:v>1</x:v>
      </x:c>
      <x:c r="AJ31" s="112" t="n">
        <x:f>IF(COUNT(K31,S31,AA31)=0,"",AVERAGE(K31,S31,AA31))</x:f>
        <x:v>9.333333333333334</x:v>
      </x:c>
      <x:c r="AK31" s="112" t="n">
        <x:f>IF(COUNT(L31,T31,AB31)=0,"",AVERAGE(L31,T31,AB31))</x:f>
        <x:v>3.6666666666666665</x:v>
      </x:c>
    </x:row>
    <x:row r="32">
      <x:c r="A32" s="107" t="str">
        <x:v>Bryce Young</x:v>
      </x:c>
      <x:c r="B32" s="108" t="str">
        <x:v>QB</x:v>
      </x:c>
      <x:c r="C32" s="108" t="str">
        <x:v>CAR</x:v>
      </x:c>
      <x:c r="D32" s="109" t="n">
        <x:v>5</x:v>
      </x:c>
      <x:c r="E32" s="109" t="n">
        <x:f>IFERROR(VLOOKUP($A32,'Mike QB'!$A$6:$L$40,4,FALSE),"")</x:f>
        <x:v>28</x:v>
      </x:c>
      <x:c r="F32" s="110" t="n">
        <x:f>IFERROR(VLOOKUP($A32,'Mike QB'!$A$6:$L$40,5,FALSE),"")</x:f>
        <x:v>12.5</x:v>
      </x:c>
      <x:c r="G32" s="111" t="n">
        <x:f>IFERROR(VLOOKUP($A32,'Mike QB'!$A$6:$L$40,6,FALSE),"")</x:f>
        <x:v>3150</x:v>
      </x:c>
      <x:c r="H32" s="111" t="n">
        <x:f>IFERROR(VLOOKUP($A32,'Mike QB'!$A$6:$L$40,7,FALSE),"")</x:f>
        <x:v>25</x:v>
      </x:c>
      <x:c r="I32" s="111" t="n">
        <x:f>IFERROR(VLOOKUP($A32,'Mike QB'!$A$6:$L$40,8,FALSE),"")</x:f>
        <x:v>217</x:v>
      </x:c>
      <x:c r="J32" s="111" t="n">
        <x:f>IFERROR(VLOOKUP($A32,'Mike QB'!$A$6:$L$40,9,FALSE),"")</x:f>
        <x:v>2</x:v>
      </x:c>
      <x:c r="K32" s="111" t="n">
        <x:f>IFERROR(VLOOKUP($A32,'Mike QB'!$A$6:$L$40,10,FALSE),"")</x:f>
        <x:v>11</x:v>
      </x:c>
      <x:c r="L32" s="111" t="n">
        <x:f>IFERROR(VLOOKUP($A32,'Mike QB'!$A$6:$L$40,11,FALSE),"")</x:f>
        <x:v>7</x:v>
      </x:c>
      <x:c r="M32" s="109" t="n">
        <x:f>IFERROR(VLOOKUP($A32,'Andy QB'!$A$6:$L$41,4,FALSE),"")</x:f>
        <x:v>24</x:v>
      </x:c>
      <x:c r="N32" s="110" t="n">
        <x:f>IFERROR(VLOOKUP($A32,'Andy QB'!$A$6:$L$41,5,FALSE),"")</x:f>
        <x:v>13.6</x:v>
      </x:c>
      <x:c r="O32" s="111" t="n">
        <x:f>IFERROR(VLOOKUP($A32,'Andy QB'!$A$6:$L$41,6,FALSE),"")</x:f>
        <x:v>3450</x:v>
      </x:c>
      <x:c r="P32" s="111" t="n">
        <x:f>IFERROR(VLOOKUP($A32,'Andy QB'!$A$6:$L$41,7,FALSE),"")</x:f>
        <x:v>26</x:v>
      </x:c>
      <x:c r="Q32" s="111" t="n">
        <x:f>IFERROR(VLOOKUP($A32,'Andy QB'!$A$6:$L$41,8,FALSE),"")</x:f>
        <x:v>250</x:v>
      </x:c>
      <x:c r="R32" s="111" t="n">
        <x:f>IFERROR(VLOOKUP($A32,'Andy QB'!$A$6:$L$41,9,FALSE),"")</x:f>
        <x:v>2</x:v>
      </x:c>
      <x:c r="S32" s="111" t="n">
        <x:f>IFERROR(VLOOKUP($A32,'Andy QB'!$A$6:$L$41,10,FALSE),"")</x:f>
        <x:v>13</x:v>
      </x:c>
      <x:c r="T32" s="111" t="n">
        <x:f>IFERROR(VLOOKUP($A32,'Andy QB'!$A$6:$L$41,11,FALSE),"")</x:f>
        <x:v>5</x:v>
      </x:c>
      <x:c r="U32" s="109" t="n">
        <x:f>IFERROR(VLOOKUP($A32,'Jason QB'!$A$6:$L$41,4,FALSE),"")</x:f>
        <x:v>27</x:v>
      </x:c>
      <x:c r="V32" s="110" t="n">
        <x:f>IFERROR(VLOOKUP($A32,'Jason QB'!$A$6:$L$41,5,FALSE),"")</x:f>
        <x:v>13.3</x:v>
      </x:c>
      <x:c r="W32" s="111" t="n">
        <x:f>IFERROR(VLOOKUP($A32,'Jason QB'!$A$6:$L$41,6,FALSE),"")</x:f>
        <x:v>3380</x:v>
      </x:c>
      <x:c r="X32" s="111" t="n">
        <x:f>IFERROR(VLOOKUP($A32,'Jason QB'!$A$6:$L$41,7,FALSE),"")</x:f>
        <x:v>26</x:v>
      </x:c>
      <x:c r="Y32" s="111" t="n">
        <x:f>IFERROR(VLOOKUP($A32,'Jason QB'!$A$6:$L$41,8,FALSE),"")</x:f>
        <x:v>225</x:v>
      </x:c>
      <x:c r="Z32" s="111" t="n">
        <x:f>IFERROR(VLOOKUP($A32,'Jason QB'!$A$6:$L$41,9,FALSE),"")</x:f>
        <x:v>2</x:v>
      </x:c>
      <x:c r="AA32" s="111" t="n">
        <x:f>IFERROR(VLOOKUP($A32,'Jason QB'!$A$6:$L$41,10,FALSE),"")</x:f>
        <x:v>12</x:v>
      </x:c>
      <x:c r="AB32" s="111" t="n">
        <x:f>IFERROR(VLOOKUP($A32,'Jason QB'!$A$6:$L$41,11,FALSE),"")</x:f>
        <x:v>5</x:v>
      </x:c>
      <x:c r="AC32" s="110" t="n">
        <x:f>IF(COUNT(E32,M32,U32)=0,"",AVERAGE(E32,M32,U32))</x:f>
        <x:v>26.333333333333332</x:v>
      </x:c>
      <x:c r="AD32" s="110" t="n">
        <x:f>IF(COUNT(E32,M32,U32)=0,"",MAX(E32,M32,U32)-MIN(E32,M32,U32))</x:f>
        <x:v>4</x:v>
      </x:c>
      <x:c r="AE32" s="110" t="n">
        <x:f>IF(COUNT(F32,N32,V32)=0,"",AVERAGE(F32,N32,V32))</x:f>
        <x:v>13.133333333333335</x:v>
      </x:c>
      <x:c r="AF32" s="112" t="n">
        <x:f>IF(COUNT(G32,O32,W32)=0,"",AVERAGE(G32,O32,W32))</x:f>
        <x:v>3326.6666666666665</x:v>
      </x:c>
      <x:c r="AG32" s="112" t="n">
        <x:f>IF(COUNT(H32,P32,X32)=0,"",AVERAGE(H32,P32,X32))</x:f>
        <x:v>25.666666666666668</x:v>
      </x:c>
      <x:c r="AH32" s="112" t="n">
        <x:f>IF(COUNT(I32,Q32,Y32)=0,"",AVERAGE(I32,Q32,Y32))</x:f>
        <x:v>230.66666666666666</x:v>
      </x:c>
      <x:c r="AI32" s="112" t="n">
        <x:f>IF(COUNT(J32,R32,Z32)=0,"",AVERAGE(J32,R32,Z32))</x:f>
        <x:v>2</x:v>
      </x:c>
      <x:c r="AJ32" s="112" t="n">
        <x:f>IF(COUNT(K32,S32,AA32)=0,"",AVERAGE(K32,S32,AA32))</x:f>
        <x:v>12</x:v>
      </x:c>
      <x:c r="AK32" s="112" t="n">
        <x:f>IF(COUNT(L32,T32,AB32)=0,"",AVERAGE(L32,T32,AB32))</x:f>
        <x:v>5.666666666666667</x:v>
      </x:c>
    </x:row>
    <x:row r="33">
      <x:c r="A33" s="107" t="str">
        <x:v>Jacoby Brissett</x:v>
      </x:c>
      <x:c r="B33" s="108" t="str">
        <x:v>QB</x:v>
      </x:c>
      <x:c r="C33" s="108" t="str">
        <x:v>ARI</x:v>
      </x:c>
      <x:c r="D33" s="109" t="n">
        <x:v>14</x:v>
      </x:c>
      <x:c r="E33" s="109" t="n">
        <x:f>IFERROR(VLOOKUP($A33,'Mike QB'!$A$6:$L$40,4,FALSE),"")</x:f>
        <x:v>25</x:v>
      </x:c>
      <x:c r="F33" s="110" t="n">
        <x:f>IFERROR(VLOOKUP($A33,'Mike QB'!$A$6:$L$40,5,FALSE),"")</x:f>
        <x:v>14.4</x:v>
      </x:c>
      <x:c r="G33" s="111" t="n">
        <x:f>IFERROR(VLOOKUP($A33,'Mike QB'!$A$6:$L$40,6,FALSE),"")</x:f>
        <x:v>3600</x:v>
      </x:c>
      <x:c r="H33" s="111" t="n">
        <x:f>IFERROR(VLOOKUP($A33,'Mike QB'!$A$6:$L$40,7,FALSE),"")</x:f>
        <x:v>24</x:v>
      </x:c>
      <x:c r="I33" s="111" t="n">
        <x:f>IFERROR(VLOOKUP($A33,'Mike QB'!$A$6:$L$40,8,FALSE),"")</x:f>
        <x:v>203</x:v>
      </x:c>
      <x:c r="J33" s="111" t="n">
        <x:f>IFERROR(VLOOKUP($A33,'Mike QB'!$A$6:$L$40,9,FALSE),"")</x:f>
        <x:v>3</x:v>
      </x:c>
      <x:c r="K33" s="111" t="n">
        <x:f>IFERROR(VLOOKUP($A33,'Mike QB'!$A$6:$L$40,10,FALSE),"")</x:f>
        <x:v>8</x:v>
      </x:c>
      <x:c r="L33" s="111" t="n">
        <x:f>IFERROR(VLOOKUP($A33,'Mike QB'!$A$6:$L$40,11,FALSE),"")</x:f>
        <x:v>4</x:v>
      </x:c>
      <x:c r="M33" s="109" t="n">
        <x:f>IFERROR(VLOOKUP($A33,'Andy QB'!$A$6:$L$41,4,FALSE),"")</x:f>
        <x:v>25</x:v>
      </x:c>
      <x:c r="N33" s="110" t="n">
        <x:f>IFERROR(VLOOKUP($A33,'Andy QB'!$A$6:$L$41,5,FALSE),"")</x:f>
        <x:v>13.6</x:v>
      </x:c>
      <x:c r="O33" s="111" t="n">
        <x:f>IFERROR(VLOOKUP($A33,'Andy QB'!$A$6:$L$41,6,FALSE),"")</x:f>
        <x:v>3608</x:v>
      </x:c>
      <x:c r="P33" s="111" t="n">
        <x:f>IFERROR(VLOOKUP($A33,'Andy QB'!$A$6:$L$41,7,FALSE),"")</x:f>
        <x:v>25</x:v>
      </x:c>
      <x:c r="Q33" s="111" t="n">
        <x:f>IFERROR(VLOOKUP($A33,'Andy QB'!$A$6:$L$41,8,FALSE),"")</x:f>
        <x:v>178</x:v>
      </x:c>
      <x:c r="R33" s="111" t="n">
        <x:f>IFERROR(VLOOKUP($A33,'Andy QB'!$A$6:$L$41,9,FALSE),"")</x:f>
        <x:v>1</x:v>
      </x:c>
      <x:c r="S33" s="111" t="n">
        <x:f>IFERROR(VLOOKUP($A33,'Andy QB'!$A$6:$L$41,10,FALSE),"")</x:f>
        <x:v>9</x:v>
      </x:c>
      <x:c r="T33" s="111" t="n">
        <x:f>IFERROR(VLOOKUP($A33,'Andy QB'!$A$6:$L$41,11,FALSE),"")</x:f>
        <x:v>4</x:v>
      </x:c>
      <x:c r="U33" s="109" t="n">
        <x:f>IFERROR(VLOOKUP($A33,'Jason QB'!$A$6:$L$41,4,FALSE),"")</x:f>
        <x:v>34</x:v>
      </x:c>
      <x:c r="V33" s="110" t="n">
        <x:f>IFERROR(VLOOKUP($A33,'Jason QB'!$A$6:$L$41,5,FALSE),"")</x:f>
        <x:v>6</x:v>
      </x:c>
      <x:c r="W33" s="111" t="n">
        <x:f>IFERROR(VLOOKUP($A33,'Jason QB'!$A$6:$L$41,6,FALSE),"")</x:f>
        <x:v>1668</x:v>
      </x:c>
      <x:c r="X33" s="111" t="n">
        <x:f>IFERROR(VLOOKUP($A33,'Jason QB'!$A$6:$L$41,7,FALSE),"")</x:f>
        <x:v>10</x:v>
      </x:c>
      <x:c r="Y33" s="111" t="n">
        <x:f>IFERROR(VLOOKUP($A33,'Jason QB'!$A$6:$L$41,8,FALSE),"")</x:f>
        <x:v>71</x:v>
      </x:c>
      <x:c r="Z33" s="111" t="n">
        <x:f>IFERROR(VLOOKUP($A33,'Jason QB'!$A$6:$L$41,9,FALSE),"")</x:f>
        <x:v>0</x:v>
      </x:c>
      <x:c r="AA33" s="111" t="n">
        <x:f>IFERROR(VLOOKUP($A33,'Jason QB'!$A$6:$L$41,10,FALSE),"")</x:f>
        <x:v>4</x:v>
      </x:c>
      <x:c r="AB33" s="111" t="n">
        <x:f>IFERROR(VLOOKUP($A33,'Jason QB'!$A$6:$L$41,11,FALSE),"")</x:f>
        <x:v>0</x:v>
      </x:c>
      <x:c r="AC33" s="110" t="n">
        <x:f>IF(COUNT(E33,M33,U33)=0,"",AVERAGE(E33,M33,U33))</x:f>
        <x:v>28</x:v>
      </x:c>
      <x:c r="AD33" s="110" t="n">
        <x:f>IF(COUNT(E33,M33,U33)=0,"",MAX(E33,M33,U33)-MIN(E33,M33,U33))</x:f>
        <x:v>9</x:v>
      </x:c>
      <x:c r="AE33" s="110" t="n">
        <x:f>IF(COUNT(F33,N33,V33)=0,"",AVERAGE(F33,N33,V33))</x:f>
        <x:v>11.333333333333334</x:v>
      </x:c>
      <x:c r="AF33" s="112" t="n">
        <x:f>IF(COUNT(G33,O33,W33)=0,"",AVERAGE(G33,O33,W33))</x:f>
        <x:v>2958.6666666666665</x:v>
      </x:c>
      <x:c r="AG33" s="112" t="n">
        <x:f>IF(COUNT(H33,P33,X33)=0,"",AVERAGE(H33,P33,X33))</x:f>
        <x:v>19.666666666666668</x:v>
      </x:c>
      <x:c r="AH33" s="112" t="n">
        <x:f>IF(COUNT(I33,Q33,Y33)=0,"",AVERAGE(I33,Q33,Y33))</x:f>
        <x:v>150.66666666666666</x:v>
      </x:c>
      <x:c r="AI33" s="112" t="n">
        <x:f>IF(COUNT(J33,R33,Z33)=0,"",AVERAGE(J33,R33,Z33))</x:f>
        <x:v>1.3333333333333333</x:v>
      </x:c>
      <x:c r="AJ33" s="112" t="n">
        <x:f>IF(COUNT(K33,S33,AA33)=0,"",AVERAGE(K33,S33,AA33))</x:f>
        <x:v>7</x:v>
      </x:c>
      <x:c r="AK33" s="112" t="n">
        <x:f>IF(COUNT(L33,T33,AB33)=0,"",AVERAGE(L33,T33,AB33))</x:f>
        <x:v>2.6666666666666665</x:v>
      </x:c>
    </x:row>
    <x:row r="34">
      <x:c r="A34" s="107" t="str">
        <x:v>Geno Smith</x:v>
      </x:c>
      <x:c r="B34" s="108" t="str">
        <x:v>QB</x:v>
      </x:c>
      <x:c r="C34" s="108" t="str">
        <x:v>NYJ</x:v>
      </x:c>
      <x:c r="D34" s="109" t="n">
        <x:v>13</x:v>
      </x:c>
      <x:c r="E34" s="109" t="n">
        <x:f>IFERROR(VLOOKUP($A34,'Mike QB'!$A$6:$L$40,4,FALSE),"")</x:f>
        <x:v>30</x:v>
      </x:c>
      <x:c r="F34" s="110" t="n">
        <x:f>IFERROR(VLOOKUP($A34,'Mike QB'!$A$6:$L$40,5,FALSE),"")</x:f>
        <x:v>11.7</x:v>
      </x:c>
      <x:c r="G34" s="111" t="n">
        <x:f>IFERROR(VLOOKUP($A34,'Mike QB'!$A$6:$L$40,6,FALSE),"")</x:f>
        <x:v>3360</x:v>
      </x:c>
      <x:c r="H34" s="111" t="n">
        <x:f>IFERROR(VLOOKUP($A34,'Mike QB'!$A$6:$L$40,7,FALSE),"")</x:f>
        <x:v>25</x:v>
      </x:c>
      <x:c r="I34" s="111" t="n">
        <x:f>IFERROR(VLOOKUP($A34,'Mike QB'!$A$6:$L$40,8,FALSE),"")</x:f>
        <x:v>191</x:v>
      </x:c>
      <x:c r="J34" s="111" t="n">
        <x:f>IFERROR(VLOOKUP($A34,'Mike QB'!$A$6:$L$40,9,FALSE),"")</x:f>
        <x:v>1</x:v>
      </x:c>
      <x:c r="K34" s="111" t="n">
        <x:f>IFERROR(VLOOKUP($A34,'Mike QB'!$A$6:$L$40,10,FALSE),"")</x:f>
        <x:v>16</x:v>
      </x:c>
      <x:c r="L34" s="111" t="n">
        <x:f>IFERROR(VLOOKUP($A34,'Mike QB'!$A$6:$L$40,11,FALSE),"")</x:f>
        <x:v>6</x:v>
      </x:c>
      <x:c r="M34" s="109" t="n">
        <x:f>IFERROR(VLOOKUP($A34,'Andy QB'!$A$6:$L$41,4,FALSE),"")</x:f>
        <x:v>28</x:v>
      </x:c>
      <x:c r="N34" s="110" t="n">
        <x:f>IFERROR(VLOOKUP($A34,'Andy QB'!$A$6:$L$41,5,FALSE),"")</x:f>
        <x:v>12.6</x:v>
      </x:c>
      <x:c r="O34" s="111" t="n">
        <x:f>IFERROR(VLOOKUP($A34,'Andy QB'!$A$6:$L$41,6,FALSE),"")</x:f>
        <x:v>3951</x:v>
      </x:c>
      <x:c r="P34" s="111" t="n">
        <x:f>IFERROR(VLOOKUP($A34,'Andy QB'!$A$6:$L$41,7,FALSE),"")</x:f>
        <x:v>23</x:v>
      </x:c>
      <x:c r="Q34" s="111" t="n">
        <x:f>IFERROR(VLOOKUP($A34,'Andy QB'!$A$6:$L$41,8,FALSE),"")</x:f>
        <x:v>123</x:v>
      </x:c>
      <x:c r="R34" s="111" t="n">
        <x:f>IFERROR(VLOOKUP($A34,'Andy QB'!$A$6:$L$41,9,FALSE),"")</x:f>
        <x:v>0</x:v>
      </x:c>
      <x:c r="S34" s="111" t="n">
        <x:f>IFERROR(VLOOKUP($A34,'Andy QB'!$A$6:$L$41,10,FALSE),"")</x:f>
        <x:v>14</x:v>
      </x:c>
      <x:c r="T34" s="111" t="n">
        <x:f>IFERROR(VLOOKUP($A34,'Andy QB'!$A$6:$L$41,11,FALSE),"")</x:f>
        <x:v>4</x:v>
      </x:c>
      <x:c r="U34" s="109" t="n">
        <x:f>IFERROR(VLOOKUP($A34,'Jason QB'!$A$6:$L$41,4,FALSE),"")</x:f>
        <x:v>28</x:v>
      </x:c>
      <x:c r="V34" s="110" t="n">
        <x:f>IFERROR(VLOOKUP($A34,'Jason QB'!$A$6:$L$41,5,FALSE),"")</x:f>
        <x:v>12.9</x:v>
      </x:c>
      <x:c r="W34" s="111" t="n">
        <x:f>IFERROR(VLOOKUP($A34,'Jason QB'!$A$6:$L$41,6,FALSE),"")</x:f>
        <x:v>3790</x:v>
      </x:c>
      <x:c r="X34" s="111" t="n">
        <x:f>IFERROR(VLOOKUP($A34,'Jason QB'!$A$6:$L$41,7,FALSE),"")</x:f>
        <x:v>25</x:v>
      </x:c>
      <x:c r="Y34" s="111" t="n">
        <x:f>IFERROR(VLOOKUP($A34,'Jason QB'!$A$6:$L$41,8,FALSE),"")</x:f>
        <x:v>130</x:v>
      </x:c>
      <x:c r="Z34" s="111" t="n">
        <x:f>IFERROR(VLOOKUP($A34,'Jason QB'!$A$6:$L$41,9,FALSE),"")</x:f>
        <x:v>1</x:v>
      </x:c>
      <x:c r="AA34" s="111" t="n">
        <x:f>IFERROR(VLOOKUP($A34,'Jason QB'!$A$6:$L$41,10,FALSE),"")</x:f>
        <x:v>14</x:v>
      </x:c>
      <x:c r="AB34" s="111" t="n">
        <x:f>IFERROR(VLOOKUP($A34,'Jason QB'!$A$6:$L$41,11,FALSE),"")</x:f>
        <x:v>5</x:v>
      </x:c>
      <x:c r="AC34" s="110" t="n">
        <x:f>IF(COUNT(E34,M34,U34)=0,"",AVERAGE(E34,M34,U34))</x:f>
        <x:v>28.666666666666668</x:v>
      </x:c>
      <x:c r="AD34" s="110" t="n">
        <x:f>IF(COUNT(E34,M34,U34)=0,"",MAX(E34,M34,U34)-MIN(E34,M34,U34))</x:f>
        <x:v>2</x:v>
      </x:c>
      <x:c r="AE34" s="110" t="n">
        <x:f>IF(COUNT(F34,N34,V34)=0,"",AVERAGE(F34,N34,V34))</x:f>
        <x:v>12.399999999999999</x:v>
      </x:c>
      <x:c r="AF34" s="112" t="n">
        <x:f>IF(COUNT(G34,O34,W34)=0,"",AVERAGE(G34,O34,W34))</x:f>
        <x:v>3700.3333333333335</x:v>
      </x:c>
      <x:c r="AG34" s="112" t="n">
        <x:f>IF(COUNT(H34,P34,X34)=0,"",AVERAGE(H34,P34,X34))</x:f>
        <x:v>24.333333333333332</x:v>
      </x:c>
      <x:c r="AH34" s="112" t="n">
        <x:f>IF(COUNT(I34,Q34,Y34)=0,"",AVERAGE(I34,Q34,Y34))</x:f>
        <x:v>148</x:v>
      </x:c>
      <x:c r="AI34" s="112" t="n">
        <x:f>IF(COUNT(J34,R34,Z34)=0,"",AVERAGE(J34,R34,Z34))</x:f>
        <x:v>0.6666666666666666</x:v>
      </x:c>
      <x:c r="AJ34" s="112" t="n">
        <x:f>IF(COUNT(K34,S34,AA34)=0,"",AVERAGE(K34,S34,AA34))</x:f>
        <x:v>14.666666666666666</x:v>
      </x:c>
      <x:c r="AK34" s="112" t="n">
        <x:f>IF(COUNT(L34,T34,AB34)=0,"",AVERAGE(L34,T34,AB34))</x:f>
        <x:v>5</x:v>
      </x:c>
    </x:row>
    <x:row r="35">
      <x:c r="A35" s="107" t="str">
        <x:v>Tua Tagovailoa</x:v>
      </x:c>
      <x:c r="B35" s="108" t="str">
        <x:v>QB</x:v>
      </x:c>
      <x:c r="C35" s="108" t="str">
        <x:v>ATL</x:v>
      </x:c>
      <x:c r="D35" s="109" t="n">
        <x:v>11</x:v>
      </x:c>
      <x:c r="E35" s="109" t="n">
        <x:f>IFERROR(VLOOKUP($A35,'Mike QB'!$A$6:$L$40,4,FALSE),"")</x:f>
        <x:v>29</x:v>
      </x:c>
      <x:c r="F35" s="110" t="n">
        <x:f>IFERROR(VLOOKUP($A35,'Mike QB'!$A$6:$L$40,5,FALSE),"")</x:f>
        <x:v>12.4</x:v>
      </x:c>
      <x:c r="G35" s="111" t="n">
        <x:f>IFERROR(VLOOKUP($A35,'Mike QB'!$A$6:$L$40,6,FALSE),"")</x:f>
        <x:v>3764</x:v>
      </x:c>
      <x:c r="H35" s="111" t="n">
        <x:f>IFERROR(VLOOKUP($A35,'Mike QB'!$A$6:$L$40,7,FALSE),"")</x:f>
        <x:v>27</x:v>
      </x:c>
      <x:c r="I35" s="111" t="n">
        <x:f>IFERROR(VLOOKUP($A35,'Mike QB'!$A$6:$L$40,8,FALSE),"")</x:f>
        <x:v>68</x:v>
      </x:c>
      <x:c r="J35" s="111" t="n">
        <x:f>IFERROR(VLOOKUP($A35,'Mike QB'!$A$6:$L$40,9,FALSE),"")</x:f>
        <x:v>1</x:v>
      </x:c>
      <x:c r="K35" s="111" t="n">
        <x:f>IFERROR(VLOOKUP($A35,'Mike QB'!$A$6:$L$40,10,FALSE),"")</x:f>
        <x:v>18</x:v>
      </x:c>
      <x:c r="L35" s="111" t="n">
        <x:f>IFERROR(VLOOKUP($A35,'Mike QB'!$A$6:$L$40,11,FALSE),"")</x:f>
        <x:v>2</x:v>
      </x:c>
      <x:c r="M35" s="109" t="n">
        <x:f>IFERROR(VLOOKUP($A35,'Andy QB'!$A$6:$L$41,4,FALSE),"")</x:f>
        <x:v>35</x:v>
      </x:c>
      <x:c r="N35" s="110" t="n">
        <x:f>IFERROR(VLOOKUP($A35,'Andy QB'!$A$6:$L$41,5,FALSE),"")</x:f>
        <x:v>3.8</x:v>
      </x:c>
      <x:c r="O35" s="111" t="n">
        <x:f>IFERROR(VLOOKUP($A35,'Andy QB'!$A$6:$L$41,6,FALSE),"")</x:f>
        <x:v>1114</x:v>
      </x:c>
      <x:c r="P35" s="111" t="n">
        <x:f>IFERROR(VLOOKUP($A35,'Andy QB'!$A$6:$L$41,7,FALSE),"")</x:f>
        <x:v>9</x:v>
      </x:c>
      <x:c r="Q35" s="111" t="n">
        <x:f>IFERROR(VLOOKUP($A35,'Andy QB'!$A$6:$L$41,8,FALSE),"")</x:f>
        <x:v>21</x:v>
      </x:c>
      <x:c r="R35" s="111" t="n">
        <x:f>IFERROR(VLOOKUP($A35,'Andy QB'!$A$6:$L$41,9,FALSE),"")</x:f>
        <x:v>0</x:v>
      </x:c>
      <x:c r="S35" s="111" t="n">
        <x:f>IFERROR(VLOOKUP($A35,'Andy QB'!$A$6:$L$41,10,FALSE),"")</x:f>
        <x:v>5</x:v>
      </x:c>
      <x:c r="T35" s="111" t="n">
        <x:f>IFERROR(VLOOKUP($A35,'Andy QB'!$A$6:$L$41,11,FALSE),"")</x:f>
        <x:v>0</x:v>
      </x:c>
      <x:c r="U35" s="109" t="n">
        <x:f>IFERROR(VLOOKUP($A35,'Jason QB'!$A$6:$L$41,4,FALSE),"")</x:f>
        <x:v>29</x:v>
      </x:c>
      <x:c r="V35" s="110" t="n">
        <x:f>IFERROR(VLOOKUP($A35,'Jason QB'!$A$6:$L$41,5,FALSE),"")</x:f>
        <x:v>10.9</x:v>
      </x:c>
      <x:c r="W35" s="111" t="n">
        <x:f>IFERROR(VLOOKUP($A35,'Jason QB'!$A$6:$L$41,6,FALSE),"")</x:f>
        <x:v>3441</x:v>
      </x:c>
      <x:c r="X35" s="111" t="n">
        <x:f>IFERROR(VLOOKUP($A35,'Jason QB'!$A$6:$L$41,7,FALSE),"")</x:f>
        <x:v>22</x:v>
      </x:c>
      <x:c r="Y35" s="111" t="n">
        <x:f>IFERROR(VLOOKUP($A35,'Jason QB'!$A$6:$L$41,8,FALSE),"")</x:f>
        <x:v>40</x:v>
      </x:c>
      <x:c r="Z35" s="111" t="n">
        <x:f>IFERROR(VLOOKUP($A35,'Jason QB'!$A$6:$L$41,9,FALSE),"")</x:f>
        <x:v>0</x:v>
      </x:c>
      <x:c r="AA35" s="111" t="n">
        <x:f>IFERROR(VLOOKUP($A35,'Jason QB'!$A$6:$L$41,10,FALSE),"")</x:f>
        <x:v>11</x:v>
      </x:c>
      <x:c r="AB35" s="111" t="n">
        <x:f>IFERROR(VLOOKUP($A35,'Jason QB'!$A$6:$L$41,11,FALSE),"")</x:f>
        <x:v>6</x:v>
      </x:c>
      <x:c r="AC35" s="110" t="n">
        <x:f>IF(COUNT(E35,M35,U35)=0,"",AVERAGE(E35,M35,U35))</x:f>
        <x:v>31</x:v>
      </x:c>
      <x:c r="AD35" s="110" t="n">
        <x:f>IF(COUNT(E35,M35,U35)=0,"",MAX(E35,M35,U35)-MIN(E35,M35,U35))</x:f>
        <x:v>6</x:v>
      </x:c>
      <x:c r="AE35" s="110" t="n">
        <x:f>IF(COUNT(F35,N35,V35)=0,"",AVERAGE(F35,N35,V35))</x:f>
        <x:v>9.033333333333333</x:v>
      </x:c>
      <x:c r="AF35" s="112" t="n">
        <x:f>IF(COUNT(G35,O35,W35)=0,"",AVERAGE(G35,O35,W35))</x:f>
        <x:v>2773</x:v>
      </x:c>
      <x:c r="AG35" s="112" t="n">
        <x:f>IF(COUNT(H35,P35,X35)=0,"",AVERAGE(H35,P35,X35))</x:f>
        <x:v>19.333333333333332</x:v>
      </x:c>
      <x:c r="AH35" s="112" t="n">
        <x:f>IF(COUNT(I35,Q35,Y35)=0,"",AVERAGE(I35,Q35,Y35))</x:f>
        <x:v>43</x:v>
      </x:c>
      <x:c r="AI35" s="112" t="n">
        <x:f>IF(COUNT(J35,R35,Z35)=0,"",AVERAGE(J35,R35,Z35))</x:f>
        <x:v>0.3333333333333333</x:v>
      </x:c>
      <x:c r="AJ35" s="112" t="n">
        <x:f>IF(COUNT(K35,S35,AA35)=0,"",AVERAGE(K35,S35,AA35))</x:f>
        <x:v>11.333333333333334</x:v>
      </x:c>
      <x:c r="AK35" s="112" t="n">
        <x:f>IF(COUNT(L35,T35,AB35)=0,"",AVERAGE(L35,T35,AB35))</x:f>
        <x:v>2.6666666666666665</x:v>
      </x:c>
    </x:row>
    <x:row r="36">
      <x:c r="A36" s="107" t="str">
        <x:v>Shedeur Sanders</x:v>
      </x:c>
      <x:c r="B36" s="108" t="str">
        <x:v>QB</x:v>
      </x:c>
      <x:c r="C36" s="108" t="str">
        <x:v>CLE</x:v>
      </x:c>
      <x:c r="D36" s="109" t="n">
        <x:v>11</x:v>
      </x:c>
      <x:c r="E36" s="109" t="n">
        <x:f>IFERROR(VLOOKUP($A36,'Mike QB'!$A$6:$L$40,4,FALSE),"")</x:f>
        <x:v>31</x:v>
      </x:c>
      <x:c r="F36" s="110" t="n">
        <x:f>IFERROR(VLOOKUP($A36,'Mike QB'!$A$6:$L$40,5,FALSE),"")</x:f>
        <x:v>8.4</x:v>
      </x:c>
      <x:c r="G36" s="111" t="n">
        <x:f>IFERROR(VLOOKUP($A36,'Mike QB'!$A$6:$L$40,6,FALSE),"")</x:f>
        <x:v>2468</x:v>
      </x:c>
      <x:c r="H36" s="111" t="n">
        <x:f>IFERROR(VLOOKUP($A36,'Mike QB'!$A$6:$L$40,7,FALSE),"")</x:f>
        <x:v>15</x:v>
      </x:c>
      <x:c r="I36" s="111" t="n">
        <x:f>IFERROR(VLOOKUP($A36,'Mike QB'!$A$6:$L$40,8,FALSE),"")</x:f>
        <x:v>274</x:v>
      </x:c>
      <x:c r="J36" s="111" t="n">
        <x:f>IFERROR(VLOOKUP($A36,'Mike QB'!$A$6:$L$40,9,FALSE),"")</x:f>
        <x:v>3</x:v>
      </x:c>
      <x:c r="K36" s="111" t="n">
        <x:f>IFERROR(VLOOKUP($A36,'Mike QB'!$A$6:$L$40,10,FALSE),"")</x:f>
        <x:v>18</x:v>
      </x:c>
      <x:c r="L36" s="111" t="n">
        <x:f>IFERROR(VLOOKUP($A36,'Mike QB'!$A$6:$L$40,11,FALSE),"")</x:f>
        <x:v>2</x:v>
      </x:c>
      <x:c r="M36" s="109" t="n">
        <x:f>IFERROR(VLOOKUP($A36,'Andy QB'!$A$6:$L$41,4,FALSE),"")</x:f>
        <x:v>33</x:v>
      </x:c>
      <x:c r="N36" s="110" t="n">
        <x:f>IFERROR(VLOOKUP($A36,'Andy QB'!$A$6:$L$41,5,FALSE),"")</x:f>
        <x:v>4.4</x:v>
      </x:c>
      <x:c r="O36" s="111" t="n">
        <x:f>IFERROR(VLOOKUP($A36,'Andy QB'!$A$6:$L$41,6,FALSE),"")</x:f>
        <x:v>1252</x:v>
      </x:c>
      <x:c r="P36" s="111" t="n">
        <x:f>IFERROR(VLOOKUP($A36,'Andy QB'!$A$6:$L$41,7,FALSE),"")</x:f>
        <x:v>7</x:v>
      </x:c>
      <x:c r="Q36" s="111" t="n">
        <x:f>IFERROR(VLOOKUP($A36,'Andy QB'!$A$6:$L$41,8,FALSE),"")</x:f>
        <x:v>115</x:v>
      </x:c>
      <x:c r="R36" s="111" t="n">
        <x:f>IFERROR(VLOOKUP($A36,'Andy QB'!$A$6:$L$41,9,FALSE),"")</x:f>
        <x:v>1</x:v>
      </x:c>
      <x:c r="S36" s="111" t="n">
        <x:f>IFERROR(VLOOKUP($A36,'Andy QB'!$A$6:$L$41,10,FALSE),"")</x:f>
        <x:v>6</x:v>
      </x:c>
      <x:c r="T36" s="111" t="n">
        <x:f>IFERROR(VLOOKUP($A36,'Andy QB'!$A$6:$L$41,11,FALSE),"")</x:f>
        <x:v>1</x:v>
      </x:c>
      <x:c r="U36" s="109" t="n">
        <x:f>IFERROR(VLOOKUP($A36,'Jason QB'!$A$6:$L$41,4,FALSE),"")</x:f>
        <x:v>30</x:v>
      </x:c>
      <x:c r="V36" s="110" t="n">
        <x:f>IFERROR(VLOOKUP($A36,'Jason QB'!$A$6:$L$41,5,FALSE),"")</x:f>
        <x:v>9.8</x:v>
      </x:c>
      <x:c r="W36" s="111" t="n">
        <x:f>IFERROR(VLOOKUP($A36,'Jason QB'!$A$6:$L$41,6,FALSE),"")</x:f>
        <x:v>1718</x:v>
      </x:c>
      <x:c r="X36" s="111" t="n">
        <x:f>IFERROR(VLOOKUP($A36,'Jason QB'!$A$6:$L$41,7,FALSE),"")</x:f>
        <x:v>23</x:v>
      </x:c>
      <x:c r="Y36" s="111" t="n">
        <x:f>IFERROR(VLOOKUP($A36,'Jason QB'!$A$6:$L$41,8,FALSE),"")</x:f>
        <x:v>305</x:v>
      </x:c>
      <x:c r="Z36" s="111" t="n">
        <x:f>IFERROR(VLOOKUP($A36,'Jason QB'!$A$6:$L$41,9,FALSE),"")</x:f>
        <x:v>1</x:v>
      </x:c>
      <x:c r="AA36" s="111" t="n">
        <x:f>IFERROR(VLOOKUP($A36,'Jason QB'!$A$6:$L$41,10,FALSE),"")</x:f>
        <x:v>8</x:v>
      </x:c>
      <x:c r="AB36" s="111" t="n">
        <x:f>IFERROR(VLOOKUP($A36,'Jason QB'!$A$6:$L$41,11,FALSE),"")</x:f>
        <x:v>3</x:v>
      </x:c>
      <x:c r="AC36" s="110" t="n">
        <x:f>IF(COUNT(E36,M36,U36)=0,"",AVERAGE(E36,M36,U36))</x:f>
        <x:v>31.333333333333332</x:v>
      </x:c>
      <x:c r="AD36" s="110" t="n">
        <x:f>IF(COUNT(E36,M36,U36)=0,"",MAX(E36,M36,U36)-MIN(E36,M36,U36))</x:f>
        <x:v>3</x:v>
      </x:c>
      <x:c r="AE36" s="110" t="n">
        <x:f>IF(COUNT(F36,N36,V36)=0,"",AVERAGE(F36,N36,V36))</x:f>
        <x:v>7.533333333333334</x:v>
      </x:c>
      <x:c r="AF36" s="112" t="n">
        <x:f>IF(COUNT(G36,O36,W36)=0,"",AVERAGE(G36,O36,W36))</x:f>
        <x:v>1812.6666666666667</x:v>
      </x:c>
      <x:c r="AG36" s="112" t="n">
        <x:f>IF(COUNT(H36,P36,X36)=0,"",AVERAGE(H36,P36,X36))</x:f>
        <x:v>15</x:v>
      </x:c>
      <x:c r="AH36" s="112" t="n">
        <x:f>IF(COUNT(I36,Q36,Y36)=0,"",AVERAGE(I36,Q36,Y36))</x:f>
        <x:v>231.33333333333334</x:v>
      </x:c>
      <x:c r="AI36" s="112" t="n">
        <x:f>IF(COUNT(J36,R36,Z36)=0,"",AVERAGE(J36,R36,Z36))</x:f>
        <x:v>1.6666666666666667</x:v>
      </x:c>
      <x:c r="AJ36" s="112" t="n">
        <x:f>IF(COUNT(K36,S36,AA36)=0,"",AVERAGE(K36,S36,AA36))</x:f>
        <x:v>10.666666666666666</x:v>
      </x:c>
      <x:c r="AK36" s="112" t="n">
        <x:f>IF(COUNT(L36,T36,AB36)=0,"",AVERAGE(L36,T36,AB36))</x:f>
        <x:v>2</x:v>
      </x:c>
    </x:row>
    <x:row r="37">
      <x:c r="A37" s="107" t="str">
        <x:v>Fernando Mendoza</x:v>
      </x:c>
      <x:c r="B37" s="108" t="str">
        <x:v>QB</x:v>
      </x:c>
      <x:c r="C37" s="108" t="str">
        <x:v>LV</x:v>
      </x:c>
      <x:c r="D37" s="109" t="n">
        <x:v>13</x:v>
      </x:c>
      <x:c r="E37" s="109" t="n">
        <x:f>IFERROR(VLOOKUP($A37,'Mike QB'!$A$6:$L$40,4,FALSE),"")</x:f>
        <x:v>33</x:v>
      </x:c>
      <x:c r="F37" s="110" t="n">
        <x:f>IFERROR(VLOOKUP($A37,'Mike QB'!$A$6:$L$40,5,FALSE),"")</x:f>
        <x:v>6.2</x:v>
      </x:c>
      <x:c r="G37" s="111" t="n">
        <x:f>IFERROR(VLOOKUP($A37,'Mike QB'!$A$6:$L$40,6,FALSE),"")</x:f>
        <x:v>1900</x:v>
      </x:c>
      <x:c r="H37" s="111" t="n">
        <x:f>IFERROR(VLOOKUP($A37,'Mike QB'!$A$6:$L$40,7,FALSE),"")</x:f>
        <x:v>10</x:v>
      </x:c>
      <x:c r="I37" s="111" t="n">
        <x:f>IFERROR(VLOOKUP($A37,'Mike QB'!$A$6:$L$40,8,FALSE),"")</x:f>
        <x:v>87</x:v>
      </x:c>
      <x:c r="J37" s="111" t="n">
        <x:f>IFERROR(VLOOKUP($A37,'Mike QB'!$A$6:$L$40,9,FALSE),"")</x:f>
        <x:v>1</x:v>
      </x:c>
      <x:c r="K37" s="111" t="n">
        <x:f>IFERROR(VLOOKUP($A37,'Mike QB'!$A$6:$L$40,10,FALSE),"")</x:f>
        <x:v>8</x:v>
      </x:c>
      <x:c r="L37" s="111" t="n">
        <x:f>IFERROR(VLOOKUP($A37,'Mike QB'!$A$6:$L$40,11,FALSE),"")</x:f>
        <x:v>1</x:v>
      </x:c>
      <x:c r="M37" s="109" t="n">
        <x:f>IFERROR(VLOOKUP($A37,'Andy QB'!$A$6:$L$41,4,FALSE),"")</x:f>
        <x:v>31</x:v>
      </x:c>
      <x:c r="N37" s="110" t="n">
        <x:f>IFERROR(VLOOKUP($A37,'Andy QB'!$A$6:$L$41,5,FALSE),"")</x:f>
        <x:v>6.8</x:v>
      </x:c>
      <x:c r="O37" s="111" t="n">
        <x:f>IFERROR(VLOOKUP($A37,'Andy QB'!$A$6:$L$41,6,FALSE),"")</x:f>
        <x:v>1700</x:v>
      </x:c>
      <x:c r="P37" s="111" t="n">
        <x:f>IFERROR(VLOOKUP($A37,'Andy QB'!$A$6:$L$41,7,FALSE),"")</x:f>
        <x:v>11</x:v>
      </x:c>
      <x:c r="Q37" s="111" t="n">
        <x:f>IFERROR(VLOOKUP($A37,'Andy QB'!$A$6:$L$41,8,FALSE),"")</x:f>
        <x:v>150</x:v>
      </x:c>
      <x:c r="R37" s="111" t="n">
        <x:f>IFERROR(VLOOKUP($A37,'Andy QB'!$A$6:$L$41,9,FALSE),"")</x:f>
        <x:v>2</x:v>
      </x:c>
      <x:c r="S37" s="111" t="n">
        <x:f>IFERROR(VLOOKUP($A37,'Andy QB'!$A$6:$L$41,10,FALSE),"")</x:f>
        <x:v>8</x:v>
      </x:c>
      <x:c r="T37" s="111" t="n">
        <x:f>IFERROR(VLOOKUP($A37,'Andy QB'!$A$6:$L$41,11,FALSE),"")</x:f>
        <x:v>0</x:v>
      </x:c>
      <x:c r="U37" s="109" t="n">
        <x:f>IFERROR(VLOOKUP($A37,'Jason QB'!$A$6:$L$41,4,FALSE),"")</x:f>
        <x:v>33</x:v>
      </x:c>
      <x:c r="V37" s="110" t="n">
        <x:f>IFERROR(VLOOKUP($A37,'Jason QB'!$A$6:$L$41,5,FALSE),"")</x:f>
        <x:v>6.4</x:v>
      </x:c>
      <x:c r="W37" s="111" t="n">
        <x:f>IFERROR(VLOOKUP($A37,'Jason QB'!$A$6:$L$41,6,FALSE),"")</x:f>
        <x:v>1971</x:v>
      </x:c>
      <x:c r="X37" s="111" t="n">
        <x:f>IFERROR(VLOOKUP($A37,'Jason QB'!$A$6:$L$41,7,FALSE),"")</x:f>
        <x:v>11</x:v>
      </x:c>
      <x:c r="Y37" s="111" t="n">
        <x:f>IFERROR(VLOOKUP($A37,'Jason QB'!$A$6:$L$41,8,FALSE),"")</x:f>
        <x:v>191</x:v>
      </x:c>
      <x:c r="Z37" s="111" t="n">
        <x:f>IFERROR(VLOOKUP($A37,'Jason QB'!$A$6:$L$41,9,FALSE),"")</x:f>
        <x:v>2</x:v>
      </x:c>
      <x:c r="AA37" s="111" t="n">
        <x:f>IFERROR(VLOOKUP($A37,'Jason QB'!$A$6:$L$41,10,FALSE),"")</x:f>
        <x:v>11</x:v>
      </x:c>
      <x:c r="AB37" s="111" t="n">
        <x:f>IFERROR(VLOOKUP($A37,'Jason QB'!$A$6:$L$41,11,FALSE),"")</x:f>
        <x:v>5</x:v>
      </x:c>
      <x:c r="AC37" s="110" t="n">
        <x:f>IF(COUNT(E37,M37,U37)=0,"",AVERAGE(E37,M37,U37))</x:f>
        <x:v>32.333333333333336</x:v>
      </x:c>
      <x:c r="AD37" s="110" t="n">
        <x:f>IF(COUNT(E37,M37,U37)=0,"",MAX(E37,M37,U37)-MIN(E37,M37,U37))</x:f>
        <x:v>2</x:v>
      </x:c>
      <x:c r="AE37" s="110" t="n">
        <x:f>IF(COUNT(F37,N37,V37)=0,"",AVERAGE(F37,N37,V37))</x:f>
        <x:v>6.466666666666666</x:v>
      </x:c>
      <x:c r="AF37" s="112" t="n">
        <x:f>IF(COUNT(G37,O37,W37)=0,"",AVERAGE(G37,O37,W37))</x:f>
        <x:v>1857</x:v>
      </x:c>
      <x:c r="AG37" s="112" t="n">
        <x:f>IF(COUNT(H37,P37,X37)=0,"",AVERAGE(H37,P37,X37))</x:f>
        <x:v>10.666666666666666</x:v>
      </x:c>
      <x:c r="AH37" s="112" t="n">
        <x:f>IF(COUNT(I37,Q37,Y37)=0,"",AVERAGE(I37,Q37,Y37))</x:f>
        <x:v>142.66666666666666</x:v>
      </x:c>
      <x:c r="AI37" s="112" t="n">
        <x:f>IF(COUNT(J37,R37,Z37)=0,"",AVERAGE(J37,R37,Z37))</x:f>
        <x:v>1.6666666666666667</x:v>
      </x:c>
      <x:c r="AJ37" s="112" t="n">
        <x:f>IF(COUNT(K37,S37,AA37)=0,"",AVERAGE(K37,S37,AA37))</x:f>
        <x:v>9</x:v>
      </x:c>
      <x:c r="AK37" s="112" t="n">
        <x:f>IF(COUNT(L37,T37,AB37)=0,"",AVERAGE(L37,T37,AB37))</x:f>
        <x:v>2</x:v>
      </x:c>
    </x:row>
    <x:row r="38">
      <x:c r="A38" s="107" t="str">
        <x:v>Michael Penix Jr.</x:v>
      </x:c>
      <x:c r="B38" s="108" t="str">
        <x:v>QB</x:v>
      </x:c>
      <x:c r="C38" s="108" t="str">
        <x:v>ATL</x:v>
      </x:c>
      <x:c r="D38" s="109" t="n">
        <x:v>11</x:v>
      </x:c>
      <x:c r="E38" s="109" t="n">
        <x:f>IFERROR(VLOOKUP($A38,'Mike QB'!$A$6:$L$40,4,FALSE),"")</x:f>
        <x:v>32</x:v>
      </x:c>
      <x:c r="F38" s="110" t="n">
        <x:f>IFERROR(VLOOKUP($A38,'Mike QB'!$A$6:$L$40,5,FALSE),"")</x:f>
        <x:v>8.1</x:v>
      </x:c>
      <x:c r="G38" s="111" t="n">
        <x:f>IFERROR(VLOOKUP($A38,'Mike QB'!$A$6:$L$40,6,FALSE),"")</x:f>
        <x:v>2300</x:v>
      </x:c>
      <x:c r="H38" s="111" t="n">
        <x:f>IFERROR(VLOOKUP($A38,'Mike QB'!$A$6:$L$40,7,FALSE),"")</x:f>
        <x:v>13</x:v>
      </x:c>
      <x:c r="I38" s="111" t="n">
        <x:f>IFERROR(VLOOKUP($A38,'Mike QB'!$A$6:$L$40,8,FALSE),"")</x:f>
        <x:v>73</x:v>
      </x:c>
      <x:c r="J38" s="111" t="n">
        <x:f>IFERROR(VLOOKUP($A38,'Mike QB'!$A$6:$L$40,9,FALSE),"")</x:f>
        <x:v>1</x:v>
      </x:c>
      <x:c r="K38" s="111" t="n">
        <x:f>IFERROR(VLOOKUP($A38,'Mike QB'!$A$6:$L$40,10,FALSE),"")</x:f>
        <x:v>5</x:v>
      </x:c>
      <x:c r="L38" s="111" t="n">
        <x:f>IFERROR(VLOOKUP($A38,'Mike QB'!$A$6:$L$40,11,FALSE),"")</x:f>
        <x:v>2</x:v>
      </x:c>
      <x:c r="M38" s="109" t="n">
        <x:f>IFERROR(VLOOKUP($A38,'Andy QB'!$A$6:$L$41,4,FALSE),"")</x:f>
        <x:v>30</x:v>
      </x:c>
      <x:c r="N38" s="110" t="n">
        <x:f>IFERROR(VLOOKUP($A38,'Andy QB'!$A$6:$L$41,5,FALSE),"")</x:f>
        <x:v>8.9</x:v>
      </x:c>
      <x:c r="O38" s="111" t="n">
        <x:f>IFERROR(VLOOKUP($A38,'Andy QB'!$A$6:$L$41,6,FALSE),"")</x:f>
        <x:v>2433</x:v>
      </x:c>
      <x:c r="P38" s="111" t="n">
        <x:f>IFERROR(VLOOKUP($A38,'Andy QB'!$A$6:$L$41,7,FALSE),"")</x:f>
        <x:v>13</x:v>
      </x:c>
      <x:c r="Q38" s="111" t="n">
        <x:f>IFERROR(VLOOKUP($A38,'Andy QB'!$A$6:$L$41,8,FALSE),"")</x:f>
        <x:v>88</x:v>
      </x:c>
      <x:c r="R38" s="111" t="n">
        <x:f>IFERROR(VLOOKUP($A38,'Andy QB'!$A$6:$L$41,9,FALSE),"")</x:f>
        <x:v>2</x:v>
      </x:c>
      <x:c r="S38" s="111" t="n">
        <x:f>IFERROR(VLOOKUP($A38,'Andy QB'!$A$6:$L$41,10,FALSE),"")</x:f>
        <x:v>3</x:v>
      </x:c>
      <x:c r="T38" s="111" t="n">
        <x:f>IFERROR(VLOOKUP($A38,'Andy QB'!$A$6:$L$41,11,FALSE),"")</x:f>
        <x:v>3</x:v>
      </x:c>
      <x:c r="U38" s="109" t="n">
        <x:f>IFERROR(VLOOKUP($A38,'Jason QB'!$A$6:$L$41,4,FALSE),"")</x:f>
        <x:v>36</x:v>
      </x:c>
      <x:c r="V38" s="110" t="n">
        <x:f>IFERROR(VLOOKUP($A38,'Jason QB'!$A$6:$L$41,5,FALSE),"")</x:f>
        <x:v>1.5</x:v>
      </x:c>
      <x:c r="W38" s="111" t="n">
        <x:f>IFERROR(VLOOKUP($A38,'Jason QB'!$A$6:$L$41,6,FALSE),"")</x:f>
        <x:v>453</x:v>
      </x:c>
      <x:c r="X38" s="111" t="n">
        <x:f>IFERROR(VLOOKUP($A38,'Jason QB'!$A$6:$L$41,7,FALSE),"")</x:f>
        <x:v>3</x:v>
      </x:c>
      <x:c r="Y38" s="111" t="n">
        <x:f>IFERROR(VLOOKUP($A38,'Jason QB'!$A$6:$L$41,8,FALSE),"")</x:f>
        <x:v>12</x:v>
      </x:c>
      <x:c r="Z38" s="111" t="n">
        <x:f>IFERROR(VLOOKUP($A38,'Jason QB'!$A$6:$L$41,9,FALSE),"")</x:f>
        <x:v>0</x:v>
      </x:c>
      <x:c r="AA38" s="111" t="n">
        <x:f>IFERROR(VLOOKUP($A38,'Jason QB'!$A$6:$L$41,10,FALSE),"")</x:f>
        <x:v>1</x:v>
      </x:c>
      <x:c r="AB38" s="111" t="n">
        <x:f>IFERROR(VLOOKUP($A38,'Jason QB'!$A$6:$L$41,11,FALSE),"")</x:f>
        <x:v>1</x:v>
      </x:c>
      <x:c r="AC38" s="110" t="n">
        <x:f>IF(COUNT(E38,M38,U38)=0,"",AVERAGE(E38,M38,U38))</x:f>
        <x:v>32.666666666666664</x:v>
      </x:c>
      <x:c r="AD38" s="110" t="n">
        <x:f>IF(COUNT(E38,M38,U38)=0,"",MAX(E38,M38,U38)-MIN(E38,M38,U38))</x:f>
        <x:v>6</x:v>
      </x:c>
      <x:c r="AE38" s="110" t="n">
        <x:f>IF(COUNT(F38,N38,V38)=0,"",AVERAGE(F38,N38,V38))</x:f>
        <x:v>6.166666666666667</x:v>
      </x:c>
      <x:c r="AF38" s="112" t="n">
        <x:f>IF(COUNT(G38,O38,W38)=0,"",AVERAGE(G38,O38,W38))</x:f>
        <x:v>1728.6666666666667</x:v>
      </x:c>
      <x:c r="AG38" s="112" t="n">
        <x:f>IF(COUNT(H38,P38,X38)=0,"",AVERAGE(H38,P38,X38))</x:f>
        <x:v>9.666666666666666</x:v>
      </x:c>
      <x:c r="AH38" s="112" t="n">
        <x:f>IF(COUNT(I38,Q38,Y38)=0,"",AVERAGE(I38,Q38,Y38))</x:f>
        <x:v>57.666666666666664</x:v>
      </x:c>
      <x:c r="AI38" s="112" t="n">
        <x:f>IF(COUNT(J38,R38,Z38)=0,"",AVERAGE(J38,R38,Z38))</x:f>
        <x:v>1</x:v>
      </x:c>
      <x:c r="AJ38" s="112" t="n">
        <x:f>IF(COUNT(K38,S38,AA38)=0,"",AVERAGE(K38,S38,AA38))</x:f>
        <x:v>3</x:v>
      </x:c>
      <x:c r="AK38" s="112" t="n">
        <x:f>IF(COUNT(L38,T38,AB38)=0,"",AVERAGE(L38,T38,AB38))</x:f>
        <x:v>2</x:v>
      </x:c>
    </x:row>
    <x:row r="39">
      <x:c r="A39" s="107" t="str">
        <x:v>Carson Beck</x:v>
      </x:c>
      <x:c r="B39" s="108" t="str">
        <x:v>QB</x:v>
      </x:c>
      <x:c r="C39" s="108" t="str">
        <x:v>ARI</x:v>
      </x:c>
      <x:c r="D39" s="109" t="n">
        <x:v>14</x:v>
      </x:c>
      <x:c r="E39" s="109" t="str">
        <x:f>IFERROR(VLOOKUP($A39,'Mike QB'!$A$6:$L$40,4,FALSE),"")</x:f>
      </x:c>
      <x:c r="F39" s="110" t="str">
        <x:f>IFERROR(VLOOKUP($A39,'Mike QB'!$A$6:$L$40,5,FALSE),"")</x:f>
      </x:c>
      <x:c r="G39" s="111" t="str">
        <x:f>IFERROR(VLOOKUP($A39,'Mike QB'!$A$6:$L$40,6,FALSE),"")</x:f>
      </x:c>
      <x:c r="H39" s="111" t="str">
        <x:f>IFERROR(VLOOKUP($A39,'Mike QB'!$A$6:$L$40,7,FALSE),"")</x:f>
      </x:c>
      <x:c r="I39" s="111" t="str">
        <x:f>IFERROR(VLOOKUP($A39,'Mike QB'!$A$6:$L$40,8,FALSE),"")</x:f>
      </x:c>
      <x:c r="J39" s="111" t="str">
        <x:f>IFERROR(VLOOKUP($A39,'Mike QB'!$A$6:$L$40,9,FALSE),"")</x:f>
      </x:c>
      <x:c r="K39" s="111" t="str">
        <x:f>IFERROR(VLOOKUP($A39,'Mike QB'!$A$6:$L$40,10,FALSE),"")</x:f>
      </x:c>
      <x:c r="L39" s="111" t="str">
        <x:f>IFERROR(VLOOKUP($A39,'Mike QB'!$A$6:$L$40,11,FALSE),"")</x:f>
      </x:c>
      <x:c r="M39" s="109" t="n">
        <x:f>IFERROR(VLOOKUP($A39,'Andy QB'!$A$6:$L$41,4,FALSE),"")</x:f>
        <x:v>36</x:v>
      </x:c>
      <x:c r="N39" s="110" t="n">
        <x:f>IFERROR(VLOOKUP($A39,'Andy QB'!$A$6:$L$41,5,FALSE),"")</x:f>
        <x:v>1</x:v>
      </x:c>
      <x:c r="O39" s="111" t="n">
        <x:f>IFERROR(VLOOKUP($A39,'Andy QB'!$A$6:$L$41,6,FALSE),"")</x:f>
        <x:v>412</x:v>
      </x:c>
      <x:c r="P39" s="111" t="n">
        <x:f>IFERROR(VLOOKUP($A39,'Andy QB'!$A$6:$L$41,7,FALSE),"")</x:f>
        <x:v>2</x:v>
      </x:c>
      <x:c r="Q39" s="111" t="n">
        <x:f>IFERROR(VLOOKUP($A39,'Andy QB'!$A$6:$L$41,8,FALSE),"")</x:f>
        <x:v>38</x:v>
      </x:c>
      <x:c r="R39" s="111" t="n">
        <x:f>IFERROR(VLOOKUP($A39,'Andy QB'!$A$6:$L$41,9,FALSE),"")</x:f>
        <x:v>0</x:v>
      </x:c>
      <x:c r="S39" s="111" t="n">
        <x:f>IFERROR(VLOOKUP($A39,'Andy QB'!$A$6:$L$41,10,FALSE),"")</x:f>
        <x:v>3</x:v>
      </x:c>
      <x:c r="T39" s="111" t="n">
        <x:f>IFERROR(VLOOKUP($A39,'Andy QB'!$A$6:$L$41,11,FALSE),"")</x:f>
        <x:v>1</x:v>
      </x:c>
      <x:c r="U39" s="109" t="n">
        <x:f>IFERROR(VLOOKUP($A39,'Jason QB'!$A$6:$L$41,4,FALSE),"")</x:f>
        <x:v>31</x:v>
      </x:c>
      <x:c r="V39" s="110" t="n">
        <x:f>IFERROR(VLOOKUP($A39,'Jason QB'!$A$6:$L$41,5,FALSE),"")</x:f>
        <x:v>7</x:v>
      </x:c>
      <x:c r="W39" s="111" t="n">
        <x:f>IFERROR(VLOOKUP($A39,'Jason QB'!$A$6:$L$41,6,FALSE),"")</x:f>
        <x:v>2147</x:v>
      </x:c>
      <x:c r="X39" s="111" t="n">
        <x:f>IFERROR(VLOOKUP($A39,'Jason QB'!$A$6:$L$41,7,FALSE),"")</x:f>
        <x:v>12</x:v>
      </x:c>
      <x:c r="Y39" s="111" t="n">
        <x:f>IFERROR(VLOOKUP($A39,'Jason QB'!$A$6:$L$41,8,FALSE),"")</x:f>
        <x:v>55</x:v>
      </x:c>
      <x:c r="Z39" s="111" t="n">
        <x:f>IFERROR(VLOOKUP($A39,'Jason QB'!$A$6:$L$41,9,FALSE),"")</x:f>
        <x:v>1</x:v>
      </x:c>
      <x:c r="AA39" s="111" t="n">
        <x:f>IFERROR(VLOOKUP($A39,'Jason QB'!$A$6:$L$41,10,FALSE),"")</x:f>
        <x:v>9</x:v>
      </x:c>
      <x:c r="AB39" s="111" t="n">
        <x:f>IFERROR(VLOOKUP($A39,'Jason QB'!$A$6:$L$41,11,FALSE),"")</x:f>
        <x:v>0</x:v>
      </x:c>
      <x:c r="AC39" s="110" t="n">
        <x:f>IF(COUNT(E39,M39,U39)=0,"",AVERAGE(E39,M39,U39))</x:f>
        <x:v>33.5</x:v>
      </x:c>
      <x:c r="AD39" s="110" t="n">
        <x:f>IF(COUNT(E39,M39,U39)=0,"",MAX(E39,M39,U39)-MIN(E39,M39,U39))</x:f>
        <x:v>5</x:v>
      </x:c>
      <x:c r="AE39" s="110" t="n">
        <x:f>IF(COUNT(F39,N39,V39)=0,"",AVERAGE(F39,N39,V39))</x:f>
        <x:v>4</x:v>
      </x:c>
      <x:c r="AF39" s="112" t="n">
        <x:f>IF(COUNT(G39,O39,W39)=0,"",AVERAGE(G39,O39,W39))</x:f>
        <x:v>1279.5</x:v>
      </x:c>
      <x:c r="AG39" s="112" t="n">
        <x:f>IF(COUNT(H39,P39,X39)=0,"",AVERAGE(H39,P39,X39))</x:f>
        <x:v>7</x:v>
      </x:c>
      <x:c r="AH39" s="112" t="n">
        <x:f>IF(COUNT(I39,Q39,Y39)=0,"",AVERAGE(I39,Q39,Y39))</x:f>
        <x:v>46.5</x:v>
      </x:c>
      <x:c r="AI39" s="112" t="n">
        <x:f>IF(COUNT(J39,R39,Z39)=0,"",AVERAGE(J39,R39,Z39))</x:f>
        <x:v>0.5</x:v>
      </x:c>
      <x:c r="AJ39" s="112" t="n">
        <x:f>IF(COUNT(K39,S39,AA39)=0,"",AVERAGE(K39,S39,AA39))</x:f>
        <x:v>6</x:v>
      </x:c>
      <x:c r="AK39" s="112" t="n">
        <x:f>IF(COUNT(L39,T39,AB39)=0,"",AVERAGE(L39,T39,AB39))</x:f>
        <x:v>0.5</x:v>
      </x:c>
    </x:row>
    <x:row r="40">
      <x:c r="A40" s="107" t="str">
        <x:v>Deshaun Watson</x:v>
      </x:c>
      <x:c r="B40" s="108" t="str">
        <x:v>QB</x:v>
      </x:c>
      <x:c r="C40" s="108" t="str">
        <x:v>CLE</x:v>
      </x:c>
      <x:c r="D40" s="109" t="n">
        <x:v>11</x:v>
      </x:c>
      <x:c r="E40" s="109" t="n">
        <x:f>IFERROR(VLOOKUP($A40,'Mike QB'!$A$6:$L$40,4,FALSE),"")</x:f>
        <x:v>35</x:v>
      </x:c>
      <x:c r="F40" s="110" t="n">
        <x:f>IFERROR(VLOOKUP($A40,'Mike QB'!$A$6:$L$40,5,FALSE),"")</x:f>
        <x:v>3.6</x:v>
      </x:c>
      <x:c r="G40" s="111" t="n">
        <x:f>IFERROR(VLOOKUP($A40,'Mike QB'!$A$6:$L$40,6,FALSE),"")</x:f>
        <x:v>1042</x:v>
      </x:c>
      <x:c r="H40" s="111" t="n">
        <x:f>IFERROR(VLOOKUP($A40,'Mike QB'!$A$6:$L$40,7,FALSE),"")</x:f>
        <x:v>6</x:v>
      </x:c>
      <x:c r="I40" s="111" t="n">
        <x:f>IFERROR(VLOOKUP($A40,'Mike QB'!$A$6:$L$40,8,FALSE),"")</x:f>
        <x:v>126</x:v>
      </x:c>
      <x:c r="J40" s="111" t="n">
        <x:f>IFERROR(VLOOKUP($A40,'Mike QB'!$A$6:$L$40,9,FALSE),"")</x:f>
        <x:v>1</x:v>
      </x:c>
      <x:c r="K40" s="111" t="n">
        <x:f>IFERROR(VLOOKUP($A40,'Mike QB'!$A$6:$L$40,10,FALSE),"")</x:f>
        <x:v>8</x:v>
      </x:c>
      <x:c r="L40" s="111" t="n">
        <x:f>IFERROR(VLOOKUP($A40,'Mike QB'!$A$6:$L$40,11,FALSE),"")</x:f>
        <x:v>1</x:v>
      </x:c>
      <x:c r="M40" s="109" t="n">
        <x:f>IFERROR(VLOOKUP($A40,'Andy QB'!$A$6:$L$41,4,FALSE),"")</x:f>
        <x:v>34</x:v>
      </x:c>
      <x:c r="N40" s="110" t="n">
        <x:f>IFERROR(VLOOKUP($A40,'Andy QB'!$A$6:$L$41,5,FALSE),"")</x:f>
        <x:v>4.2</x:v>
      </x:c>
      <x:c r="O40" s="111" t="n">
        <x:f>IFERROR(VLOOKUP($A40,'Andy QB'!$A$6:$L$41,6,FALSE),"")</x:f>
        <x:v>1641</x:v>
      </x:c>
      <x:c r="P40" s="111" t="n">
        <x:f>IFERROR(VLOOKUP($A40,'Andy QB'!$A$6:$L$41,7,FALSE),"")</x:f>
        <x:v>10</x:v>
      </x:c>
      <x:c r="Q40" s="111" t="n">
        <x:f>IFERROR(VLOOKUP($A40,'Andy QB'!$A$6:$L$41,8,FALSE),"")</x:f>
        <x:v>18</x:v>
      </x:c>
      <x:c r="R40" s="111" t="n">
        <x:f>IFERROR(VLOOKUP($A40,'Andy QB'!$A$6:$L$41,9,FALSE),"")</x:f>
        <x:v>0</x:v>
      </x:c>
      <x:c r="S40" s="111" t="n">
        <x:f>IFERROR(VLOOKUP($A40,'Andy QB'!$A$6:$L$41,10,FALSE),"")</x:f>
        <x:v>11</x:v>
      </x:c>
      <x:c r="T40" s="111" t="n">
        <x:f>IFERROR(VLOOKUP($A40,'Andy QB'!$A$6:$L$41,11,FALSE),"")</x:f>
        <x:v>1</x:v>
      </x:c>
      <x:c r="U40" s="109" t="n">
        <x:f>IFERROR(VLOOKUP($A40,'Jason QB'!$A$6:$L$41,4,FALSE),"")</x:f>
        <x:v>32</x:v>
      </x:c>
      <x:c r="V40" s="110" t="n">
        <x:f>IFERROR(VLOOKUP($A40,'Jason QB'!$A$6:$L$41,5,FALSE),"")</x:f>
        <x:v>6.8</x:v>
      </x:c>
      <x:c r="W40" s="111" t="n">
        <x:f>IFERROR(VLOOKUP($A40,'Jason QB'!$A$6:$L$41,6,FALSE),"")</x:f>
        <x:v>1747</x:v>
      </x:c>
      <x:c r="X40" s="111" t="n">
        <x:f>IFERROR(VLOOKUP($A40,'Jason QB'!$A$6:$L$41,7,FALSE),"")</x:f>
        <x:v>11</x:v>
      </x:c>
      <x:c r="Y40" s="111" t="n">
        <x:f>IFERROR(VLOOKUP($A40,'Jason QB'!$A$6:$L$41,8,FALSE),"")</x:f>
        <x:v>144</x:v>
      </x:c>
      <x:c r="Z40" s="111" t="n">
        <x:f>IFERROR(VLOOKUP($A40,'Jason QB'!$A$6:$L$41,9,FALSE),"")</x:f>
        <x:v>2</x:v>
      </x:c>
      <x:c r="AA40" s="111" t="n">
        <x:f>IFERROR(VLOOKUP($A40,'Jason QB'!$A$6:$L$41,10,FALSE),"")</x:f>
        <x:v>5</x:v>
      </x:c>
      <x:c r="AB40" s="111" t="n">
        <x:f>IFERROR(VLOOKUP($A40,'Jason QB'!$A$6:$L$41,11,FALSE),"")</x:f>
        <x:v>3</x:v>
      </x:c>
      <x:c r="AC40" s="110" t="n">
        <x:f>IF(COUNT(E40,M40,U40)=0,"",AVERAGE(E40,M40,U40))</x:f>
        <x:v>33.666666666666664</x:v>
      </x:c>
      <x:c r="AD40" s="110" t="n">
        <x:f>IF(COUNT(E40,M40,U40)=0,"",MAX(E40,M40,U40)-MIN(E40,M40,U40))</x:f>
        <x:v>3</x:v>
      </x:c>
      <x:c r="AE40" s="110" t="n">
        <x:f>IF(COUNT(F40,N40,V40)=0,"",AVERAGE(F40,N40,V40))</x:f>
        <x:v>4.866666666666667</x:v>
      </x:c>
      <x:c r="AF40" s="112" t="n">
        <x:f>IF(COUNT(G40,O40,W40)=0,"",AVERAGE(G40,O40,W40))</x:f>
        <x:v>1476.6666666666667</x:v>
      </x:c>
      <x:c r="AG40" s="112" t="n">
        <x:f>IF(COUNT(H40,P40,X40)=0,"",AVERAGE(H40,P40,X40))</x:f>
        <x:v>9</x:v>
      </x:c>
      <x:c r="AH40" s="112" t="n">
        <x:f>IF(COUNT(I40,Q40,Y40)=0,"",AVERAGE(I40,Q40,Y40))</x:f>
        <x:v>96</x:v>
      </x:c>
      <x:c r="AI40" s="112" t="n">
        <x:f>IF(COUNT(J40,R40,Z40)=0,"",AVERAGE(J40,R40,Z40))</x:f>
        <x:v>1</x:v>
      </x:c>
      <x:c r="AJ40" s="112" t="n">
        <x:f>IF(COUNT(K40,S40,AA40)=0,"",AVERAGE(K40,S40,AA40))</x:f>
        <x:v>8</x:v>
      </x:c>
      <x:c r="AK40" s="112" t="n">
        <x:f>IF(COUNT(L40,T40,AB40)=0,"",AVERAGE(L40,T40,AB40))</x:f>
        <x:v>1.6666666666666667</x:v>
      </x:c>
    </x:row>
    <x:row r="41">
      <x:c r="A41" s="113" t="str">
        <x:v>Kirk Cousins</x:v>
      </x:c>
      <x:c r="B41" s="114" t="str">
        <x:v>QB</x:v>
      </x:c>
      <x:c r="C41" s="114" t="str">
        <x:v>LV</x:v>
      </x:c>
      <x:c r="D41" s="115" t="n">
        <x:v>13</x:v>
      </x:c>
      <x:c r="E41" s="115" t="n">
        <x:f>IFERROR(VLOOKUP($A41,'Mike QB'!$A$6:$L$40,4,FALSE),"")</x:f>
        <x:v>34</x:v>
      </x:c>
      <x:c r="F41" s="116" t="n">
        <x:f>IFERROR(VLOOKUP($A41,'Mike QB'!$A$6:$L$40,5,FALSE),"")</x:f>
        <x:v>5.2</x:v>
      </x:c>
      <x:c r="G41" s="117" t="n">
        <x:f>IFERROR(VLOOKUP($A41,'Mike QB'!$A$6:$L$40,6,FALSE),"")</x:f>
        <x:v>1750</x:v>
      </x:c>
      <x:c r="H41" s="117" t="n">
        <x:f>IFERROR(VLOOKUP($A41,'Mike QB'!$A$6:$L$40,7,FALSE),"")</x:f>
        <x:v>12</x:v>
      </x:c>
      <x:c r="I41" s="117" t="n">
        <x:f>IFERROR(VLOOKUP($A41,'Mike QB'!$A$6:$L$40,8,FALSE),"")</x:f>
        <x:v>11</x:v>
      </x:c>
      <x:c r="J41" s="117" t="n">
        <x:f>IFERROR(VLOOKUP($A41,'Mike QB'!$A$6:$L$40,9,FALSE),"")</x:f>
        <x:v>0</x:v>
      </x:c>
      <x:c r="K41" s="117" t="n">
        <x:f>IFERROR(VLOOKUP($A41,'Mike QB'!$A$6:$L$40,10,FALSE),"")</x:f>
        <x:v>6</x:v>
      </x:c>
      <x:c r="L41" s="117" t="n">
        <x:f>IFERROR(VLOOKUP($A41,'Mike QB'!$A$6:$L$40,11,FALSE),"")</x:f>
        <x:v>6</x:v>
      </x:c>
      <x:c r="M41" s="115" t="n">
        <x:f>IFERROR(VLOOKUP($A41,'Andy QB'!$A$6:$L$41,4,FALSE),"")</x:f>
        <x:v>32</x:v>
      </x:c>
      <x:c r="N41" s="116" t="n">
        <x:f>IFERROR(VLOOKUP($A41,'Andy QB'!$A$6:$L$41,5,FALSE),"")</x:f>
        <x:v>6.5</x:v>
      </x:c>
      <x:c r="O41" s="117" t="n">
        <x:f>IFERROR(VLOOKUP($A41,'Andy QB'!$A$6:$L$41,6,FALSE),"")</x:f>
        <x:v>2050</x:v>
      </x:c>
      <x:c r="P41" s="117" t="n">
        <x:f>IFERROR(VLOOKUP($A41,'Andy QB'!$A$6:$L$41,7,FALSE),"")</x:f>
        <x:v>13</x:v>
      </x:c>
      <x:c r="Q41" s="117" t="n">
        <x:f>IFERROR(VLOOKUP($A41,'Andy QB'!$A$6:$L$41,8,FALSE),"")</x:f>
        <x:v>45</x:v>
      </x:c>
      <x:c r="R41" s="117" t="n">
        <x:f>IFERROR(VLOOKUP($A41,'Andy QB'!$A$6:$L$41,9,FALSE),"")</x:f>
        <x:v>1</x:v>
      </x:c>
      <x:c r="S41" s="117" t="n">
        <x:f>IFERROR(VLOOKUP($A41,'Andy QB'!$A$6:$L$41,10,FALSE),"")</x:f>
        <x:v>9</x:v>
      </x:c>
      <x:c r="T41" s="117" t="n">
        <x:f>IFERROR(VLOOKUP($A41,'Andy QB'!$A$6:$L$41,11,FALSE),"")</x:f>
        <x:v>3</x:v>
      </x:c>
      <x:c r="U41" s="115" t="n">
        <x:f>IFERROR(VLOOKUP($A41,'Jason QB'!$A$6:$L$41,4,FALSE),"")</x:f>
        <x:v>35</x:v>
      </x:c>
      <x:c r="V41" s="116" t="n">
        <x:f>IFERROR(VLOOKUP($A41,'Jason QB'!$A$6:$L$41,5,FALSE),"")</x:f>
        <x:v>4.8</x:v>
      </x:c>
      <x:c r="W41" s="117" t="n">
        <x:f>IFERROR(VLOOKUP($A41,'Jason QB'!$A$6:$L$41,6,FALSE),"")</x:f>
        <x:v>1524</x:v>
      </x:c>
      <x:c r="X41" s="117" t="n">
        <x:f>IFERROR(VLOOKUP($A41,'Jason QB'!$A$6:$L$41,7,FALSE),"")</x:f>
        <x:v>9</x:v>
      </x:c>
      <x:c r="Y41" s="117" t="n">
        <x:f>IFERROR(VLOOKUP($A41,'Jason QB'!$A$6:$L$41,8,FALSE),"")</x:f>
        <x:v>3</x:v>
      </x:c>
      <x:c r="Z41" s="117" t="n">
        <x:f>IFERROR(VLOOKUP($A41,'Jason QB'!$A$6:$L$41,9,FALSE),"")</x:f>
        <x:v>0</x:v>
      </x:c>
      <x:c r="AA41" s="117" t="n">
        <x:f>IFERROR(VLOOKUP($A41,'Jason QB'!$A$6:$L$41,10,FALSE),"")</x:f>
        <x:v>5</x:v>
      </x:c>
      <x:c r="AB41" s="117" t="n">
        <x:f>IFERROR(VLOOKUP($A41,'Jason QB'!$A$6:$L$41,11,FALSE),"")</x:f>
        <x:v>2</x:v>
      </x:c>
      <x:c r="AC41" s="116" t="n">
        <x:f>IF(COUNT(E41,M41,U41)=0,"",AVERAGE(E41,M41,U41))</x:f>
        <x:v>33.666666666666664</x:v>
      </x:c>
      <x:c r="AD41" s="116" t="n">
        <x:f>IF(COUNT(E41,M41,U41)=0,"",MAX(E41,M41,U41)-MIN(E41,M41,U41))</x:f>
        <x:v>3</x:v>
      </x:c>
      <x:c r="AE41" s="116" t="n">
        <x:f>IF(COUNT(F41,N41,V41)=0,"",AVERAGE(F41,N41,V41))</x:f>
        <x:v>5.5</x:v>
      </x:c>
      <x:c r="AF41" s="118" t="n">
        <x:f>IF(COUNT(G41,O41,W41)=0,"",AVERAGE(G41,O41,W41))</x:f>
        <x:v>1774.6666666666667</x:v>
      </x:c>
      <x:c r="AG41" s="118" t="n">
        <x:f>IF(COUNT(H41,P41,X41)=0,"",AVERAGE(H41,P41,X41))</x:f>
        <x:v>11.333333333333334</x:v>
      </x:c>
      <x:c r="AH41" s="118" t="n">
        <x:f>IF(COUNT(I41,Q41,Y41)=0,"",AVERAGE(I41,Q41,Y41))</x:f>
        <x:v>19.666666666666668</x:v>
      </x:c>
      <x:c r="AI41" s="118" t="n">
        <x:f>IF(COUNT(J41,R41,Z41)=0,"",AVERAGE(J41,R41,Z41))</x:f>
        <x:v>0.3333333333333333</x:v>
      </x:c>
      <x:c r="AJ41" s="118" t="n">
        <x:f>IF(COUNT(K41,S41,AA41)=0,"",AVERAGE(K41,S41,AA41))</x:f>
        <x:v>6.666666666666667</x:v>
      </x:c>
      <x:c r="AK41" s="118" t="n">
        <x:f>IF(COUNT(L41,T41,AB41)=0,"",AVERAGE(L41,T41,AB41))</x:f>
        <x:v>3.6666666666666665</x:v>
      </x:c>
    </x:row>
  </x:sheetData>
  <x:mergeCells>
    <x:mergeCell ref="A1:AK1"/>
    <x:mergeCell ref="A2:AK2"/>
    <x:mergeCell ref="A4:D4"/>
    <x:mergeCell ref="E4:L4"/>
    <x:mergeCell ref="M4:T4"/>
    <x:mergeCell ref="U4:AB4"/>
    <x:mergeCell ref="AC4:AK4"/>
  </x:mergeCells>
  <x:pageMargins left="0.7" right="0.7" top="0.75" bottom="0.75" header="0.3" footer="0.3"/>
  <x:tableParts count="1">
    <x:tablePart xmlns:r="http://schemas.openxmlformats.org/officeDocument/2006/relationships" r:id="R0d48cd20af914e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" hidden="0" customWidth="1"/>
    <x:col min="3" max="3" width="9" hidden="0" customWidth="1"/>
    <x:col min="4" max="4" width="7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</x:cols>
  <x:sheetData>
    <x:row r="1" ht="32" customHeight="1">
      <x:c r="A1" s="3" t="str">
        <x:v>2026 FLEX Projection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</x:row>
    <x:row r="2" ht="24" customHeight="1">
      <x:c r="A2" s="6" t="str">
        <x:v>Mike + Andy + Jason  |  Scoring profile: The Fear Boners  |  Sorted by average projected rank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</x:row>
    <x:row r="4">
      <x:c r="A4" s="15" t="str">
        <x:v>Player</x:v>
      </x:c>
      <x:c r="B4" s="16"/>
      <x:c r="C4" s="16"/>
      <x:c r="D4" s="17"/>
      <x:c r="E4" s="40" t="str">
        <x:v>Mike</x:v>
      </x:c>
      <x:c r="F4" s="79"/>
      <x:c r="G4" s="79"/>
      <x:c r="H4" s="79"/>
      <x:c r="I4" s="79"/>
      <x:c r="J4" s="79"/>
      <x:c r="K4" s="79"/>
      <x:c r="L4" s="79"/>
      <x:c r="M4" s="41"/>
      <x:c r="N4" s="32" t="str">
        <x:v>Andy</x:v>
      </x:c>
      <x:c r="O4" s="82"/>
      <x:c r="P4" s="82"/>
      <x:c r="Q4" s="82"/>
      <x:c r="R4" s="82"/>
      <x:c r="S4" s="82"/>
      <x:c r="T4" s="82"/>
      <x:c r="U4" s="82"/>
      <x:c r="V4" s="33"/>
      <x:c r="W4" s="48" t="str">
        <x:v>Jason</x:v>
      </x:c>
      <x:c r="X4" s="88"/>
      <x:c r="Y4" s="88"/>
      <x:c r="Z4" s="88"/>
      <x:c r="AA4" s="88"/>
      <x:c r="AB4" s="88"/>
      <x:c r="AC4" s="88"/>
      <x:c r="AD4" s="88"/>
      <x:c r="AE4" s="49"/>
      <x:c r="AF4" s="97" t="str">
        <x:v>Three-Analyst Consensus</x:v>
      </x:c>
      <x:c r="AG4" s="98"/>
      <x:c r="AH4" s="98"/>
      <x:c r="AI4" s="98"/>
      <x:c r="AJ4" s="98"/>
      <x:c r="AK4" s="98"/>
      <x:c r="AL4" s="98"/>
      <x:c r="AM4" s="98"/>
      <x:c r="AN4" s="98"/>
      <x:c r="AO4" s="99"/>
    </x:row>
    <x:row r="5" ht="30" customHeight="1">
      <x:c r="A5" s="65" t="str">
        <x:v>Player</x:v>
      </x:c>
      <x:c r="B5" s="66" t="str">
        <x:v>Pos</x:v>
      </x:c>
      <x:c r="C5" s="66" t="str">
        <x:v>Team</x:v>
      </x:c>
      <x:c r="D5" s="66" t="str">
        <x:v>Bye</x:v>
      </x:c>
      <x:c r="E5" s="66" t="str">
        <x:v>Rank</x:v>
      </x:c>
      <x:c r="F5" s="66" t="str">
        <x:v>PPG</x:v>
      </x:c>
      <x:c r="G5" s="66" t="str">
        <x:v>Rush Att</x:v>
      </x:c>
      <x:c r="H5" s="66" t="str">
        <x:v>Rush Yds</x:v>
      </x:c>
      <x:c r="I5" s="66" t="str">
        <x:v>Rush TD</x:v>
      </x:c>
      <x:c r="J5" s="66" t="str">
        <x:v>Rec</x:v>
      </x:c>
      <x:c r="K5" s="66" t="str">
        <x:v>Rec Yds</x:v>
      </x:c>
      <x:c r="L5" s="66" t="str">
        <x:v>Rec TD</x:v>
      </x:c>
      <x:c r="M5" s="66" t="str">
        <x:v>FUM</x:v>
      </x:c>
      <x:c r="N5" s="66" t="str">
        <x:v>Rank</x:v>
      </x:c>
      <x:c r="O5" s="66" t="str">
        <x:v>PPG</x:v>
      </x:c>
      <x:c r="P5" s="66" t="str">
        <x:v>Rush Att</x:v>
      </x:c>
      <x:c r="Q5" s="66" t="str">
        <x:v>Rush Yds</x:v>
      </x:c>
      <x:c r="R5" s="66" t="str">
        <x:v>Rush TD</x:v>
      </x:c>
      <x:c r="S5" s="66" t="str">
        <x:v>Rec</x:v>
      </x:c>
      <x:c r="T5" s="66" t="str">
        <x:v>Rec Yds</x:v>
      </x:c>
      <x:c r="U5" s="66" t="str">
        <x:v>Rec TD</x:v>
      </x:c>
      <x:c r="V5" s="66" t="str">
        <x:v>FUM</x:v>
      </x:c>
      <x:c r="W5" s="66" t="str">
        <x:v>Rank</x:v>
      </x:c>
      <x:c r="X5" s="66" t="str">
        <x:v>PPG</x:v>
      </x:c>
      <x:c r="Y5" s="66" t="str">
        <x:v>Rush Att</x:v>
      </x:c>
      <x:c r="Z5" s="66" t="str">
        <x:v>Rush Yds</x:v>
      </x:c>
      <x:c r="AA5" s="66" t="str">
        <x:v>Rush TD</x:v>
      </x:c>
      <x:c r="AB5" s="66" t="str">
        <x:v>Rec</x:v>
      </x:c>
      <x:c r="AC5" s="66" t="str">
        <x:v>Rec Yds</x:v>
      </x:c>
      <x:c r="AD5" s="66" t="str">
        <x:v>Rec TD</x:v>
      </x:c>
      <x:c r="AE5" s="66" t="str">
        <x:v>FUM</x:v>
      </x:c>
      <x:c r="AF5" s="66" t="str">
        <x:v>Avg Rank</x:v>
      </x:c>
      <x:c r="AG5" s="66" t="str">
        <x:v>Rank Spread</x:v>
      </x:c>
      <x:c r="AH5" s="66" t="str">
        <x:v>Avg PPG</x:v>
      </x:c>
      <x:c r="AI5" s="66" t="str">
        <x:v>Avg Rush Att</x:v>
      </x:c>
      <x:c r="AJ5" s="66" t="str">
        <x:v>Avg Rush Yds</x:v>
      </x:c>
      <x:c r="AK5" s="66" t="str">
        <x:v>Avg Rush TD</x:v>
      </x:c>
      <x:c r="AL5" s="66" t="str">
        <x:v>Avg Rec</x:v>
      </x:c>
      <x:c r="AM5" s="66" t="str">
        <x:v>Avg Rec Yds</x:v>
      </x:c>
      <x:c r="AN5" s="66" t="str">
        <x:v>Avg Rec TD</x:v>
      </x:c>
      <x:c r="AO5" s="67" t="str">
        <x:v>Avg FUM</x:v>
      </x:c>
    </x:row>
    <x:row r="6">
      <x:c r="A6" s="101" t="str">
        <x:v>Jahmyr Gibbs</x:v>
      </x:c>
      <x:c r="B6" s="102" t="str">
        <x:v>RB</x:v>
      </x:c>
      <x:c r="C6" s="102" t="str">
        <x:v>DET</x:v>
      </x:c>
      <x:c r="D6" s="103" t="n">
        <x:v>6</x:v>
      </x:c>
      <x:c r="E6" s="103" t="n">
        <x:f>IFERROR(VLOOKUP($A6,'Mike FLEX'!$A$6:$N$278,5,FALSE),"")</x:f>
        <x:v>1</x:v>
      </x:c>
      <x:c r="F6" s="104" t="n">
        <x:f>IFERROR(VLOOKUP($A6,'Mike FLEX'!$A$6:$N$278,6,FALSE),"")</x:f>
        <x:v>22.9</x:v>
      </x:c>
      <x:c r="G6" s="105" t="n">
        <x:f>IFERROR(VLOOKUP($A6,'Mike FLEX'!$A$6:$N$278,7,FALSE),"")</x:f>
        <x:v>282</x:v>
      </x:c>
      <x:c r="H6" s="105" t="n">
        <x:f>IFERROR(VLOOKUP($A6,'Mike FLEX'!$A$6:$N$278,8,FALSE),"")</x:f>
        <x:v>1410</x:v>
      </x:c>
      <x:c r="I6" s="105" t="n">
        <x:f>IFERROR(VLOOKUP($A6,'Mike FLEX'!$A$6:$N$278,9,FALSE),"")</x:f>
        <x:v>14</x:v>
      </x:c>
      <x:c r="J6" s="105" t="n">
        <x:f>IFERROR(VLOOKUP($A6,'Mike FLEX'!$A$6:$N$278,10,FALSE),"")</x:f>
        <x:v>81</x:v>
      </x:c>
      <x:c r="K6" s="105" t="n">
        <x:f>IFERROR(VLOOKUP($A6,'Mike FLEX'!$A$6:$N$278,11,FALSE),"")</x:f>
        <x:v>640</x:v>
      </x:c>
      <x:c r="L6" s="105" t="n">
        <x:f>IFERROR(VLOOKUP($A6,'Mike FLEX'!$A$6:$N$278,12,FALSE),"")</x:f>
        <x:v>4</x:v>
      </x:c>
      <x:c r="M6" s="105" t="n">
        <x:f>IFERROR(VLOOKUP($A6,'Mike FLEX'!$A$6:$N$278,13,FALSE),"")</x:f>
        <x:v>2</x:v>
      </x:c>
      <x:c r="N6" s="103" t="n">
        <x:f>IFERROR(VLOOKUP($A6,'Andy FLEX'!$A$6:$N$278,5,FALSE),"")</x:f>
        <x:v>1</x:v>
      </x:c>
      <x:c r="O6" s="104" t="n">
        <x:f>IFERROR(VLOOKUP($A6,'Andy FLEX'!$A$6:$N$278,6,FALSE),"")</x:f>
        <x:v>21.3</x:v>
      </x:c>
      <x:c r="P6" s="105" t="n">
        <x:f>IFERROR(VLOOKUP($A6,'Andy FLEX'!$A$6:$N$278,7,FALSE),"")</x:f>
        <x:v>258</x:v>
      </x:c>
      <x:c r="Q6" s="105" t="n">
        <x:f>IFERROR(VLOOKUP($A6,'Andy FLEX'!$A$6:$N$278,8,FALSE),"")</x:f>
        <x:v>1295</x:v>
      </x:c>
      <x:c r="R6" s="105" t="n">
        <x:f>IFERROR(VLOOKUP($A6,'Andy FLEX'!$A$6:$N$278,9,FALSE),"")</x:f>
        <x:v>13</x:v>
      </x:c>
      <x:c r="S6" s="105" t="n">
        <x:f>IFERROR(VLOOKUP($A6,'Andy FLEX'!$A$6:$N$278,10,FALSE),"")</x:f>
        <x:v>69</x:v>
      </x:c>
      <x:c r="T6" s="105" t="n">
        <x:f>IFERROR(VLOOKUP($A6,'Andy FLEX'!$A$6:$N$278,11,FALSE),"")</x:f>
        <x:v>589</x:v>
      </x:c>
      <x:c r="U6" s="105" t="n">
        <x:f>IFERROR(VLOOKUP($A6,'Andy FLEX'!$A$6:$N$278,12,FALSE),"")</x:f>
        <x:v>5</x:v>
      </x:c>
      <x:c r="V6" s="105" t="n">
        <x:f>IFERROR(VLOOKUP($A6,'Andy FLEX'!$A$6:$N$278,13,FALSE),"")</x:f>
        <x:v>2</x:v>
      </x:c>
      <x:c r="W6" s="103" t="n">
        <x:f>IFERROR(VLOOKUP($A6,'Jason FLEX'!$A$6:$N$268,5,FALSE),"")</x:f>
        <x:v>2</x:v>
      </x:c>
      <x:c r="X6" s="104" t="n">
        <x:f>IFERROR(VLOOKUP($A6,'Jason FLEX'!$A$6:$N$268,6,FALSE),"")</x:f>
        <x:v>22.5</x:v>
      </x:c>
      <x:c r="Y6" s="105" t="n">
        <x:f>IFERROR(VLOOKUP($A6,'Jason FLEX'!$A$6:$N$268,7,FALSE),"")</x:f>
        <x:v>269</x:v>
      </x:c>
      <x:c r="Z6" s="105" t="n">
        <x:f>IFERROR(VLOOKUP($A6,'Jason FLEX'!$A$6:$N$268,8,FALSE),"")</x:f>
        <x:v>1371</x:v>
      </x:c>
      <x:c r="AA6" s="105" t="n">
        <x:f>IFERROR(VLOOKUP($A6,'Jason FLEX'!$A$6:$N$268,9,FALSE),"")</x:f>
        <x:v>13</x:v>
      </x:c>
      <x:c r="AB6" s="105" t="n">
        <x:f>IFERROR(VLOOKUP($A6,'Jason FLEX'!$A$6:$N$268,10,FALSE),"")</x:f>
        <x:v>79</x:v>
      </x:c>
      <x:c r="AC6" s="105" t="n">
        <x:f>IFERROR(VLOOKUP($A6,'Jason FLEX'!$A$6:$N$268,11,FALSE),"")</x:f>
        <x:v>636</x:v>
      </x:c>
      <x:c r="AD6" s="105" t="n">
        <x:f>IFERROR(VLOOKUP($A6,'Jason FLEX'!$A$6:$N$268,12,FALSE),"")</x:f>
        <x:v>5</x:v>
      </x:c>
      <x:c r="AE6" s="105" t="n">
        <x:f>IFERROR(VLOOKUP($A6,'Jason FLEX'!$A$6:$N$268,13,FALSE),"")</x:f>
        <x:v>1</x:v>
      </x:c>
      <x:c r="AF6" s="104" t="n">
        <x:f>IF(COUNT(E6,N6,W6)=0,"",AVERAGE(E6,N6,W6))</x:f>
        <x:v>1.3333333333333333</x:v>
      </x:c>
      <x:c r="AG6" s="104" t="n">
        <x:f>IF(COUNT(E6,N6,W6)=0,"",MAX(E6,N6,W6)-MIN(E6,N6,W6))</x:f>
        <x:v>1</x:v>
      </x:c>
      <x:c r="AH6" s="104" t="n">
        <x:f>IF(COUNT(F6,O6,X6)=0,"",AVERAGE(F6,O6,X6))</x:f>
        <x:v>22.233333333333334</x:v>
      </x:c>
      <x:c r="AI6" s="106" t="n">
        <x:f>IF(COUNT(G6,P6,Y6)=0,"",AVERAGE(G6,P6,Y6))</x:f>
        <x:v>269.6666666666667</x:v>
      </x:c>
      <x:c r="AJ6" s="106" t="n">
        <x:f>IF(COUNT(H6,Q6,Z6)=0,"",AVERAGE(H6,Q6,Z6))</x:f>
        <x:v>1358.6666666666667</x:v>
      </x:c>
      <x:c r="AK6" s="106" t="n">
        <x:f>IF(COUNT(I6,R6,AA6)=0,"",AVERAGE(I6,R6,AA6))</x:f>
        <x:v>13.333333333333334</x:v>
      </x:c>
      <x:c r="AL6" s="106" t="n">
        <x:f>IF(COUNT(J6,S6,AB6)=0,"",AVERAGE(J6,S6,AB6))</x:f>
        <x:v>76.33333333333333</x:v>
      </x:c>
      <x:c r="AM6" s="106" t="n">
        <x:f>IF(COUNT(K6,T6,AC6)=0,"",AVERAGE(K6,T6,AC6))</x:f>
        <x:v>621.6666666666666</x:v>
      </x:c>
      <x:c r="AN6" s="106" t="n">
        <x:f>IF(COUNT(L6,U6,AD6)=0,"",AVERAGE(L6,U6,AD6))</x:f>
        <x:v>4.666666666666667</x:v>
      </x:c>
      <x:c r="AO6" s="106" t="n">
        <x:f>IF(COUNT(M6,V6,AE6)=0,"",AVERAGE(M6,V6,AE6))</x:f>
        <x:v>1.6666666666666667</x:v>
      </x:c>
    </x:row>
    <x:row r="7">
      <x:c r="A7" s="107" t="str">
        <x:v>Bijan Robinson</x:v>
      </x:c>
      <x:c r="B7" s="108" t="str">
        <x:v>RB</x:v>
      </x:c>
      <x:c r="C7" s="108" t="str">
        <x:v>ATL</x:v>
      </x:c>
      <x:c r="D7" s="109" t="n">
        <x:v>11</x:v>
      </x:c>
      <x:c r="E7" s="109" t="n">
        <x:f>IFERROR(VLOOKUP($A7,'Mike FLEX'!$A$6:$N$278,5,FALSE),"")</x:f>
        <x:v>2</x:v>
      </x:c>
      <x:c r="F7" s="110" t="n">
        <x:f>IFERROR(VLOOKUP($A7,'Mike FLEX'!$A$6:$N$278,6,FALSE),"")</x:f>
        <x:v>22.3</x:v>
      </x:c>
      <x:c r="G7" s="111" t="n">
        <x:f>IFERROR(VLOOKUP($A7,'Mike FLEX'!$A$6:$N$278,7,FALSE),"")</x:f>
        <x:v>284</x:v>
      </x:c>
      <x:c r="H7" s="111" t="n">
        <x:f>IFERROR(VLOOKUP($A7,'Mike FLEX'!$A$6:$N$278,8,FALSE),"")</x:f>
        <x:v>1391</x:v>
      </x:c>
      <x:c r="I7" s="111" t="n">
        <x:f>IFERROR(VLOOKUP($A7,'Mike FLEX'!$A$6:$N$278,9,FALSE),"")</x:f>
        <x:v>12</x:v>
      </x:c>
      <x:c r="J7" s="111" t="n">
        <x:f>IFERROR(VLOOKUP($A7,'Mike FLEX'!$A$6:$N$278,10,FALSE),"")</x:f>
        <x:v>80</x:v>
      </x:c>
      <x:c r="K7" s="111" t="n">
        <x:f>IFERROR(VLOOKUP($A7,'Mike FLEX'!$A$6:$N$278,11,FALSE),"")</x:f>
        <x:v>715</x:v>
      </x:c>
      <x:c r="L7" s="111" t="n">
        <x:f>IFERROR(VLOOKUP($A7,'Mike FLEX'!$A$6:$N$278,12,FALSE),"")</x:f>
        <x:v>4</x:v>
      </x:c>
      <x:c r="M7" s="111" t="n">
        <x:f>IFERROR(VLOOKUP($A7,'Mike FLEX'!$A$6:$N$278,13,FALSE),"")</x:f>
        <x:v>3</x:v>
      </x:c>
      <x:c r="N7" s="109" t="n">
        <x:f>IFERROR(VLOOKUP($A7,'Andy FLEX'!$A$6:$N$278,5,FALSE),"")</x:f>
        <x:v>4</x:v>
      </x:c>
      <x:c r="O7" s="110" t="n">
        <x:f>IFERROR(VLOOKUP($A7,'Andy FLEX'!$A$6:$N$278,6,FALSE),"")</x:f>
        <x:v>19.6</x:v>
      </x:c>
      <x:c r="P7" s="111" t="n">
        <x:f>IFERROR(VLOOKUP($A7,'Andy FLEX'!$A$6:$N$278,7,FALSE),"")</x:f>
        <x:v>275</x:v>
      </x:c>
      <x:c r="Q7" s="111" t="n">
        <x:f>IFERROR(VLOOKUP($A7,'Andy FLEX'!$A$6:$N$278,8,FALSE),"")</x:f>
        <x:v>1278</x:v>
      </x:c>
      <x:c r="R7" s="111" t="n">
        <x:f>IFERROR(VLOOKUP($A7,'Andy FLEX'!$A$6:$N$278,9,FALSE),"")</x:f>
        <x:v>9</x:v>
      </x:c>
      <x:c r="S7" s="111" t="n">
        <x:f>IFERROR(VLOOKUP($A7,'Andy FLEX'!$A$6:$N$278,10,FALSE),"")</x:f>
        <x:v>64</x:v>
      </x:c>
      <x:c r="T7" s="111" t="n">
        <x:f>IFERROR(VLOOKUP($A7,'Andy FLEX'!$A$6:$N$278,11,FALSE),"")</x:f>
        <x:v>716</x:v>
      </x:c>
      <x:c r="U7" s="111" t="n">
        <x:f>IFERROR(VLOOKUP($A7,'Andy FLEX'!$A$6:$N$278,12,FALSE),"")</x:f>
        <x:v>4</x:v>
      </x:c>
      <x:c r="V7" s="111" t="n">
        <x:f>IFERROR(VLOOKUP($A7,'Andy FLEX'!$A$6:$N$278,13,FALSE),"")</x:f>
        <x:v>3</x:v>
      </x:c>
      <x:c r="W7" s="109" t="n">
        <x:f>IFERROR(VLOOKUP($A7,'Jason FLEX'!$A$6:$N$268,5,FALSE),"")</x:f>
        <x:v>1</x:v>
      </x:c>
      <x:c r="X7" s="110" t="n">
        <x:f>IFERROR(VLOOKUP($A7,'Jason FLEX'!$A$6:$N$268,6,FALSE),"")</x:f>
        <x:v>22.6</x:v>
      </x:c>
      <x:c r="Y7" s="111" t="n">
        <x:f>IFERROR(VLOOKUP($A7,'Jason FLEX'!$A$6:$N$268,7,FALSE),"")</x:f>
        <x:v>290</x:v>
      </x:c>
      <x:c r="Z7" s="111" t="n">
        <x:f>IFERROR(VLOOKUP($A7,'Jason FLEX'!$A$6:$N$268,8,FALSE),"")</x:f>
        <x:v>1421</x:v>
      </x:c>
      <x:c r="AA7" s="111" t="n">
        <x:f>IFERROR(VLOOKUP($A7,'Jason FLEX'!$A$6:$N$268,9,FALSE),"")</x:f>
        <x:v>10</x:v>
      </x:c>
      <x:c r="AB7" s="111" t="n">
        <x:f>IFERROR(VLOOKUP($A7,'Jason FLEX'!$A$6:$N$268,10,FALSE),"")</x:f>
        <x:v>86</x:v>
      </x:c>
      <x:c r="AC7" s="111" t="n">
        <x:f>IFERROR(VLOOKUP($A7,'Jason FLEX'!$A$6:$N$268,11,FALSE),"")</x:f>
        <x:v>774</x:v>
      </x:c>
      <x:c r="AD7" s="111" t="n">
        <x:f>IFERROR(VLOOKUP($A7,'Jason FLEX'!$A$6:$N$268,12,FALSE),"")</x:f>
        <x:v>4</x:v>
      </x:c>
      <x:c r="AE7" s="111" t="n">
        <x:f>IFERROR(VLOOKUP($A7,'Jason FLEX'!$A$6:$N$268,13,FALSE),"")</x:f>
        <x:v>2</x:v>
      </x:c>
      <x:c r="AF7" s="110" t="n">
        <x:f>IF(COUNT(E7,N7,W7)=0,"",AVERAGE(E7,N7,W7))</x:f>
        <x:v>2.3333333333333335</x:v>
      </x:c>
      <x:c r="AG7" s="110" t="n">
        <x:f>IF(COUNT(E7,N7,W7)=0,"",MAX(E7,N7,W7)-MIN(E7,N7,W7))</x:f>
        <x:v>3</x:v>
      </x:c>
      <x:c r="AH7" s="110" t="n">
        <x:f>IF(COUNT(F7,O7,X7)=0,"",AVERAGE(F7,O7,X7))</x:f>
        <x:v>21.5</x:v>
      </x:c>
      <x:c r="AI7" s="112" t="n">
        <x:f>IF(COUNT(G7,P7,Y7)=0,"",AVERAGE(G7,P7,Y7))</x:f>
        <x:v>283</x:v>
      </x:c>
      <x:c r="AJ7" s="112" t="n">
        <x:f>IF(COUNT(H7,Q7,Z7)=0,"",AVERAGE(H7,Q7,Z7))</x:f>
        <x:v>1363.3333333333333</x:v>
      </x:c>
      <x:c r="AK7" s="112" t="n">
        <x:f>IF(COUNT(I7,R7,AA7)=0,"",AVERAGE(I7,R7,AA7))</x:f>
        <x:v>10.333333333333334</x:v>
      </x:c>
      <x:c r="AL7" s="112" t="n">
        <x:f>IF(COUNT(J7,S7,AB7)=0,"",AVERAGE(J7,S7,AB7))</x:f>
        <x:v>76.66666666666667</x:v>
      </x:c>
      <x:c r="AM7" s="112" t="n">
        <x:f>IF(COUNT(K7,T7,AC7)=0,"",AVERAGE(K7,T7,AC7))</x:f>
        <x:v>735</x:v>
      </x:c>
      <x:c r="AN7" s="112" t="n">
        <x:f>IF(COUNT(L7,U7,AD7)=0,"",AVERAGE(L7,U7,AD7))</x:f>
        <x:v>4</x:v>
      </x:c>
      <x:c r="AO7" s="112" t="n">
        <x:f>IF(COUNT(M7,V7,AE7)=0,"",AVERAGE(M7,V7,AE7))</x:f>
        <x:v>2.6666666666666665</x:v>
      </x:c>
    </x:row>
    <x:row r="8">
      <x:c r="A8" s="107" t="str">
        <x:v>Ja'Marr Chase</x:v>
      </x:c>
      <x:c r="B8" s="108" t="str">
        <x:v>WR</x:v>
      </x:c>
      <x:c r="C8" s="108" t="str">
        <x:v>CIN</x:v>
      </x:c>
      <x:c r="D8" s="109" t="n">
        <x:v>6</x:v>
      </x:c>
      <x:c r="E8" s="109" t="n">
        <x:f>IFERROR(VLOOKUP($A8,'Mike FLEX'!$A$6:$N$278,5,FALSE),"")</x:f>
        <x:v>3</x:v>
      </x:c>
      <x:c r="F8" s="110" t="n">
        <x:f>IFERROR(VLOOKUP($A8,'Mike FLEX'!$A$6:$N$278,6,FALSE),"")</x:f>
        <x:v>20.5</x:v>
      </x:c>
      <x:c r="G8" s="111" t="n">
        <x:f>IFERROR(VLOOKUP($A8,'Mike FLEX'!$A$6:$N$278,7,FALSE),"")</x:f>
        <x:v>3</x:v>
      </x:c>
      <x:c r="H8" s="111" t="n">
        <x:f>IFERROR(VLOOKUP($A8,'Mike FLEX'!$A$6:$N$278,8,FALSE),"")</x:f>
        <x:v>15</x:v>
      </x:c>
      <x:c r="I8" s="111" t="n">
        <x:f>IFERROR(VLOOKUP($A8,'Mike FLEX'!$A$6:$N$278,9,FALSE),"")</x:f>
        <x:v>0</x:v>
      </x:c>
      <x:c r="J8" s="111" t="n">
        <x:f>IFERROR(VLOOKUP($A8,'Mike FLEX'!$A$6:$N$278,10,FALSE),"")</x:f>
        <x:v>124</x:v>
      </x:c>
      <x:c r="K8" s="111" t="n">
        <x:f>IFERROR(VLOOKUP($A8,'Mike FLEX'!$A$6:$N$278,11,FALSE),"")</x:f>
        <x:v>1536</x:v>
      </x:c>
      <x:c r="L8" s="111" t="n">
        <x:f>IFERROR(VLOOKUP($A8,'Mike FLEX'!$A$6:$N$278,12,FALSE),"")</x:f>
        <x:v>12</x:v>
      </x:c>
      <x:c r="M8" s="111" t="n">
        <x:f>IFERROR(VLOOKUP($A8,'Mike FLEX'!$A$6:$N$278,13,FALSE),"")</x:f>
        <x:v>1</x:v>
      </x:c>
      <x:c r="N8" s="109" t="n">
        <x:f>IFERROR(VLOOKUP($A8,'Andy FLEX'!$A$6:$N$278,5,FALSE),"")</x:f>
        <x:v>3</x:v>
      </x:c>
      <x:c r="O8" s="110" t="n">
        <x:f>IFERROR(VLOOKUP($A8,'Andy FLEX'!$A$6:$N$278,6,FALSE),"")</x:f>
        <x:v>19.7</x:v>
      </x:c>
      <x:c r="P8" s="111" t="n">
        <x:f>IFERROR(VLOOKUP($A8,'Andy FLEX'!$A$6:$N$278,7,FALSE),"")</x:f>
        <x:v>4</x:v>
      </x:c>
      <x:c r="Q8" s="111" t="n">
        <x:f>IFERROR(VLOOKUP($A8,'Andy FLEX'!$A$6:$N$278,8,FALSE),"")</x:f>
        <x:v>20</x:v>
      </x:c>
      <x:c r="R8" s="111" t="n">
        <x:f>IFERROR(VLOOKUP($A8,'Andy FLEX'!$A$6:$N$278,9,FALSE),"")</x:f>
        <x:v>0</x:v>
      </x:c>
      <x:c r="S8" s="111" t="n">
        <x:f>IFERROR(VLOOKUP($A8,'Andy FLEX'!$A$6:$N$278,10,FALSE),"")</x:f>
        <x:v>126</x:v>
      </x:c>
      <x:c r="T8" s="111" t="n">
        <x:f>IFERROR(VLOOKUP($A8,'Andy FLEX'!$A$6:$N$278,11,FALSE),"")</x:f>
        <x:v>1496</x:v>
      </x:c>
      <x:c r="U8" s="111" t="n">
        <x:f>IFERROR(VLOOKUP($A8,'Andy FLEX'!$A$6:$N$278,12,FALSE),"")</x:f>
        <x:v>10</x:v>
      </x:c>
      <x:c r="V8" s="111" t="n">
        <x:f>IFERROR(VLOOKUP($A8,'Andy FLEX'!$A$6:$N$278,13,FALSE),"")</x:f>
        <x:v>1</x:v>
      </x:c>
      <x:c r="W8" s="109" t="n">
        <x:f>IFERROR(VLOOKUP($A8,'Jason FLEX'!$A$6:$N$268,5,FALSE),"")</x:f>
        <x:v>4</x:v>
      </x:c>
      <x:c r="X8" s="110" t="n">
        <x:f>IFERROR(VLOOKUP($A8,'Jason FLEX'!$A$6:$N$268,6,FALSE),"")</x:f>
        <x:v>19.6</x:v>
      </x:c>
      <x:c r="Y8" s="111" t="n">
        <x:f>IFERROR(VLOOKUP($A8,'Jason FLEX'!$A$6:$N$268,7,FALSE),"")</x:f>
        <x:v>2</x:v>
      </x:c>
      <x:c r="Z8" s="111" t="n">
        <x:f>IFERROR(VLOOKUP($A8,'Jason FLEX'!$A$6:$N$268,8,FALSE),"")</x:f>
        <x:v>10</x:v>
      </x:c>
      <x:c r="AA8" s="111" t="n">
        <x:f>IFERROR(VLOOKUP($A8,'Jason FLEX'!$A$6:$N$268,9,FALSE),"")</x:f>
        <x:v>0</x:v>
      </x:c>
      <x:c r="AB8" s="111" t="n">
        <x:f>IFERROR(VLOOKUP($A8,'Jason FLEX'!$A$6:$N$268,10,FALSE),"")</x:f>
        <x:v>112</x:v>
      </x:c>
      <x:c r="AC8" s="111" t="n">
        <x:f>IFERROR(VLOOKUP($A8,'Jason FLEX'!$A$6:$N$268,11,FALSE),"")</x:f>
        <x:v>1526</x:v>
      </x:c>
      <x:c r="AD8" s="111" t="n">
        <x:f>IFERROR(VLOOKUP($A8,'Jason FLEX'!$A$6:$N$268,12,FALSE),"")</x:f>
        <x:v>12</x:v>
      </x:c>
      <x:c r="AE8" s="111" t="n">
        <x:f>IFERROR(VLOOKUP($A8,'Jason FLEX'!$A$6:$N$268,13,FALSE),"")</x:f>
        <x:v>1</x:v>
      </x:c>
      <x:c r="AF8" s="110" t="n">
        <x:f>IF(COUNT(E8,N8,W8)=0,"",AVERAGE(E8,N8,W8))</x:f>
        <x:v>3.3333333333333335</x:v>
      </x:c>
      <x:c r="AG8" s="110" t="n">
        <x:f>IF(COUNT(E8,N8,W8)=0,"",MAX(E8,N8,W8)-MIN(E8,N8,W8))</x:f>
        <x:v>1</x:v>
      </x:c>
      <x:c r="AH8" s="110" t="n">
        <x:f>IF(COUNT(F8,O8,X8)=0,"",AVERAGE(F8,O8,X8))</x:f>
        <x:v>19.933333333333334</x:v>
      </x:c>
      <x:c r="AI8" s="112" t="n">
        <x:f>IF(COUNT(G8,P8,Y8)=0,"",AVERAGE(G8,P8,Y8))</x:f>
        <x:v>3</x:v>
      </x:c>
      <x:c r="AJ8" s="112" t="n">
        <x:f>IF(COUNT(H8,Q8,Z8)=0,"",AVERAGE(H8,Q8,Z8))</x:f>
        <x:v>15</x:v>
      </x:c>
      <x:c r="AK8" s="112" t="n">
        <x:f>IF(COUNT(I8,R8,AA8)=0,"",AVERAGE(I8,R8,AA8))</x:f>
        <x:v>0</x:v>
      </x:c>
      <x:c r="AL8" s="112" t="n">
        <x:f>IF(COUNT(J8,S8,AB8)=0,"",AVERAGE(J8,S8,AB8))</x:f>
        <x:v>120.66666666666667</x:v>
      </x:c>
      <x:c r="AM8" s="112" t="n">
        <x:f>IF(COUNT(K8,T8,AC8)=0,"",AVERAGE(K8,T8,AC8))</x:f>
        <x:v>1519.3333333333333</x:v>
      </x:c>
      <x:c r="AN8" s="112" t="n">
        <x:f>IF(COUNT(L8,U8,AD8)=0,"",AVERAGE(L8,U8,AD8))</x:f>
        <x:v>11.333333333333334</x:v>
      </x:c>
      <x:c r="AO8" s="112" t="n">
        <x:f>IF(COUNT(M8,V8,AE8)=0,"",AVERAGE(M8,V8,AE8))</x:f>
        <x:v>1</x:v>
      </x:c>
    </x:row>
    <x:row r="9">
      <x:c r="A9" s="107" t="str">
        <x:v>Christian McCaffrey</x:v>
      </x:c>
      <x:c r="B9" s="108" t="str">
        <x:v>RB</x:v>
      </x:c>
      <x:c r="C9" s="108" t="str">
        <x:v>SF</x:v>
      </x:c>
      <x:c r="D9" s="109" t="n">
        <x:v>8</x:v>
      </x:c>
      <x:c r="E9" s="109" t="n">
        <x:f>IFERROR(VLOOKUP($A9,'Mike FLEX'!$A$6:$N$278,5,FALSE),"")</x:f>
        <x:v>6</x:v>
      </x:c>
      <x:c r="F9" s="110" t="n">
        <x:f>IFERROR(VLOOKUP($A9,'Mike FLEX'!$A$6:$N$278,6,FALSE),"")</x:f>
        <x:v>19.3</x:v>
      </x:c>
      <x:c r="G9" s="111" t="n">
        <x:f>IFERROR(VLOOKUP($A9,'Mike FLEX'!$A$6:$N$278,7,FALSE),"")</x:f>
        <x:v>271</x:v>
      </x:c>
      <x:c r="H9" s="111" t="n">
        <x:f>IFERROR(VLOOKUP($A9,'Mike FLEX'!$A$6:$N$278,8,FALSE),"")</x:f>
        <x:v>1167</x:v>
      </x:c>
      <x:c r="I9" s="111" t="n">
        <x:f>IFERROR(VLOOKUP($A9,'Mike FLEX'!$A$6:$N$278,9,FALSE),"")</x:f>
        <x:v>9</x:v>
      </x:c>
      <x:c r="J9" s="111" t="n">
        <x:f>IFERROR(VLOOKUP($A9,'Mike FLEX'!$A$6:$N$278,10,FALSE),"")</x:f>
        <x:v>72</x:v>
      </x:c>
      <x:c r="K9" s="111" t="n">
        <x:f>IFERROR(VLOOKUP($A9,'Mike FLEX'!$A$6:$N$278,11,FALSE),"")</x:f>
        <x:v>628</x:v>
      </x:c>
      <x:c r="L9" s="111" t="n">
        <x:f>IFERROR(VLOOKUP($A9,'Mike FLEX'!$A$6:$N$278,12,FALSE),"")</x:f>
        <x:v>4</x:v>
      </x:c>
      <x:c r="M9" s="111" t="n">
        <x:f>IFERROR(VLOOKUP($A9,'Mike FLEX'!$A$6:$N$278,13,FALSE),"")</x:f>
        <x:v>2</x:v>
      </x:c>
      <x:c r="N9" s="109" t="n">
        <x:f>IFERROR(VLOOKUP($A9,'Andy FLEX'!$A$6:$N$278,5,FALSE),"")</x:f>
        <x:v>2</x:v>
      </x:c>
      <x:c r="O9" s="110" t="n">
        <x:f>IFERROR(VLOOKUP($A9,'Andy FLEX'!$A$6:$N$278,6,FALSE),"")</x:f>
        <x:v>20</x:v>
      </x:c>
      <x:c r="P9" s="111" t="n">
        <x:f>IFERROR(VLOOKUP($A9,'Andy FLEX'!$A$6:$N$278,7,FALSE),"")</x:f>
        <x:v>261</x:v>
      </x:c>
      <x:c r="Q9" s="111" t="n">
        <x:f>IFERROR(VLOOKUP($A9,'Andy FLEX'!$A$6:$N$278,8,FALSE),"")</x:f>
        <x:v>1037</x:v>
      </x:c>
      <x:c r="R9" s="111" t="n">
        <x:f>IFERROR(VLOOKUP($A9,'Andy FLEX'!$A$6:$N$278,9,FALSE),"")</x:f>
        <x:v>8</x:v>
      </x:c>
      <x:c r="S9" s="111" t="n">
        <x:f>IFERROR(VLOOKUP($A9,'Andy FLEX'!$A$6:$N$278,10,FALSE),"")</x:f>
        <x:v>84</x:v>
      </x:c>
      <x:c r="T9" s="111" t="n">
        <x:f>IFERROR(VLOOKUP($A9,'Andy FLEX'!$A$6:$N$278,11,FALSE),"")</x:f>
        <x:v>783</x:v>
      </x:c>
      <x:c r="U9" s="111" t="n">
        <x:f>IFERROR(VLOOKUP($A9,'Andy FLEX'!$A$6:$N$278,12,FALSE),"")</x:f>
        <x:v>5</x:v>
      </x:c>
      <x:c r="V9" s="111" t="n">
        <x:f>IFERROR(VLOOKUP($A9,'Andy FLEX'!$A$6:$N$278,13,FALSE),"")</x:f>
        <x:v>2</x:v>
      </x:c>
      <x:c r="W9" s="109" t="n">
        <x:f>IFERROR(VLOOKUP($A9,'Jason FLEX'!$A$6:$N$268,5,FALSE),"")</x:f>
        <x:v>3</x:v>
      </x:c>
      <x:c r="X9" s="110" t="n">
        <x:f>IFERROR(VLOOKUP($A9,'Jason FLEX'!$A$6:$N$268,6,FALSE),"")</x:f>
        <x:v>21.5</x:v>
      </x:c>
      <x:c r="Y9" s="111" t="n">
        <x:f>IFERROR(VLOOKUP($A9,'Jason FLEX'!$A$6:$N$268,7,FALSE),"")</x:f>
        <x:v>250</x:v>
      </x:c>
      <x:c r="Z9" s="111" t="n">
        <x:f>IFERROR(VLOOKUP($A9,'Jason FLEX'!$A$6:$N$268,8,FALSE),"")</x:f>
        <x:v>1200</x:v>
      </x:c>
      <x:c r="AA9" s="111" t="n">
        <x:f>IFERROR(VLOOKUP($A9,'Jason FLEX'!$A$6:$N$268,9,FALSE),"")</x:f>
        <x:v>12</x:v>
      </x:c>
      <x:c r="AB9" s="111" t="n">
        <x:f>IFERROR(VLOOKUP($A9,'Jason FLEX'!$A$6:$N$268,10,FALSE),"")</x:f>
        <x:v>79</x:v>
      </x:c>
      <x:c r="AC9" s="111" t="n">
        <x:f>IFERROR(VLOOKUP($A9,'Jason FLEX'!$A$6:$N$268,11,FALSE),"")</x:f>
        <x:v>718</x:v>
      </x:c>
      <x:c r="AD9" s="111" t="n">
        <x:f>IFERROR(VLOOKUP($A9,'Jason FLEX'!$A$6:$N$268,12,FALSE),"")</x:f>
        <x:v>5</x:v>
      </x:c>
      <x:c r="AE9" s="111" t="n">
        <x:f>IFERROR(VLOOKUP($A9,'Jason FLEX'!$A$6:$N$268,13,FALSE),"")</x:f>
        <x:v>2</x:v>
      </x:c>
      <x:c r="AF9" s="110" t="n">
        <x:f>IF(COUNT(E9,N9,W9)=0,"",AVERAGE(E9,N9,W9))</x:f>
        <x:v>3.6666666666666665</x:v>
      </x:c>
      <x:c r="AG9" s="110" t="n">
        <x:f>IF(COUNT(E9,N9,W9)=0,"",MAX(E9,N9,W9)-MIN(E9,N9,W9))</x:f>
        <x:v>4</x:v>
      </x:c>
      <x:c r="AH9" s="110" t="n">
        <x:f>IF(COUNT(F9,O9,X9)=0,"",AVERAGE(F9,O9,X9))</x:f>
        <x:v>20.266666666666666</x:v>
      </x:c>
      <x:c r="AI9" s="112" t="n">
        <x:f>IF(COUNT(G9,P9,Y9)=0,"",AVERAGE(G9,P9,Y9))</x:f>
        <x:v>260.6666666666667</x:v>
      </x:c>
      <x:c r="AJ9" s="112" t="n">
        <x:f>IF(COUNT(H9,Q9,Z9)=0,"",AVERAGE(H9,Q9,Z9))</x:f>
        <x:v>1134.6666666666667</x:v>
      </x:c>
      <x:c r="AK9" s="112" t="n">
        <x:f>IF(COUNT(I9,R9,AA9)=0,"",AVERAGE(I9,R9,AA9))</x:f>
        <x:v>9.666666666666666</x:v>
      </x:c>
      <x:c r="AL9" s="112" t="n">
        <x:f>IF(COUNT(J9,S9,AB9)=0,"",AVERAGE(J9,S9,AB9))</x:f>
        <x:v>78.33333333333333</x:v>
      </x:c>
      <x:c r="AM9" s="112" t="n">
        <x:f>IF(COUNT(K9,T9,AC9)=0,"",AVERAGE(K9,T9,AC9))</x:f>
        <x:v>709.6666666666666</x:v>
      </x:c>
      <x:c r="AN9" s="112" t="n">
        <x:f>IF(COUNT(L9,U9,AD9)=0,"",AVERAGE(L9,U9,AD9))</x:f>
        <x:v>4.666666666666667</x:v>
      </x:c>
      <x:c r="AO9" s="112" t="n">
        <x:f>IF(COUNT(M9,V9,AE9)=0,"",AVERAGE(M9,V9,AE9))</x:f>
        <x:v>2</x:v>
      </x:c>
    </x:row>
    <x:row r="10">
      <x:c r="A10" s="107" t="str">
        <x:v>Puka Nacua</x:v>
      </x:c>
      <x:c r="B10" s="108" t="str">
        <x:v>WR</x:v>
      </x:c>
      <x:c r="C10" s="108" t="str">
        <x:v>LAR</x:v>
      </x:c>
      <x:c r="D10" s="109" t="n">
        <x:v>11</x:v>
      </x:c>
      <x:c r="E10" s="109" t="n">
        <x:f>IFERROR(VLOOKUP($A10,'Mike FLEX'!$A$6:$N$278,5,FALSE),"")</x:f>
        <x:v>4</x:v>
      </x:c>
      <x:c r="F10" s="110" t="n">
        <x:f>IFERROR(VLOOKUP($A10,'Mike FLEX'!$A$6:$N$278,6,FALSE),"")</x:f>
        <x:v>19.9</x:v>
      </x:c>
      <x:c r="G10" s="111" t="n">
        <x:f>IFERROR(VLOOKUP($A10,'Mike FLEX'!$A$6:$N$278,7,FALSE),"")</x:f>
        <x:v>11</x:v>
      </x:c>
      <x:c r="H10" s="111" t="n">
        <x:f>IFERROR(VLOOKUP($A10,'Mike FLEX'!$A$6:$N$278,8,FALSE),"")</x:f>
        <x:v>84</x:v>
      </x:c>
      <x:c r="I10" s="111" t="n">
        <x:f>IFERROR(VLOOKUP($A10,'Mike FLEX'!$A$6:$N$278,9,FALSE),"")</x:f>
        <x:v>1</x:v>
      </x:c>
      <x:c r="J10" s="111" t="n">
        <x:f>IFERROR(VLOOKUP($A10,'Mike FLEX'!$A$6:$N$278,10,FALSE),"")</x:f>
        <x:v>121</x:v>
      </x:c>
      <x:c r="K10" s="111" t="n">
        <x:f>IFERROR(VLOOKUP($A10,'Mike FLEX'!$A$6:$N$278,11,FALSE),"")</x:f>
        <x:v>1604</x:v>
      </x:c>
      <x:c r="L10" s="111" t="n">
        <x:f>IFERROR(VLOOKUP($A10,'Mike FLEX'!$A$6:$N$278,12,FALSE),"")</x:f>
        <x:v>8</x:v>
      </x:c>
      <x:c r="M10" s="111" t="n">
        <x:f>IFERROR(VLOOKUP($A10,'Mike FLEX'!$A$6:$N$278,13,FALSE),"")</x:f>
        <x:v>1</x:v>
      </x:c>
      <x:c r="N10" s="109" t="n">
        <x:f>IFERROR(VLOOKUP($A10,'Andy FLEX'!$A$6:$N$278,5,FALSE),"")</x:f>
        <x:v>6</x:v>
      </x:c>
      <x:c r="O10" s="110" t="n">
        <x:f>IFERROR(VLOOKUP($A10,'Andy FLEX'!$A$6:$N$278,6,FALSE),"")</x:f>
        <x:v>18.8</x:v>
      </x:c>
      <x:c r="P10" s="111" t="n">
        <x:f>IFERROR(VLOOKUP($A10,'Andy FLEX'!$A$6:$N$278,7,FALSE),"")</x:f>
        <x:v>7</x:v>
      </x:c>
      <x:c r="Q10" s="111" t="n">
        <x:f>IFERROR(VLOOKUP($A10,'Andy FLEX'!$A$6:$N$278,8,FALSE),"")</x:f>
        <x:v>106</x:v>
      </x:c>
      <x:c r="R10" s="111" t="n">
        <x:f>IFERROR(VLOOKUP($A10,'Andy FLEX'!$A$6:$N$278,9,FALSE),"")</x:f>
        <x:v>1</x:v>
      </x:c>
      <x:c r="S10" s="111" t="n">
        <x:f>IFERROR(VLOOKUP($A10,'Andy FLEX'!$A$6:$N$278,10,FALSE),"")</x:f>
        <x:v>110</x:v>
      </x:c>
      <x:c r="T10" s="111" t="n">
        <x:f>IFERROR(VLOOKUP($A10,'Andy FLEX'!$A$6:$N$278,11,FALSE),"")</x:f>
        <x:v>1468</x:v>
      </x:c>
      <x:c r="U10" s="111" t="n">
        <x:f>IFERROR(VLOOKUP($A10,'Andy FLEX'!$A$6:$N$278,12,FALSE),"")</x:f>
        <x:v>8</x:v>
      </x:c>
      <x:c r="V10" s="111" t="n">
        <x:f>IFERROR(VLOOKUP($A10,'Andy FLEX'!$A$6:$N$278,13,FALSE),"")</x:f>
        <x:v>1</x:v>
      </x:c>
      <x:c r="W10" s="109" t="n">
        <x:f>IFERROR(VLOOKUP($A10,'Jason FLEX'!$A$6:$N$268,5,FALSE),"")</x:f>
        <x:v>6</x:v>
      </x:c>
      <x:c r="X10" s="110" t="n">
        <x:f>IFERROR(VLOOKUP($A10,'Jason FLEX'!$A$6:$N$268,6,FALSE),"")</x:f>
        <x:v>18.5</x:v>
      </x:c>
      <x:c r="Y10" s="111" t="n">
        <x:f>IFERROR(VLOOKUP($A10,'Jason FLEX'!$A$6:$N$268,7,FALSE),"")</x:f>
        <x:v>5</x:v>
      </x:c>
      <x:c r="Z10" s="111" t="n">
        <x:f>IFERROR(VLOOKUP($A10,'Jason FLEX'!$A$6:$N$268,8,FALSE),"")</x:f>
        <x:v>47</x:v>
      </x:c>
      <x:c r="AA10" s="111" t="n">
        <x:f>IFERROR(VLOOKUP($A10,'Jason FLEX'!$A$6:$N$268,9,FALSE),"")</x:f>
        <x:v>0</x:v>
      </x:c>
      <x:c r="AB10" s="111" t="n">
        <x:f>IFERROR(VLOOKUP($A10,'Jason FLEX'!$A$6:$N$268,10,FALSE),"")</x:f>
        <x:v>113</x:v>
      </x:c>
      <x:c r="AC10" s="111" t="n">
        <x:f>IFERROR(VLOOKUP($A10,'Jason FLEX'!$A$6:$N$268,11,FALSE),"")</x:f>
        <x:v>1533</x:v>
      </x:c>
      <x:c r="AD10" s="111" t="n">
        <x:f>IFERROR(VLOOKUP($A10,'Jason FLEX'!$A$6:$N$268,12,FALSE),"")</x:f>
        <x:v>8</x:v>
      </x:c>
      <x:c r="AE10" s="111" t="n">
        <x:f>IFERROR(VLOOKUP($A10,'Jason FLEX'!$A$6:$N$268,13,FALSE),"")</x:f>
        <x:v>2</x:v>
      </x:c>
      <x:c r="AF10" s="110" t="n">
        <x:f>IF(COUNT(E10,N10,W10)=0,"",AVERAGE(E10,N10,W10))</x:f>
        <x:v>5.333333333333333</x:v>
      </x:c>
      <x:c r="AG10" s="110" t="n">
        <x:f>IF(COUNT(E10,N10,W10)=0,"",MAX(E10,N10,W10)-MIN(E10,N10,W10))</x:f>
        <x:v>2</x:v>
      </x:c>
      <x:c r="AH10" s="110" t="n">
        <x:f>IF(COUNT(F10,O10,X10)=0,"",AVERAGE(F10,O10,X10))</x:f>
        <x:v>19.066666666666666</x:v>
      </x:c>
      <x:c r="AI10" s="112" t="n">
        <x:f>IF(COUNT(G10,P10,Y10)=0,"",AVERAGE(G10,P10,Y10))</x:f>
        <x:v>7.666666666666667</x:v>
      </x:c>
      <x:c r="AJ10" s="112" t="n">
        <x:f>IF(COUNT(H10,Q10,Z10)=0,"",AVERAGE(H10,Q10,Z10))</x:f>
        <x:v>79</x:v>
      </x:c>
      <x:c r="AK10" s="112" t="n">
        <x:f>IF(COUNT(I10,R10,AA10)=0,"",AVERAGE(I10,R10,AA10))</x:f>
        <x:v>0.6666666666666666</x:v>
      </x:c>
      <x:c r="AL10" s="112" t="n">
        <x:f>IF(COUNT(J10,S10,AB10)=0,"",AVERAGE(J10,S10,AB10))</x:f>
        <x:v>114.66666666666667</x:v>
      </x:c>
      <x:c r="AM10" s="112" t="n">
        <x:f>IF(COUNT(K10,T10,AC10)=0,"",AVERAGE(K10,T10,AC10))</x:f>
        <x:v>1535</x:v>
      </x:c>
      <x:c r="AN10" s="112" t="n">
        <x:f>IF(COUNT(L10,U10,AD10)=0,"",AVERAGE(L10,U10,AD10))</x:f>
        <x:v>8</x:v>
      </x:c>
      <x:c r="AO10" s="112" t="n">
        <x:f>IF(COUNT(M10,V10,AE10)=0,"",AVERAGE(M10,V10,AE10))</x:f>
        <x:v>1.3333333333333333</x:v>
      </x:c>
    </x:row>
    <x:row r="11">
      <x:c r="A11" s="107" t="str">
        <x:v>Jaxon Smith-Njigba</x:v>
      </x:c>
      <x:c r="B11" s="108" t="str">
        <x:v>WR</x:v>
      </x:c>
      <x:c r="C11" s="108" t="str">
        <x:v>SEA</x:v>
      </x:c>
      <x:c r="D11" s="109" t="n">
        <x:v>11</x:v>
      </x:c>
      <x:c r="E11" s="109" t="n">
        <x:f>IFERROR(VLOOKUP($A11,'Mike FLEX'!$A$6:$N$278,5,FALSE),"")</x:f>
        <x:v>5</x:v>
      </x:c>
      <x:c r="F11" s="110" t="n">
        <x:f>IFERROR(VLOOKUP($A11,'Mike FLEX'!$A$6:$N$278,6,FALSE),"")</x:f>
        <x:v>19.3</x:v>
      </x:c>
      <x:c r="G11" s="111" t="n">
        <x:f>IFERROR(VLOOKUP($A11,'Mike FLEX'!$A$6:$N$278,7,FALSE),"")</x:f>
        <x:v>5</x:v>
      </x:c>
      <x:c r="H11" s="111" t="n">
        <x:f>IFERROR(VLOOKUP($A11,'Mike FLEX'!$A$6:$N$278,8,FALSE),"")</x:f>
        <x:v>26</x:v>
      </x:c>
      <x:c r="I11" s="111" t="n">
        <x:f>IFERROR(VLOOKUP($A11,'Mike FLEX'!$A$6:$N$278,9,FALSE),"")</x:f>
        <x:v>0</x:v>
      </x:c>
      <x:c r="J11" s="111" t="n">
        <x:f>IFERROR(VLOOKUP($A11,'Mike FLEX'!$A$6:$N$278,10,FALSE),"")</x:f>
        <x:v>117</x:v>
      </x:c>
      <x:c r="K11" s="111" t="n">
        <x:f>IFERROR(VLOOKUP($A11,'Mike FLEX'!$A$6:$N$278,11,FALSE),"")</x:f>
        <x:v>1576</x:v>
      </x:c>
      <x:c r="L11" s="111" t="n">
        <x:f>IFERROR(VLOOKUP($A11,'Mike FLEX'!$A$6:$N$278,12,FALSE),"")</x:f>
        <x:v>9</x:v>
      </x:c>
      <x:c r="M11" s="111" t="n">
        <x:f>IFERROR(VLOOKUP($A11,'Mike FLEX'!$A$6:$N$278,13,FALSE),"")</x:f>
        <x:v>2</x:v>
      </x:c>
      <x:c r="N11" s="109" t="n">
        <x:f>IFERROR(VLOOKUP($A11,'Andy FLEX'!$A$6:$N$278,5,FALSE),"")</x:f>
        <x:v>5</x:v>
      </x:c>
      <x:c r="O11" s="110" t="n">
        <x:f>IFERROR(VLOOKUP($A11,'Andy FLEX'!$A$6:$N$278,6,FALSE),"")</x:f>
        <x:v>19</x:v>
      </x:c>
      <x:c r="P11" s="111" t="n">
        <x:f>IFERROR(VLOOKUP($A11,'Andy FLEX'!$A$6:$N$278,7,FALSE),"")</x:f>
        <x:v>7</x:v>
      </x:c>
      <x:c r="Q11" s="111" t="n">
        <x:f>IFERROR(VLOOKUP($A11,'Andy FLEX'!$A$6:$N$278,8,FALSE),"")</x:f>
        <x:v>32</x:v>
      </x:c>
      <x:c r="R11" s="111" t="n">
        <x:f>IFERROR(VLOOKUP($A11,'Andy FLEX'!$A$6:$N$278,9,FALSE),"")</x:f>
        <x:v>0</x:v>
      </x:c>
      <x:c r="S11" s="111" t="n">
        <x:f>IFERROR(VLOOKUP($A11,'Andy FLEX'!$A$6:$N$278,10,FALSE),"")</x:f>
        <x:v>110</x:v>
      </x:c>
      <x:c r="T11" s="111" t="n">
        <x:f>IFERROR(VLOOKUP($A11,'Andy FLEX'!$A$6:$N$278,11,FALSE),"")</x:f>
        <x:v>1625</x:v>
      </x:c>
      <x:c r="U11" s="111" t="n">
        <x:f>IFERROR(VLOOKUP($A11,'Andy FLEX'!$A$6:$N$278,12,FALSE),"")</x:f>
        <x:v>8</x:v>
      </x:c>
      <x:c r="V11" s="111" t="n">
        <x:f>IFERROR(VLOOKUP($A11,'Andy FLEX'!$A$6:$N$278,13,FALSE),"")</x:f>
        <x:v>1</x:v>
      </x:c>
      <x:c r="W11" s="109" t="n">
        <x:f>IFERROR(VLOOKUP($A11,'Jason FLEX'!$A$6:$N$268,5,FALSE),"")</x:f>
        <x:v>7</x:v>
      </x:c>
      <x:c r="X11" s="110" t="n">
        <x:f>IFERROR(VLOOKUP($A11,'Jason FLEX'!$A$6:$N$268,6,FALSE),"")</x:f>
        <x:v>18.3</x:v>
      </x:c>
      <x:c r="Y11" s="111" t="n">
        <x:f>IFERROR(VLOOKUP($A11,'Jason FLEX'!$A$6:$N$268,7,FALSE),"")</x:f>
        <x:v>5</x:v>
      </x:c>
      <x:c r="Z11" s="111" t="n">
        <x:f>IFERROR(VLOOKUP($A11,'Jason FLEX'!$A$6:$N$268,8,FALSE),"")</x:f>
        <x:v>30</x:v>
      </x:c>
      <x:c r="AA11" s="111" t="n">
        <x:f>IFERROR(VLOOKUP($A11,'Jason FLEX'!$A$6:$N$268,9,FALSE),"")</x:f>
        <x:v>0</x:v>
      </x:c>
      <x:c r="AB11" s="111" t="n">
        <x:f>IFERROR(VLOOKUP($A11,'Jason FLEX'!$A$6:$N$268,10,FALSE),"")</x:f>
        <x:v>109</x:v>
      </x:c>
      <x:c r="AC11" s="111" t="n">
        <x:f>IFERROR(VLOOKUP($A11,'Jason FLEX'!$A$6:$N$268,11,FALSE),"")</x:f>
        <x:v>1466</x:v>
      </x:c>
      <x:c r="AD11" s="111" t="n">
        <x:f>IFERROR(VLOOKUP($A11,'Jason FLEX'!$A$6:$N$268,12,FALSE),"")</x:f>
        <x:v>9</x:v>
      </x:c>
      <x:c r="AE11" s="111" t="n">
        <x:f>IFERROR(VLOOKUP($A11,'Jason FLEX'!$A$6:$N$268,13,FALSE),"")</x:f>
        <x:v>0</x:v>
      </x:c>
      <x:c r="AF11" s="110" t="n">
        <x:f>IF(COUNT(E11,N11,W11)=0,"",AVERAGE(E11,N11,W11))</x:f>
        <x:v>5.666666666666667</x:v>
      </x:c>
      <x:c r="AG11" s="110" t="n">
        <x:f>IF(COUNT(E11,N11,W11)=0,"",MAX(E11,N11,W11)-MIN(E11,N11,W11))</x:f>
        <x:v>2</x:v>
      </x:c>
      <x:c r="AH11" s="110" t="n">
        <x:f>IF(COUNT(F11,O11,X11)=0,"",AVERAGE(F11,O11,X11))</x:f>
        <x:v>18.866666666666664</x:v>
      </x:c>
      <x:c r="AI11" s="112" t="n">
        <x:f>IF(COUNT(G11,P11,Y11)=0,"",AVERAGE(G11,P11,Y11))</x:f>
        <x:v>5.666666666666667</x:v>
      </x:c>
      <x:c r="AJ11" s="112" t="n">
        <x:f>IF(COUNT(H11,Q11,Z11)=0,"",AVERAGE(H11,Q11,Z11))</x:f>
        <x:v>29.333333333333332</x:v>
      </x:c>
      <x:c r="AK11" s="112" t="n">
        <x:f>IF(COUNT(I11,R11,AA11)=0,"",AVERAGE(I11,R11,AA11))</x:f>
        <x:v>0</x:v>
      </x:c>
      <x:c r="AL11" s="112" t="n">
        <x:f>IF(COUNT(J11,S11,AB11)=0,"",AVERAGE(J11,S11,AB11))</x:f>
        <x:v>112</x:v>
      </x:c>
      <x:c r="AM11" s="112" t="n">
        <x:f>IF(COUNT(K11,T11,AC11)=0,"",AVERAGE(K11,T11,AC11))</x:f>
        <x:v>1555.6666666666667</x:v>
      </x:c>
      <x:c r="AN11" s="112" t="n">
        <x:f>IF(COUNT(L11,U11,AD11)=0,"",AVERAGE(L11,U11,AD11))</x:f>
        <x:v>8.666666666666666</x:v>
      </x:c>
      <x:c r="AO11" s="112" t="n">
        <x:f>IF(COUNT(M11,V11,AE11)=0,"",AVERAGE(M11,V11,AE11))</x:f>
        <x:v>1</x:v>
      </x:c>
    </x:row>
    <x:row r="12">
      <x:c r="A12" s="107" t="str">
        <x:v>Amon-Ra St. Brown</x:v>
      </x:c>
      <x:c r="B12" s="108" t="str">
        <x:v>WR</x:v>
      </x:c>
      <x:c r="C12" s="108" t="str">
        <x:v>DET</x:v>
      </x:c>
      <x:c r="D12" s="109" t="n">
        <x:v>6</x:v>
      </x:c>
      <x:c r="E12" s="109" t="n">
        <x:f>IFERROR(VLOOKUP($A12,'Mike FLEX'!$A$6:$N$278,5,FALSE),"")</x:f>
        <x:v>7</x:v>
      </x:c>
      <x:c r="F12" s="110" t="n">
        <x:f>IFERROR(VLOOKUP($A12,'Mike FLEX'!$A$6:$N$278,6,FALSE),"")</x:f>
        <x:v>17.8</x:v>
      </x:c>
      <x:c r="G12" s="111" t="n">
        <x:f>IFERROR(VLOOKUP($A12,'Mike FLEX'!$A$6:$N$278,7,FALSE),"")</x:f>
        <x:v>3</x:v>
      </x:c>
      <x:c r="H12" s="111" t="n">
        <x:f>IFERROR(VLOOKUP($A12,'Mike FLEX'!$A$6:$N$278,8,FALSE),"")</x:f>
        <x:v>19</x:v>
      </x:c>
      <x:c r="I12" s="111" t="n">
        <x:f>IFERROR(VLOOKUP($A12,'Mike FLEX'!$A$6:$N$278,9,FALSE),"")</x:f>
        <x:v>0</x:v>
      </x:c>
      <x:c r="J12" s="111" t="n">
        <x:f>IFERROR(VLOOKUP($A12,'Mike FLEX'!$A$6:$N$278,10,FALSE),"")</x:f>
        <x:v>114</x:v>
      </x:c>
      <x:c r="K12" s="111" t="n">
        <x:f>IFERROR(VLOOKUP($A12,'Mike FLEX'!$A$6:$N$278,11,FALSE),"")</x:f>
        <x:v>1332</x:v>
      </x:c>
      <x:c r="L12" s="111" t="n">
        <x:f>IFERROR(VLOOKUP($A12,'Mike FLEX'!$A$6:$N$278,12,FALSE),"")</x:f>
        <x:v>9</x:v>
      </x:c>
      <x:c r="M12" s="111" t="n">
        <x:f>IFERROR(VLOOKUP($A12,'Mike FLEX'!$A$6:$N$278,13,FALSE),"")</x:f>
        <x:v>1</x:v>
      </x:c>
      <x:c r="N12" s="109" t="n">
        <x:f>IFERROR(VLOOKUP($A12,'Andy FLEX'!$A$6:$N$278,5,FALSE),"")</x:f>
        <x:v>7</x:v>
      </x:c>
      <x:c r="O12" s="110" t="n">
        <x:f>IFERROR(VLOOKUP($A12,'Andy FLEX'!$A$6:$N$278,6,FALSE),"")</x:f>
        <x:v>18.7</x:v>
      </x:c>
      <x:c r="P12" s="111" t="n">
        <x:f>IFERROR(VLOOKUP($A12,'Andy FLEX'!$A$6:$N$278,7,FALSE),"")</x:f>
        <x:v>8</x:v>
      </x:c>
      <x:c r="Q12" s="111" t="n">
        <x:f>IFERROR(VLOOKUP($A12,'Andy FLEX'!$A$6:$N$278,8,FALSE),"")</x:f>
        <x:v>38</x:v>
      </x:c>
      <x:c r="R12" s="111" t="n">
        <x:f>IFERROR(VLOOKUP($A12,'Andy FLEX'!$A$6:$N$278,9,FALSE),"")</x:f>
        <x:v>0</x:v>
      </x:c>
      <x:c r="S12" s="111" t="n">
        <x:f>IFERROR(VLOOKUP($A12,'Andy FLEX'!$A$6:$N$278,10,FALSE),"")</x:f>
        <x:v>120</x:v>
      </x:c>
      <x:c r="T12" s="111" t="n">
        <x:f>IFERROR(VLOOKUP($A12,'Andy FLEX'!$A$6:$N$278,11,FALSE),"")</x:f>
        <x:v>1420</x:v>
      </x:c>
      <x:c r="U12" s="111" t="n">
        <x:f>IFERROR(VLOOKUP($A12,'Andy FLEX'!$A$6:$N$278,12,FALSE),"")</x:f>
        <x:v>9</x:v>
      </x:c>
      <x:c r="V12" s="111" t="n">
        <x:f>IFERROR(VLOOKUP($A12,'Andy FLEX'!$A$6:$N$278,13,FALSE),"")</x:f>
        <x:v>1</x:v>
      </x:c>
      <x:c r="W12" s="109" t="n">
        <x:f>IFERROR(VLOOKUP($A12,'Jason FLEX'!$A$6:$N$268,5,FALSE),"")</x:f>
        <x:v>8</x:v>
      </x:c>
      <x:c r="X12" s="110" t="n">
        <x:f>IFERROR(VLOOKUP($A12,'Jason FLEX'!$A$6:$N$268,6,FALSE),"")</x:f>
        <x:v>18.2</x:v>
      </x:c>
      <x:c r="Y12" s="111" t="n">
        <x:f>IFERROR(VLOOKUP($A12,'Jason FLEX'!$A$6:$N$268,7,FALSE),"")</x:f>
        <x:v>3</x:v>
      </x:c>
      <x:c r="Z12" s="111" t="n">
        <x:f>IFERROR(VLOOKUP($A12,'Jason FLEX'!$A$6:$N$268,8,FALSE),"")</x:f>
        <x:v>8</x:v>
      </x:c>
      <x:c r="AA12" s="111" t="n">
        <x:f>IFERROR(VLOOKUP($A12,'Jason FLEX'!$A$6:$N$268,9,FALSE),"")</x:f>
        <x:v>0</x:v>
      </x:c>
      <x:c r="AB12" s="111" t="n">
        <x:f>IFERROR(VLOOKUP($A12,'Jason FLEX'!$A$6:$N$268,10,FALSE),"")</x:f>
        <x:v>114</x:v>
      </x:c>
      <x:c r="AC12" s="111" t="n">
        <x:f>IFERROR(VLOOKUP($A12,'Jason FLEX'!$A$6:$N$268,11,FALSE),"")</x:f>
        <x:v>1394</x:v>
      </x:c>
      <x:c r="AD12" s="111" t="n">
        <x:f>IFERROR(VLOOKUP($A12,'Jason FLEX'!$A$6:$N$268,12,FALSE),"")</x:f>
        <x:v>10</x:v>
      </x:c>
      <x:c r="AE12" s="111" t="n">
        <x:f>IFERROR(VLOOKUP($A12,'Jason FLEX'!$A$6:$N$268,13,FALSE),"")</x:f>
        <x:v>1</x:v>
      </x:c>
      <x:c r="AF12" s="110" t="n">
        <x:f>IF(COUNT(E12,N12,W12)=0,"",AVERAGE(E12,N12,W12))</x:f>
        <x:v>7.333333333333333</x:v>
      </x:c>
      <x:c r="AG12" s="110" t="n">
        <x:f>IF(COUNT(E12,N12,W12)=0,"",MAX(E12,N12,W12)-MIN(E12,N12,W12))</x:f>
        <x:v>1</x:v>
      </x:c>
      <x:c r="AH12" s="110" t="n">
        <x:f>IF(COUNT(F12,O12,X12)=0,"",AVERAGE(F12,O12,X12))</x:f>
        <x:v>18.233333333333334</x:v>
      </x:c>
      <x:c r="AI12" s="112" t="n">
        <x:f>IF(COUNT(G12,P12,Y12)=0,"",AVERAGE(G12,P12,Y12))</x:f>
        <x:v>4.666666666666667</x:v>
      </x:c>
      <x:c r="AJ12" s="112" t="n">
        <x:f>IF(COUNT(H12,Q12,Z12)=0,"",AVERAGE(H12,Q12,Z12))</x:f>
        <x:v>21.666666666666668</x:v>
      </x:c>
      <x:c r="AK12" s="112" t="n">
        <x:f>IF(COUNT(I12,R12,AA12)=0,"",AVERAGE(I12,R12,AA12))</x:f>
        <x:v>0</x:v>
      </x:c>
      <x:c r="AL12" s="112" t="n">
        <x:f>IF(COUNT(J12,S12,AB12)=0,"",AVERAGE(J12,S12,AB12))</x:f>
        <x:v>116</x:v>
      </x:c>
      <x:c r="AM12" s="112" t="n">
        <x:f>IF(COUNT(K12,T12,AC12)=0,"",AVERAGE(K12,T12,AC12))</x:f>
        <x:v>1382</x:v>
      </x:c>
      <x:c r="AN12" s="112" t="n">
        <x:f>IF(COUNT(L12,U12,AD12)=0,"",AVERAGE(L12,U12,AD12))</x:f>
        <x:v>9.333333333333334</x:v>
      </x:c>
      <x:c r="AO12" s="112" t="n">
        <x:f>IF(COUNT(M12,V12,AE12)=0,"",AVERAGE(M12,V12,AE12))</x:f>
        <x:v>1</x:v>
      </x:c>
    </x:row>
    <x:row r="13">
      <x:c r="A13" s="107" t="str">
        <x:v>Jonathan Taylor</x:v>
      </x:c>
      <x:c r="B13" s="108" t="str">
        <x:v>RB</x:v>
      </x:c>
      <x:c r="C13" s="108" t="str">
        <x:v>IND</x:v>
      </x:c>
      <x:c r="D13" s="109" t="n">
        <x:v>13</x:v>
      </x:c>
      <x:c r="E13" s="109" t="n">
        <x:f>IFERROR(VLOOKUP($A13,'Mike FLEX'!$A$6:$N$278,5,FALSE),"")</x:f>
        <x:v>9</x:v>
      </x:c>
      <x:c r="F13" s="110" t="n">
        <x:f>IFERROR(VLOOKUP($A13,'Mike FLEX'!$A$6:$N$278,6,FALSE),"")</x:f>
        <x:v>16.2</x:v>
      </x:c>
      <x:c r="G13" s="111" t="n">
        <x:f>IFERROR(VLOOKUP($A13,'Mike FLEX'!$A$6:$N$278,7,FALSE),"")</x:f>
        <x:v>302</x:v>
      </x:c>
      <x:c r="H13" s="111" t="n">
        <x:f>IFERROR(VLOOKUP($A13,'Mike FLEX'!$A$6:$N$278,8,FALSE),"")</x:f>
        <x:v>1448</x:v>
      </x:c>
      <x:c r="I13" s="111" t="n">
        <x:f>IFERROR(VLOOKUP($A13,'Mike FLEX'!$A$6:$N$278,9,FALSE),"")</x:f>
        <x:v>10</x:v>
      </x:c>
      <x:c r="J13" s="111" t="n">
        <x:f>IFERROR(VLOOKUP($A13,'Mike FLEX'!$A$6:$N$278,10,FALSE),"")</x:f>
        <x:v>37</x:v>
      </x:c>
      <x:c r="K13" s="111" t="n">
        <x:f>IFERROR(VLOOKUP($A13,'Mike FLEX'!$A$6:$N$278,11,FALSE),"")</x:f>
        <x:v>292</x:v>
      </x:c>
      <x:c r="L13" s="111" t="n">
        <x:f>IFERROR(VLOOKUP($A13,'Mike FLEX'!$A$6:$N$278,12,FALSE),"")</x:f>
        <x:v>1</x:v>
      </x:c>
      <x:c r="M13" s="111" t="n">
        <x:f>IFERROR(VLOOKUP($A13,'Mike FLEX'!$A$6:$N$278,13,FALSE),"")</x:f>
        <x:v>2</x:v>
      </x:c>
      <x:c r="N13" s="109" t="n">
        <x:f>IFERROR(VLOOKUP($A13,'Andy FLEX'!$A$6:$N$278,5,FALSE),"")</x:f>
        <x:v>10</x:v>
      </x:c>
      <x:c r="O13" s="110" t="n">
        <x:f>IFERROR(VLOOKUP($A13,'Andy FLEX'!$A$6:$N$278,6,FALSE),"")</x:f>
        <x:v>16.7</x:v>
      </x:c>
      <x:c r="P13" s="111" t="n">
        <x:f>IFERROR(VLOOKUP($A13,'Andy FLEX'!$A$6:$N$278,7,FALSE),"")</x:f>
        <x:v>301</x:v>
      </x:c>
      <x:c r="Q13" s="111" t="n">
        <x:f>IFERROR(VLOOKUP($A13,'Andy FLEX'!$A$6:$N$278,8,FALSE),"")</x:f>
        <x:v>1399</x:v>
      </x:c>
      <x:c r="R13" s="111" t="n">
        <x:f>IFERROR(VLOOKUP($A13,'Andy FLEX'!$A$6:$N$278,9,FALSE),"")</x:f>
        <x:v>12</x:v>
      </x:c>
      <x:c r="S13" s="111" t="n">
        <x:f>IFERROR(VLOOKUP($A13,'Andy FLEX'!$A$6:$N$278,10,FALSE),"")</x:f>
        <x:v>38</x:v>
      </x:c>
      <x:c r="T13" s="111" t="n">
        <x:f>IFERROR(VLOOKUP($A13,'Andy FLEX'!$A$6:$N$278,11,FALSE),"")</x:f>
        <x:v>325</x:v>
      </x:c>
      <x:c r="U13" s="111" t="n">
        <x:f>IFERROR(VLOOKUP($A13,'Andy FLEX'!$A$6:$N$278,12,FALSE),"")</x:f>
        <x:v>1</x:v>
      </x:c>
      <x:c r="V13" s="111" t="n">
        <x:f>IFERROR(VLOOKUP($A13,'Andy FLEX'!$A$6:$N$278,13,FALSE),"")</x:f>
        <x:v>2</x:v>
      </x:c>
      <x:c r="W13" s="109" t="n">
        <x:f>IFERROR(VLOOKUP($A13,'Jason FLEX'!$A$6:$N$268,5,FALSE),"")</x:f>
        <x:v>5</x:v>
      </x:c>
      <x:c r="X13" s="110" t="n">
        <x:f>IFERROR(VLOOKUP($A13,'Jason FLEX'!$A$6:$N$268,6,FALSE),"")</x:f>
        <x:v>18.8</x:v>
      </x:c>
      <x:c r="Y13" s="111" t="n">
        <x:f>IFERROR(VLOOKUP($A13,'Jason FLEX'!$A$6:$N$268,7,FALSE),"")</x:f>
        <x:v>312</x:v>
      </x:c>
      <x:c r="Z13" s="111" t="n">
        <x:f>IFERROR(VLOOKUP($A13,'Jason FLEX'!$A$6:$N$268,8,FALSE),"")</x:f>
        <x:v>1482</x:v>
      </x:c>
      <x:c r="AA13" s="111" t="n">
        <x:f>IFERROR(VLOOKUP($A13,'Jason FLEX'!$A$6:$N$268,9,FALSE),"")</x:f>
        <x:v>12</x:v>
      </x:c>
      <x:c r="AB13" s="111" t="n">
        <x:f>IFERROR(VLOOKUP($A13,'Jason FLEX'!$A$6:$N$268,10,FALSE),"")</x:f>
        <x:v>50</x:v>
      </x:c>
      <x:c r="AC13" s="111" t="n">
        <x:f>IFERROR(VLOOKUP($A13,'Jason FLEX'!$A$6:$N$268,11,FALSE),"")</x:f>
        <x:v>400</x:v>
      </x:c>
      <x:c r="AD13" s="111" t="n">
        <x:f>IFERROR(VLOOKUP($A13,'Jason FLEX'!$A$6:$N$268,12,FALSE),"")</x:f>
        <x:v>2</x:v>
      </x:c>
      <x:c r="AE13" s="111" t="n">
        <x:f>IFERROR(VLOOKUP($A13,'Jason FLEX'!$A$6:$N$268,13,FALSE),"")</x:f>
        <x:v>1</x:v>
      </x:c>
      <x:c r="AF13" s="110" t="n">
        <x:f>IF(COUNT(E13,N13,W13)=0,"",AVERAGE(E13,N13,W13))</x:f>
        <x:v>8</x:v>
      </x:c>
      <x:c r="AG13" s="110" t="n">
        <x:f>IF(COUNT(E13,N13,W13)=0,"",MAX(E13,N13,W13)-MIN(E13,N13,W13))</x:f>
        <x:v>5</x:v>
      </x:c>
      <x:c r="AH13" s="110" t="n">
        <x:f>IF(COUNT(F13,O13,X13)=0,"",AVERAGE(F13,O13,X13))</x:f>
        <x:v>17.233333333333334</x:v>
      </x:c>
      <x:c r="AI13" s="112" t="n">
        <x:f>IF(COUNT(G13,P13,Y13)=0,"",AVERAGE(G13,P13,Y13))</x:f>
        <x:v>305</x:v>
      </x:c>
      <x:c r="AJ13" s="112" t="n">
        <x:f>IF(COUNT(H13,Q13,Z13)=0,"",AVERAGE(H13,Q13,Z13))</x:f>
        <x:v>1443</x:v>
      </x:c>
      <x:c r="AK13" s="112" t="n">
        <x:f>IF(COUNT(I13,R13,AA13)=0,"",AVERAGE(I13,R13,AA13))</x:f>
        <x:v>11.333333333333334</x:v>
      </x:c>
      <x:c r="AL13" s="112" t="n">
        <x:f>IF(COUNT(J13,S13,AB13)=0,"",AVERAGE(J13,S13,AB13))</x:f>
        <x:v>41.666666666666664</x:v>
      </x:c>
      <x:c r="AM13" s="112" t="n">
        <x:f>IF(COUNT(K13,T13,AC13)=0,"",AVERAGE(K13,T13,AC13))</x:f>
        <x:v>339</x:v>
      </x:c>
      <x:c r="AN13" s="112" t="n">
        <x:f>IF(COUNT(L13,U13,AD13)=0,"",AVERAGE(L13,U13,AD13))</x:f>
        <x:v>1.3333333333333333</x:v>
      </x:c>
      <x:c r="AO13" s="112" t="n">
        <x:f>IF(COUNT(M13,V13,AE13)=0,"",AVERAGE(M13,V13,AE13))</x:f>
        <x:v>1.6666666666666667</x:v>
      </x:c>
    </x:row>
    <x:row r="14">
      <x:c r="A14" s="107" t="str">
        <x:v>CeeDee Lamb</x:v>
      </x:c>
      <x:c r="B14" s="108" t="str">
        <x:v>WR</x:v>
      </x:c>
      <x:c r="C14" s="108" t="str">
        <x:v>DAL</x:v>
      </x:c>
      <x:c r="D14" s="109" t="n">
        <x:v>14</x:v>
      </x:c>
      <x:c r="E14" s="109" t="n">
        <x:f>IFERROR(VLOOKUP($A14,'Mike FLEX'!$A$6:$N$278,5,FALSE),"")</x:f>
        <x:v>8</x:v>
      </x:c>
      <x:c r="F14" s="110" t="n">
        <x:f>IFERROR(VLOOKUP($A14,'Mike FLEX'!$A$6:$N$278,6,FALSE),"")</x:f>
        <x:v>17.3</x:v>
      </x:c>
      <x:c r="G14" s="111" t="n">
        <x:f>IFERROR(VLOOKUP($A14,'Mike FLEX'!$A$6:$N$278,7,FALSE),"")</x:f>
        <x:v>8</x:v>
      </x:c>
      <x:c r="H14" s="111" t="n">
        <x:f>IFERROR(VLOOKUP($A14,'Mike FLEX'!$A$6:$N$278,8,FALSE),"")</x:f>
        <x:v>45</x:v>
      </x:c>
      <x:c r="I14" s="111" t="n">
        <x:f>IFERROR(VLOOKUP($A14,'Mike FLEX'!$A$6:$N$278,9,FALSE),"")</x:f>
        <x:v>0</x:v>
      </x:c>
      <x:c r="J14" s="111" t="n">
        <x:f>IFERROR(VLOOKUP($A14,'Mike FLEX'!$A$6:$N$278,10,FALSE),"")</x:f>
        <x:v>105</x:v>
      </x:c>
      <x:c r="K14" s="111" t="n">
        <x:f>IFERROR(VLOOKUP($A14,'Mike FLEX'!$A$6:$N$278,11,FALSE),"")</x:f>
        <x:v>1381</x:v>
      </x:c>
      <x:c r="L14" s="111" t="n">
        <x:f>IFERROR(VLOOKUP($A14,'Mike FLEX'!$A$6:$N$278,12,FALSE),"")</x:f>
        <x:v>8</x:v>
      </x:c>
      <x:c r="M14" s="111" t="n">
        <x:f>IFERROR(VLOOKUP($A14,'Mike FLEX'!$A$6:$N$278,13,FALSE),"")</x:f>
        <x:v>1</x:v>
      </x:c>
      <x:c r="N14" s="109" t="n">
        <x:f>IFERROR(VLOOKUP($A14,'Andy FLEX'!$A$6:$N$278,5,FALSE),"")</x:f>
        <x:v>12</x:v>
      </x:c>
      <x:c r="O14" s="110" t="n">
        <x:f>IFERROR(VLOOKUP($A14,'Andy FLEX'!$A$6:$N$278,6,FALSE),"")</x:f>
        <x:v>15.7</x:v>
      </x:c>
      <x:c r="P14" s="111" t="n">
        <x:f>IFERROR(VLOOKUP($A14,'Andy FLEX'!$A$6:$N$278,7,FALSE),"")</x:f>
        <x:v>8</x:v>
      </x:c>
      <x:c r="Q14" s="111" t="n">
        <x:f>IFERROR(VLOOKUP($A14,'Andy FLEX'!$A$6:$N$278,8,FALSE),"")</x:f>
        <x:v>47</x:v>
      </x:c>
      <x:c r="R14" s="111" t="n">
        <x:f>IFERROR(VLOOKUP($A14,'Andy FLEX'!$A$6:$N$278,9,FALSE),"")</x:f>
        <x:v>0</x:v>
      </x:c>
      <x:c r="S14" s="111" t="n">
        <x:f>IFERROR(VLOOKUP($A14,'Andy FLEX'!$A$6:$N$278,10,FALSE),"")</x:f>
        <x:v>100</x:v>
      </x:c>
      <x:c r="T14" s="111" t="n">
        <x:f>IFERROR(VLOOKUP($A14,'Andy FLEX'!$A$6:$N$278,11,FALSE),"")</x:f>
        <x:v>1208</x:v>
      </x:c>
      <x:c r="U14" s="111" t="n">
        <x:f>IFERROR(VLOOKUP($A14,'Andy FLEX'!$A$6:$N$278,12,FALSE),"")</x:f>
        <x:v>7</x:v>
      </x:c>
      <x:c r="V14" s="111" t="n">
        <x:f>IFERROR(VLOOKUP($A14,'Andy FLEX'!$A$6:$N$278,13,FALSE),"")</x:f>
        <x:v>1</x:v>
      </x:c>
      <x:c r="W14" s="109" t="n">
        <x:f>IFERROR(VLOOKUP($A14,'Jason FLEX'!$A$6:$N$268,5,FALSE),"")</x:f>
        <x:v>9</x:v>
      </x:c>
      <x:c r="X14" s="110" t="n">
        <x:f>IFERROR(VLOOKUP($A14,'Jason FLEX'!$A$6:$N$268,6,FALSE),"")</x:f>
        <x:v>17.8</x:v>
      </x:c>
      <x:c r="Y14" s="111" t="n">
        <x:f>IFERROR(VLOOKUP($A14,'Jason FLEX'!$A$6:$N$268,7,FALSE),"")</x:f>
        <x:v>5</x:v>
      </x:c>
      <x:c r="Z14" s="111" t="n">
        <x:f>IFERROR(VLOOKUP($A14,'Jason FLEX'!$A$6:$N$268,8,FALSE),"")</x:f>
        <x:v>30</x:v>
      </x:c>
      <x:c r="AA14" s="111" t="n">
        <x:f>IFERROR(VLOOKUP($A14,'Jason FLEX'!$A$6:$N$268,9,FALSE),"")</x:f>
        <x:v>0</x:v>
      </x:c>
      <x:c r="AB14" s="111" t="n">
        <x:f>IFERROR(VLOOKUP($A14,'Jason FLEX'!$A$6:$N$268,10,FALSE),"")</x:f>
        <x:v>107</x:v>
      </x:c>
      <x:c r="AC14" s="111" t="n">
        <x:f>IFERROR(VLOOKUP($A14,'Jason FLEX'!$A$6:$N$268,11,FALSE),"")</x:f>
        <x:v>1405</x:v>
      </x:c>
      <x:c r="AD14" s="111" t="n">
        <x:f>IFERROR(VLOOKUP($A14,'Jason FLEX'!$A$6:$N$268,12,FALSE),"")</x:f>
        <x:v>9</x:v>
      </x:c>
      <x:c r="AE14" s="111" t="n">
        <x:f>IFERROR(VLOOKUP($A14,'Jason FLEX'!$A$6:$N$268,13,FALSE),"")</x:f>
        <x:v>1</x:v>
      </x:c>
      <x:c r="AF14" s="110" t="n">
        <x:f>IF(COUNT(E14,N14,W14)=0,"",AVERAGE(E14,N14,W14))</x:f>
        <x:v>9.666666666666666</x:v>
      </x:c>
      <x:c r="AG14" s="110" t="n">
        <x:f>IF(COUNT(E14,N14,W14)=0,"",MAX(E14,N14,W14)-MIN(E14,N14,W14))</x:f>
        <x:v>4</x:v>
      </x:c>
      <x:c r="AH14" s="110" t="n">
        <x:f>IF(COUNT(F14,O14,X14)=0,"",AVERAGE(F14,O14,X14))</x:f>
        <x:v>16.933333333333334</x:v>
      </x:c>
      <x:c r="AI14" s="112" t="n">
        <x:f>IF(COUNT(G14,P14,Y14)=0,"",AVERAGE(G14,P14,Y14))</x:f>
        <x:v>7</x:v>
      </x:c>
      <x:c r="AJ14" s="112" t="n">
        <x:f>IF(COUNT(H14,Q14,Z14)=0,"",AVERAGE(H14,Q14,Z14))</x:f>
        <x:v>40.666666666666664</x:v>
      </x:c>
      <x:c r="AK14" s="112" t="n">
        <x:f>IF(COUNT(I14,R14,AA14)=0,"",AVERAGE(I14,R14,AA14))</x:f>
        <x:v>0</x:v>
      </x:c>
      <x:c r="AL14" s="112" t="n">
        <x:f>IF(COUNT(J14,S14,AB14)=0,"",AVERAGE(J14,S14,AB14))</x:f>
        <x:v>104</x:v>
      </x:c>
      <x:c r="AM14" s="112" t="n">
        <x:f>IF(COUNT(K14,T14,AC14)=0,"",AVERAGE(K14,T14,AC14))</x:f>
        <x:v>1331.3333333333333</x:v>
      </x:c>
      <x:c r="AN14" s="112" t="n">
        <x:f>IF(COUNT(L14,U14,AD14)=0,"",AVERAGE(L14,U14,AD14))</x:f>
        <x:v>8</x:v>
      </x:c>
      <x:c r="AO14" s="112" t="n">
        <x:f>IF(COUNT(M14,V14,AE14)=0,"",AVERAGE(M14,V14,AE14))</x:f>
        <x:v>1</x:v>
      </x:c>
    </x:row>
    <x:row r="15">
      <x:c r="A15" s="107" t="str">
        <x:v>James Cook III</x:v>
      </x:c>
      <x:c r="B15" s="108" t="str">
        <x:v>RB</x:v>
      </x:c>
      <x:c r="C15" s="108" t="str">
        <x:v>BUF</x:v>
      </x:c>
      <x:c r="D15" s="109" t="n">
        <x:v>7</x:v>
      </x:c>
      <x:c r="E15" s="109" t="n">
        <x:f>IFERROR(VLOOKUP($A15,'Mike FLEX'!$A$6:$N$278,5,FALSE),"")</x:f>
        <x:v>11</x:v>
      </x:c>
      <x:c r="F15" s="110" t="n">
        <x:f>IFERROR(VLOOKUP($A15,'Mike FLEX'!$A$6:$N$278,6,FALSE),"")</x:f>
        <x:v>16</x:v>
      </x:c>
      <x:c r="G15" s="111" t="n">
        <x:f>IFERROR(VLOOKUP($A15,'Mike FLEX'!$A$6:$N$278,7,FALSE),"")</x:f>
        <x:v>296</x:v>
      </x:c>
      <x:c r="H15" s="111" t="n">
        <x:f>IFERROR(VLOOKUP($A15,'Mike FLEX'!$A$6:$N$278,8,FALSE),"")</x:f>
        <x:v>1509</x:v>
      </x:c>
      <x:c r="I15" s="111" t="n">
        <x:f>IFERROR(VLOOKUP($A15,'Mike FLEX'!$A$6:$N$278,9,FALSE),"")</x:f>
        <x:v>11</x:v>
      </x:c>
      <x:c r="J15" s="111" t="n">
        <x:f>IFERROR(VLOOKUP($A15,'Mike FLEX'!$A$6:$N$278,10,FALSE),"")</x:f>
        <x:v>28</x:v>
      </x:c>
      <x:c r="K15" s="111" t="n">
        <x:f>IFERROR(VLOOKUP($A15,'Mike FLEX'!$A$6:$N$278,11,FALSE),"")</x:f>
        <x:v>251</x:v>
      </x:c>
      <x:c r="L15" s="111" t="n">
        <x:f>IFERROR(VLOOKUP($A15,'Mike FLEX'!$A$6:$N$278,12,FALSE),"")</x:f>
        <x:v>2</x:v>
      </x:c>
      <x:c r="M15" s="111" t="n">
        <x:f>IFERROR(VLOOKUP($A15,'Mike FLEX'!$A$6:$N$278,13,FALSE),"")</x:f>
        <x:v>4</x:v>
      </x:c>
      <x:c r="N15" s="109" t="n">
        <x:f>IFERROR(VLOOKUP($A15,'Andy FLEX'!$A$6:$N$278,5,FALSE),"")</x:f>
        <x:v>9</x:v>
      </x:c>
      <x:c r="O15" s="110" t="n">
        <x:f>IFERROR(VLOOKUP($A15,'Andy FLEX'!$A$6:$N$278,6,FALSE),"")</x:f>
        <x:v>17.8</x:v>
      </x:c>
      <x:c r="P15" s="111" t="n">
        <x:f>IFERROR(VLOOKUP($A15,'Andy FLEX'!$A$6:$N$278,7,FALSE),"")</x:f>
        <x:v>295</x:v>
      </x:c>
      <x:c r="Q15" s="111" t="n">
        <x:f>IFERROR(VLOOKUP($A15,'Andy FLEX'!$A$6:$N$278,8,FALSE),"")</x:f>
        <x:v>1425</x:v>
      </x:c>
      <x:c r="R15" s="111" t="n">
        <x:f>IFERROR(VLOOKUP($A15,'Andy FLEX'!$A$6:$N$278,9,FALSE),"")</x:f>
        <x:v>12</x:v>
      </x:c>
      <x:c r="S15" s="111" t="n">
        <x:f>IFERROR(VLOOKUP($A15,'Andy FLEX'!$A$6:$N$278,10,FALSE),"")</x:f>
        <x:v>40</x:v>
      </x:c>
      <x:c r="T15" s="111" t="n">
        <x:f>IFERROR(VLOOKUP($A15,'Andy FLEX'!$A$6:$N$278,11,FALSE),"")</x:f>
        <x:v>384</x:v>
      </x:c>
      <x:c r="U15" s="111" t="n">
        <x:f>IFERROR(VLOOKUP($A15,'Andy FLEX'!$A$6:$N$278,12,FALSE),"")</x:f>
        <x:v>2</x:v>
      </x:c>
      <x:c r="V15" s="111" t="n">
        <x:f>IFERROR(VLOOKUP($A15,'Andy FLEX'!$A$6:$N$278,13,FALSE),"")</x:f>
        <x:v>2</x:v>
      </x:c>
      <x:c r="W15" s="109" t="n">
        <x:f>IFERROR(VLOOKUP($A15,'Jason FLEX'!$A$6:$N$268,5,FALSE),"")</x:f>
        <x:v>10</x:v>
      </x:c>
      <x:c r="X15" s="110" t="n">
        <x:f>IFERROR(VLOOKUP($A15,'Jason FLEX'!$A$6:$N$268,6,FALSE),"")</x:f>
        <x:v>17.7</x:v>
      </x:c>
      <x:c r="Y15" s="111" t="n">
        <x:f>IFERROR(VLOOKUP($A15,'Jason FLEX'!$A$6:$N$268,7,FALSE),"")</x:f>
        <x:v>285</x:v>
      </x:c>
      <x:c r="Z15" s="111" t="n">
        <x:f>IFERROR(VLOOKUP($A15,'Jason FLEX'!$A$6:$N$268,8,FALSE),"")</x:f>
        <x:v>1455</x:v>
      </x:c>
      <x:c r="AA15" s="111" t="n">
        <x:f>IFERROR(VLOOKUP($A15,'Jason FLEX'!$A$6:$N$268,9,FALSE),"")</x:f>
        <x:v>12</x:v>
      </x:c>
      <x:c r="AB15" s="111" t="n">
        <x:f>IFERROR(VLOOKUP($A15,'Jason FLEX'!$A$6:$N$268,10,FALSE),"")</x:f>
        <x:v>39</x:v>
      </x:c>
      <x:c r="AC15" s="111" t="n">
        <x:f>IFERROR(VLOOKUP($A15,'Jason FLEX'!$A$6:$N$268,11,FALSE),"")</x:f>
        <x:v>357</x:v>
      </x:c>
      <x:c r="AD15" s="111" t="n">
        <x:f>IFERROR(VLOOKUP($A15,'Jason FLEX'!$A$6:$N$268,12,FALSE),"")</x:f>
        <x:v>3</x:v>
      </x:c>
      <x:c r="AE15" s="111" t="n">
        <x:f>IFERROR(VLOOKUP($A15,'Jason FLEX'!$A$6:$N$268,13,FALSE),"")</x:f>
        <x:v>3</x:v>
      </x:c>
      <x:c r="AF15" s="110" t="n">
        <x:f>IF(COUNT(E15,N15,W15)=0,"",AVERAGE(E15,N15,W15))</x:f>
        <x:v>10</x:v>
      </x:c>
      <x:c r="AG15" s="110" t="n">
        <x:f>IF(COUNT(E15,N15,W15)=0,"",MAX(E15,N15,W15)-MIN(E15,N15,W15))</x:f>
        <x:v>2</x:v>
      </x:c>
      <x:c r="AH15" s="110" t="n">
        <x:f>IF(COUNT(F15,O15,X15)=0,"",AVERAGE(F15,O15,X15))</x:f>
        <x:v>17.166666666666668</x:v>
      </x:c>
      <x:c r="AI15" s="112" t="n">
        <x:f>IF(COUNT(G15,P15,Y15)=0,"",AVERAGE(G15,P15,Y15))</x:f>
        <x:v>292</x:v>
      </x:c>
      <x:c r="AJ15" s="112" t="n">
        <x:f>IF(COUNT(H15,Q15,Z15)=0,"",AVERAGE(H15,Q15,Z15))</x:f>
        <x:v>1463</x:v>
      </x:c>
      <x:c r="AK15" s="112" t="n">
        <x:f>IF(COUNT(I15,R15,AA15)=0,"",AVERAGE(I15,R15,AA15))</x:f>
        <x:v>11.666666666666666</x:v>
      </x:c>
      <x:c r="AL15" s="112" t="n">
        <x:f>IF(COUNT(J15,S15,AB15)=0,"",AVERAGE(J15,S15,AB15))</x:f>
        <x:v>35.666666666666664</x:v>
      </x:c>
      <x:c r="AM15" s="112" t="n">
        <x:f>IF(COUNT(K15,T15,AC15)=0,"",AVERAGE(K15,T15,AC15))</x:f>
        <x:v>330.6666666666667</x:v>
      </x:c>
      <x:c r="AN15" s="112" t="n">
        <x:f>IF(COUNT(L15,U15,AD15)=0,"",AVERAGE(L15,U15,AD15))</x:f>
        <x:v>2.3333333333333335</x:v>
      </x:c>
      <x:c r="AO15" s="112" t="n">
        <x:f>IF(COUNT(M15,V15,AE15)=0,"",AVERAGE(M15,V15,AE15))</x:f>
        <x:v>3</x:v>
      </x:c>
    </x:row>
    <x:row r="16">
      <x:c r="A16" s="107" t="str">
        <x:v>De'Von Achane</x:v>
      </x:c>
      <x:c r="B16" s="108" t="str">
        <x:v>RB</x:v>
      </x:c>
      <x:c r="C16" s="108" t="str">
        <x:v>MIA</x:v>
      </x:c>
      <x:c r="D16" s="109" t="n">
        <x:v>6</x:v>
      </x:c>
      <x:c r="E16" s="109" t="n">
        <x:f>IFERROR(VLOOKUP($A16,'Mike FLEX'!$A$6:$N$278,5,FALSE),"")</x:f>
        <x:v>15</x:v>
      </x:c>
      <x:c r="F16" s="110" t="n">
        <x:f>IFERROR(VLOOKUP($A16,'Mike FLEX'!$A$6:$N$278,6,FALSE),"")</x:f>
        <x:v>15.2</x:v>
      </x:c>
      <x:c r="G16" s="111" t="n">
        <x:f>IFERROR(VLOOKUP($A16,'Mike FLEX'!$A$6:$N$278,7,FALSE),"")</x:f>
        <x:v>213</x:v>
      </x:c>
      <x:c r="H16" s="111" t="n">
        <x:f>IFERROR(VLOOKUP($A16,'Mike FLEX'!$A$6:$N$278,8,FALSE),"")</x:f>
        <x:v>1108</x:v>
      </x:c>
      <x:c r="I16" s="111" t="n">
        <x:f>IFERROR(VLOOKUP($A16,'Mike FLEX'!$A$6:$N$278,9,FALSE),"")</x:f>
        <x:v>8</x:v>
      </x:c>
      <x:c r="J16" s="111" t="n">
        <x:f>IFERROR(VLOOKUP($A16,'Mike FLEX'!$A$6:$N$278,10,FALSE),"")</x:f>
        <x:v>50</x:v>
      </x:c>
      <x:c r="K16" s="111" t="n">
        <x:f>IFERROR(VLOOKUP($A16,'Mike FLEX'!$A$6:$N$278,11,FALSE),"")</x:f>
        <x:v>365</x:v>
      </x:c>
      <x:c r="L16" s="111" t="n">
        <x:f>IFERROR(VLOOKUP($A16,'Mike FLEX'!$A$6:$N$278,12,FALSE),"")</x:f>
        <x:v>3</x:v>
      </x:c>
      <x:c r="M16" s="111" t="n">
        <x:f>IFERROR(VLOOKUP($A16,'Mike FLEX'!$A$6:$N$278,13,FALSE),"")</x:f>
        <x:v>1</x:v>
      </x:c>
      <x:c r="N16" s="109" t="n">
        <x:f>IFERROR(VLOOKUP($A16,'Andy FLEX'!$A$6:$N$278,5,FALSE),"")</x:f>
        <x:v>8</x:v>
      </x:c>
      <x:c r="O16" s="110" t="n">
        <x:f>IFERROR(VLOOKUP($A16,'Andy FLEX'!$A$6:$N$278,6,FALSE),"")</x:f>
        <x:v>18.5</x:v>
      </x:c>
      <x:c r="P16" s="111" t="n">
        <x:f>IFERROR(VLOOKUP($A16,'Andy FLEX'!$A$6:$N$278,7,FALSE),"")</x:f>
        <x:v>217</x:v>
      </x:c>
      <x:c r="Q16" s="111" t="n">
        <x:f>IFERROR(VLOOKUP($A16,'Andy FLEX'!$A$6:$N$278,8,FALSE),"")</x:f>
        <x:v>1151</x:v>
      </x:c>
      <x:c r="R16" s="111" t="n">
        <x:f>IFERROR(VLOOKUP($A16,'Andy FLEX'!$A$6:$N$278,9,FALSE),"")</x:f>
        <x:v>7</x:v>
      </x:c>
      <x:c r="S16" s="111" t="n">
        <x:f>IFERROR(VLOOKUP($A16,'Andy FLEX'!$A$6:$N$278,10,FALSE),"")</x:f>
        <x:v>73</x:v>
      </x:c>
      <x:c r="T16" s="111" t="n">
        <x:f>IFERROR(VLOOKUP($A16,'Andy FLEX'!$A$6:$N$278,11,FALSE),"")</x:f>
        <x:v>600</x:v>
      </x:c>
      <x:c r="U16" s="111" t="n">
        <x:f>IFERROR(VLOOKUP($A16,'Andy FLEX'!$A$6:$N$278,12,FALSE),"")</x:f>
        <x:v>5</x:v>
      </x:c>
      <x:c r="V16" s="111" t="n">
        <x:f>IFERROR(VLOOKUP($A16,'Andy FLEX'!$A$6:$N$278,13,FALSE),"")</x:f>
        <x:v>2</x:v>
      </x:c>
      <x:c r="W16" s="109" t="n">
        <x:f>IFERROR(VLOOKUP($A16,'Jason FLEX'!$A$6:$N$268,5,FALSE),"")</x:f>
        <x:v>12</x:v>
      </x:c>
      <x:c r="X16" s="110" t="n">
        <x:f>IFERROR(VLOOKUP($A16,'Jason FLEX'!$A$6:$N$268,6,FALSE),"")</x:f>
        <x:v>16.1</x:v>
      </x:c>
      <x:c r="Y16" s="111" t="n">
        <x:f>IFERROR(VLOOKUP($A16,'Jason FLEX'!$A$6:$N$268,7,FALSE),"")</x:f>
        <x:v>256</x:v>
      </x:c>
      <x:c r="Z16" s="111" t="n">
        <x:f>IFERROR(VLOOKUP($A16,'Jason FLEX'!$A$6:$N$268,8,FALSE),"")</x:f>
        <x:v>1178</x:v>
      </x:c>
      <x:c r="AA16" s="111" t="n">
        <x:f>IFERROR(VLOOKUP($A16,'Jason FLEX'!$A$6:$N$268,9,FALSE),"")</x:f>
        <x:v>7</x:v>
      </x:c>
      <x:c r="AB16" s="111" t="n">
        <x:f>IFERROR(VLOOKUP($A16,'Jason FLEX'!$A$6:$N$268,10,FALSE),"")</x:f>
        <x:v>59</x:v>
      </x:c>
      <x:c r="AC16" s="111" t="n">
        <x:f>IFERROR(VLOOKUP($A16,'Jason FLEX'!$A$6:$N$268,11,FALSE),"")</x:f>
        <x:v>472</x:v>
      </x:c>
      <x:c r="AD16" s="111" t="n">
        <x:f>IFERROR(VLOOKUP($A16,'Jason FLEX'!$A$6:$N$268,12,FALSE),"")</x:f>
        <x:v>2</x:v>
      </x:c>
      <x:c r="AE16" s="111" t="n">
        <x:f>IFERROR(VLOOKUP($A16,'Jason FLEX'!$A$6:$N$268,13,FALSE),"")</x:f>
        <x:v>2</x:v>
      </x:c>
      <x:c r="AF16" s="110" t="n">
        <x:f>IF(COUNT(E16,N16,W16)=0,"",AVERAGE(E16,N16,W16))</x:f>
        <x:v>11.666666666666666</x:v>
      </x:c>
      <x:c r="AG16" s="110" t="n">
        <x:f>IF(COUNT(E16,N16,W16)=0,"",MAX(E16,N16,W16)-MIN(E16,N16,W16))</x:f>
        <x:v>7</x:v>
      </x:c>
      <x:c r="AH16" s="110" t="n">
        <x:f>IF(COUNT(F16,O16,X16)=0,"",AVERAGE(F16,O16,X16))</x:f>
        <x:v>16.6</x:v>
      </x:c>
      <x:c r="AI16" s="112" t="n">
        <x:f>IF(COUNT(G16,P16,Y16)=0,"",AVERAGE(G16,P16,Y16))</x:f>
        <x:v>228.66666666666666</x:v>
      </x:c>
      <x:c r="AJ16" s="112" t="n">
        <x:f>IF(COUNT(H16,Q16,Z16)=0,"",AVERAGE(H16,Q16,Z16))</x:f>
        <x:v>1145.6666666666667</x:v>
      </x:c>
      <x:c r="AK16" s="112" t="n">
        <x:f>IF(COUNT(I16,R16,AA16)=0,"",AVERAGE(I16,R16,AA16))</x:f>
        <x:v>7.333333333333333</x:v>
      </x:c>
      <x:c r="AL16" s="112" t="n">
        <x:f>IF(COUNT(J16,S16,AB16)=0,"",AVERAGE(J16,S16,AB16))</x:f>
        <x:v>60.666666666666664</x:v>
      </x:c>
      <x:c r="AM16" s="112" t="n">
        <x:f>IF(COUNT(K16,T16,AC16)=0,"",AVERAGE(K16,T16,AC16))</x:f>
        <x:v>479</x:v>
      </x:c>
      <x:c r="AN16" s="112" t="n">
        <x:f>IF(COUNT(L16,U16,AD16)=0,"",AVERAGE(L16,U16,AD16))</x:f>
        <x:v>3.3333333333333335</x:v>
      </x:c>
      <x:c r="AO16" s="112" t="n">
        <x:f>IF(COUNT(M16,V16,AE16)=0,"",AVERAGE(M16,V16,AE16))</x:f>
        <x:v>1.6666666666666667</x:v>
      </x:c>
    </x:row>
    <x:row r="17">
      <x:c r="A17" s="107" t="str">
        <x:v>Chase Brown</x:v>
      </x:c>
      <x:c r="B17" s="108" t="str">
        <x:v>RB</x:v>
      </x:c>
      <x:c r="C17" s="108" t="str">
        <x:v>CIN</x:v>
      </x:c>
      <x:c r="D17" s="109" t="n">
        <x:v>6</x:v>
      </x:c>
      <x:c r="E17" s="109" t="n">
        <x:f>IFERROR(VLOOKUP($A17,'Mike FLEX'!$A$6:$N$278,5,FALSE),"")</x:f>
        <x:v>12</x:v>
      </x:c>
      <x:c r="F17" s="110" t="n">
        <x:f>IFERROR(VLOOKUP($A17,'Mike FLEX'!$A$6:$N$278,6,FALSE),"")</x:f>
        <x:v>15.8</x:v>
      </x:c>
      <x:c r="G17" s="111" t="n">
        <x:f>IFERROR(VLOOKUP($A17,'Mike FLEX'!$A$6:$N$278,7,FALSE),"")</x:f>
        <x:v>237</x:v>
      </x:c>
      <x:c r="H17" s="111" t="n">
        <x:f>IFERROR(VLOOKUP($A17,'Mike FLEX'!$A$6:$N$278,8,FALSE),"")</x:f>
        <x:v>1043</x:v>
      </x:c>
      <x:c r="I17" s="111" t="n">
        <x:f>IFERROR(VLOOKUP($A17,'Mike FLEX'!$A$6:$N$278,9,FALSE),"")</x:f>
        <x:v>7</x:v>
      </x:c>
      <x:c r="J17" s="111" t="n">
        <x:f>IFERROR(VLOOKUP($A17,'Mike FLEX'!$A$6:$N$278,10,FALSE),"")</x:f>
        <x:v>63</x:v>
      </x:c>
      <x:c r="K17" s="111" t="n">
        <x:f>IFERROR(VLOOKUP($A17,'Mike FLEX'!$A$6:$N$278,11,FALSE),"")</x:f>
        <x:v>433</x:v>
      </x:c>
      <x:c r="L17" s="111" t="n">
        <x:f>IFERROR(VLOOKUP($A17,'Mike FLEX'!$A$6:$N$278,12,FALSE),"")</x:f>
        <x:v>3</x:v>
      </x:c>
      <x:c r="M17" s="111" t="n">
        <x:f>IFERROR(VLOOKUP($A17,'Mike FLEX'!$A$6:$N$278,13,FALSE),"")</x:f>
        <x:v>2</x:v>
      </x:c>
      <x:c r="N17" s="109" t="n">
        <x:f>IFERROR(VLOOKUP($A17,'Andy FLEX'!$A$6:$N$278,5,FALSE),"")</x:f>
        <x:v>21</x:v>
      </x:c>
      <x:c r="O17" s="110" t="n">
        <x:f>IFERROR(VLOOKUP($A17,'Andy FLEX'!$A$6:$N$278,6,FALSE),"")</x:f>
        <x:v>14.6</x:v>
      </x:c>
      <x:c r="P17" s="111" t="n">
        <x:f>IFERROR(VLOOKUP($A17,'Andy FLEX'!$A$6:$N$278,7,FALSE),"")</x:f>
        <x:v>218</x:v>
      </x:c>
      <x:c r="Q17" s="111" t="n">
        <x:f>IFERROR(VLOOKUP($A17,'Andy FLEX'!$A$6:$N$278,8,FALSE),"")</x:f>
        <x:v>917</x:v>
      </x:c>
      <x:c r="R17" s="111" t="n">
        <x:f>IFERROR(VLOOKUP($A17,'Andy FLEX'!$A$6:$N$278,9,FALSE),"")</x:f>
        <x:v>6</x:v>
      </x:c>
      <x:c r="S17" s="111" t="n">
        <x:f>IFERROR(VLOOKUP($A17,'Andy FLEX'!$A$6:$N$278,10,FALSE),"")</x:f>
        <x:v>54</x:v>
      </x:c>
      <x:c r="T17" s="111" t="n">
        <x:f>IFERROR(VLOOKUP($A17,'Andy FLEX'!$A$6:$N$278,11,FALSE),"")</x:f>
        <x:v>415</x:v>
      </x:c>
      <x:c r="U17" s="111" t="n">
        <x:f>IFERROR(VLOOKUP($A17,'Andy FLEX'!$A$6:$N$278,12,FALSE),"")</x:f>
        <x:v>4</x:v>
      </x:c>
      <x:c r="V17" s="111" t="n">
        <x:f>IFERROR(VLOOKUP($A17,'Andy FLEX'!$A$6:$N$278,13,FALSE),"")</x:f>
        <x:v>1</x:v>
      </x:c>
      <x:c r="W17" s="109" t="n">
        <x:f>IFERROR(VLOOKUP($A17,'Jason FLEX'!$A$6:$N$268,5,FALSE),"")</x:f>
        <x:v>11</x:v>
      </x:c>
      <x:c r="X17" s="110" t="n">
        <x:f>IFERROR(VLOOKUP($A17,'Jason FLEX'!$A$6:$N$268,6,FALSE),"")</x:f>
        <x:v>16.4</x:v>
      </x:c>
      <x:c r="Y17" s="111" t="n">
        <x:f>IFERROR(VLOOKUP($A17,'Jason FLEX'!$A$6:$N$268,7,FALSE),"")</x:f>
        <x:v>235</x:v>
      </x:c>
      <x:c r="Z17" s="111" t="n">
        <x:f>IFERROR(VLOOKUP($A17,'Jason FLEX'!$A$6:$N$268,8,FALSE),"")</x:f>
        <x:v>1010</x:v>
      </x:c>
      <x:c r="AA17" s="111" t="n">
        <x:f>IFERROR(VLOOKUP($A17,'Jason FLEX'!$A$6:$N$268,9,FALSE),"")</x:f>
        <x:v>8</x:v>
      </x:c>
      <x:c r="AB17" s="111" t="n">
        <x:f>IFERROR(VLOOKUP($A17,'Jason FLEX'!$A$6:$N$268,10,FALSE),"")</x:f>
        <x:v>66</x:v>
      </x:c>
      <x:c r="AC17" s="111" t="n">
        <x:f>IFERROR(VLOOKUP($A17,'Jason FLEX'!$A$6:$N$268,11,FALSE),"")</x:f>
        <x:v>465</x:v>
      </x:c>
      <x:c r="AD17" s="111" t="n">
        <x:f>IFERROR(VLOOKUP($A17,'Jason FLEX'!$A$6:$N$268,12,FALSE),"")</x:f>
        <x:v>4</x:v>
      </x:c>
      <x:c r="AE17" s="111" t="n">
        <x:f>IFERROR(VLOOKUP($A17,'Jason FLEX'!$A$6:$N$268,13,FALSE),"")</x:f>
        <x:v>2</x:v>
      </x:c>
      <x:c r="AF17" s="110" t="n">
        <x:f>IF(COUNT(E17,N17,W17)=0,"",AVERAGE(E17,N17,W17))</x:f>
        <x:v>14.666666666666666</x:v>
      </x:c>
      <x:c r="AG17" s="110" t="n">
        <x:f>IF(COUNT(E17,N17,W17)=0,"",MAX(E17,N17,W17)-MIN(E17,N17,W17))</x:f>
        <x:v>10</x:v>
      </x:c>
      <x:c r="AH17" s="110" t="n">
        <x:f>IF(COUNT(F17,O17,X17)=0,"",AVERAGE(F17,O17,X17))</x:f>
        <x:v>15.6</x:v>
      </x:c>
      <x:c r="AI17" s="112" t="n">
        <x:f>IF(COUNT(G17,P17,Y17)=0,"",AVERAGE(G17,P17,Y17))</x:f>
        <x:v>230</x:v>
      </x:c>
      <x:c r="AJ17" s="112" t="n">
        <x:f>IF(COUNT(H17,Q17,Z17)=0,"",AVERAGE(H17,Q17,Z17))</x:f>
        <x:v>990</x:v>
      </x:c>
      <x:c r="AK17" s="112" t="n">
        <x:f>IF(COUNT(I17,R17,AA17)=0,"",AVERAGE(I17,R17,AA17))</x:f>
        <x:v>7</x:v>
      </x:c>
      <x:c r="AL17" s="112" t="n">
        <x:f>IF(COUNT(J17,S17,AB17)=0,"",AVERAGE(J17,S17,AB17))</x:f>
        <x:v>61</x:v>
      </x:c>
      <x:c r="AM17" s="112" t="n">
        <x:f>IF(COUNT(K17,T17,AC17)=0,"",AVERAGE(K17,T17,AC17))</x:f>
        <x:v>437.6666666666667</x:v>
      </x:c>
      <x:c r="AN17" s="112" t="n">
        <x:f>IF(COUNT(L17,U17,AD17)=0,"",AVERAGE(L17,U17,AD17))</x:f>
        <x:v>3.6666666666666665</x:v>
      </x:c>
      <x:c r="AO17" s="112" t="n">
        <x:f>IF(COUNT(M17,V17,AE17)=0,"",AVERAGE(M17,V17,AE17))</x:f>
        <x:v>1.6666666666666667</x:v>
      </x:c>
    </x:row>
    <x:row r="18">
      <x:c r="A18" s="107" t="str">
        <x:v>Justin Jefferson</x:v>
      </x:c>
      <x:c r="B18" s="108" t="str">
        <x:v>WR</x:v>
      </x:c>
      <x:c r="C18" s="108" t="str">
        <x:v>MIN</x:v>
      </x:c>
      <x:c r="D18" s="109" t="n">
        <x:v>6</x:v>
      </x:c>
      <x:c r="E18" s="109" t="n">
        <x:f>IFERROR(VLOOKUP($A18,'Mike FLEX'!$A$6:$N$278,5,FALSE),"")</x:f>
        <x:v>16</x:v>
      </x:c>
      <x:c r="F18" s="110" t="n">
        <x:f>IFERROR(VLOOKUP($A18,'Mike FLEX'!$A$6:$N$278,6,FALSE),"")</x:f>
        <x:v>15</x:v>
      </x:c>
      <x:c r="G18" s="111" t="n">
        <x:f>IFERROR(VLOOKUP($A18,'Mike FLEX'!$A$6:$N$278,7,FALSE),"")</x:f>
        <x:v>0</x:v>
      </x:c>
      <x:c r="H18" s="111" t="n">
        <x:f>IFERROR(VLOOKUP($A18,'Mike FLEX'!$A$6:$N$278,8,FALSE),"")</x:f>
        <x:v>0</x:v>
      </x:c>
      <x:c r="I18" s="111" t="n">
        <x:f>IFERROR(VLOOKUP($A18,'Mike FLEX'!$A$6:$N$278,9,FALSE),"")</x:f>
        <x:v>0</x:v>
      </x:c>
      <x:c r="J18" s="111" t="n">
        <x:f>IFERROR(VLOOKUP($A18,'Mike FLEX'!$A$6:$N$278,10,FALSE),"")</x:f>
        <x:v>97</x:v>
      </x:c>
      <x:c r="K18" s="111" t="n">
        <x:f>IFERROR(VLOOKUP($A18,'Mike FLEX'!$A$6:$N$278,11,FALSE),"")</x:f>
        <x:v>1217</x:v>
      </x:c>
      <x:c r="L18" s="111" t="n">
        <x:f>IFERROR(VLOOKUP($A18,'Mike FLEX'!$A$6:$N$278,12,FALSE),"")</x:f>
        <x:v>6</x:v>
      </x:c>
      <x:c r="M18" s="111" t="n">
        <x:f>IFERROR(VLOOKUP($A18,'Mike FLEX'!$A$6:$N$278,13,FALSE),"")</x:f>
        <x:v>0</x:v>
      </x:c>
      <x:c r="N18" s="109" t="n">
        <x:f>IFERROR(VLOOKUP($A18,'Andy FLEX'!$A$6:$N$278,5,FALSE),"")</x:f>
        <x:v>15</x:v>
      </x:c>
      <x:c r="O18" s="110" t="n">
        <x:f>IFERROR(VLOOKUP($A18,'Andy FLEX'!$A$6:$N$278,6,FALSE),"")</x:f>
        <x:v>15.3</x:v>
      </x:c>
      <x:c r="P18" s="111" t="n">
        <x:f>IFERROR(VLOOKUP($A18,'Andy FLEX'!$A$6:$N$278,7,FALSE),"")</x:f>
        <x:v>4</x:v>
      </x:c>
      <x:c r="Q18" s="111" t="n">
        <x:f>IFERROR(VLOOKUP($A18,'Andy FLEX'!$A$6:$N$278,8,FALSE),"")</x:f>
        <x:v>21</x:v>
      </x:c>
      <x:c r="R18" s="111" t="n">
        <x:f>IFERROR(VLOOKUP($A18,'Andy FLEX'!$A$6:$N$278,9,FALSE),"")</x:f>
        <x:v>0</x:v>
      </x:c>
      <x:c r="S18" s="111" t="n">
        <x:f>IFERROR(VLOOKUP($A18,'Andy FLEX'!$A$6:$N$278,10,FALSE),"")</x:f>
        <x:v>93</x:v>
      </x:c>
      <x:c r="T18" s="111" t="n">
        <x:f>IFERROR(VLOOKUP($A18,'Andy FLEX'!$A$6:$N$278,11,FALSE),"")</x:f>
        <x:v>1216</x:v>
      </x:c>
      <x:c r="U18" s="111" t="n">
        <x:f>IFERROR(VLOOKUP($A18,'Andy FLEX'!$A$6:$N$278,12,FALSE),"")</x:f>
        <x:v>8</x:v>
      </x:c>
      <x:c r="V18" s="111" t="n">
        <x:f>IFERROR(VLOOKUP($A18,'Andy FLEX'!$A$6:$N$278,13,FALSE),"")</x:f>
        <x:v>1</x:v>
      </x:c>
      <x:c r="W18" s="109" t="n">
        <x:f>IFERROR(VLOOKUP($A18,'Jason FLEX'!$A$6:$N$268,5,FALSE),"")</x:f>
        <x:v>15</x:v>
      </x:c>
      <x:c r="X18" s="110" t="n">
        <x:f>IFERROR(VLOOKUP($A18,'Jason FLEX'!$A$6:$N$268,6,FALSE),"")</x:f>
        <x:v>15.5</x:v>
      </x:c>
      <x:c r="Y18" s="111" t="n">
        <x:f>IFERROR(VLOOKUP($A18,'Jason FLEX'!$A$6:$N$268,7,FALSE),"")</x:f>
        <x:v>1</x:v>
      </x:c>
      <x:c r="Z18" s="111" t="n">
        <x:f>IFERROR(VLOOKUP($A18,'Jason FLEX'!$A$6:$N$268,8,FALSE),"")</x:f>
        <x:v>5</x:v>
      </x:c>
      <x:c r="AA18" s="111" t="n">
        <x:f>IFERROR(VLOOKUP($A18,'Jason FLEX'!$A$6:$N$268,9,FALSE),"")</x:f>
        <x:v>0</x:v>
      </x:c>
      <x:c r="AB18" s="111" t="n">
        <x:f>IFERROR(VLOOKUP($A18,'Jason FLEX'!$A$6:$N$268,10,FALSE),"")</x:f>
        <x:v>95</x:v>
      </x:c>
      <x:c r="AC18" s="111" t="n">
        <x:f>IFERROR(VLOOKUP($A18,'Jason FLEX'!$A$6:$N$268,11,FALSE),"")</x:f>
        <x:v>1311</x:v>
      </x:c>
      <x:c r="AD18" s="111" t="n">
        <x:f>IFERROR(VLOOKUP($A18,'Jason FLEX'!$A$6:$N$268,12,FALSE),"")</x:f>
        <x:v>7</x:v>
      </x:c>
      <x:c r="AE18" s="111" t="n">
        <x:f>IFERROR(VLOOKUP($A18,'Jason FLEX'!$A$6:$N$268,13,FALSE),"")</x:f>
        <x:v>1</x:v>
      </x:c>
      <x:c r="AF18" s="110" t="n">
        <x:f>IF(COUNT(E18,N18,W18)=0,"",AVERAGE(E18,N18,W18))</x:f>
        <x:v>15.333333333333334</x:v>
      </x:c>
      <x:c r="AG18" s="110" t="n">
        <x:f>IF(COUNT(E18,N18,W18)=0,"",MAX(E18,N18,W18)-MIN(E18,N18,W18))</x:f>
        <x:v>1</x:v>
      </x:c>
      <x:c r="AH18" s="110" t="n">
        <x:f>IF(COUNT(F18,O18,X18)=0,"",AVERAGE(F18,O18,X18))</x:f>
        <x:v>15.266666666666666</x:v>
      </x:c>
      <x:c r="AI18" s="112" t="n">
        <x:f>IF(COUNT(G18,P18,Y18)=0,"",AVERAGE(G18,P18,Y18))</x:f>
        <x:v>1.6666666666666667</x:v>
      </x:c>
      <x:c r="AJ18" s="112" t="n">
        <x:f>IF(COUNT(H18,Q18,Z18)=0,"",AVERAGE(H18,Q18,Z18))</x:f>
        <x:v>8.666666666666666</x:v>
      </x:c>
      <x:c r="AK18" s="112" t="n">
        <x:f>IF(COUNT(I18,R18,AA18)=0,"",AVERAGE(I18,R18,AA18))</x:f>
        <x:v>0</x:v>
      </x:c>
      <x:c r="AL18" s="112" t="n">
        <x:f>IF(COUNT(J18,S18,AB18)=0,"",AVERAGE(J18,S18,AB18))</x:f>
        <x:v>95</x:v>
      </x:c>
      <x:c r="AM18" s="112" t="n">
        <x:f>IF(COUNT(K18,T18,AC18)=0,"",AVERAGE(K18,T18,AC18))</x:f>
        <x:v>1248</x:v>
      </x:c>
      <x:c r="AN18" s="112" t="n">
        <x:f>IF(COUNT(L18,U18,AD18)=0,"",AVERAGE(L18,U18,AD18))</x:f>
        <x:v>7</x:v>
      </x:c>
      <x:c r="AO18" s="112" t="n">
        <x:f>IF(COUNT(M18,V18,AE18)=0,"",AVERAGE(M18,V18,AE18))</x:f>
        <x:v>0.6666666666666666</x:v>
      </x:c>
    </x:row>
    <x:row r="19">
      <x:c r="A19" s="107" t="str">
        <x:v>Kenneth Walker</x:v>
      </x:c>
      <x:c r="B19" s="108" t="str">
        <x:v>RB</x:v>
      </x:c>
      <x:c r="C19" s="108" t="str">
        <x:v>KC</x:v>
      </x:c>
      <x:c r="D19" s="109" t="n">
        <x:v>5</x:v>
      </x:c>
      <x:c r="E19" s="109" t="n">
        <x:f>IFERROR(VLOOKUP($A19,'Mike FLEX'!$A$6:$N$278,5,FALSE),"")</x:f>
        <x:v>10</x:v>
      </x:c>
      <x:c r="F19" s="110" t="n">
        <x:f>IFERROR(VLOOKUP($A19,'Mike FLEX'!$A$6:$N$278,6,FALSE),"")</x:f>
        <x:v>16.1</x:v>
      </x:c>
      <x:c r="G19" s="111" t="n">
        <x:f>IFERROR(VLOOKUP($A19,'Mike FLEX'!$A$6:$N$278,7,FALSE),"")</x:f>
        <x:v>262</x:v>
      </x:c>
      <x:c r="H19" s="111" t="n">
        <x:f>IFERROR(VLOOKUP($A19,'Mike FLEX'!$A$6:$N$278,8,FALSE),"")</x:f>
        <x:v>1231</x:v>
      </x:c>
      <x:c r="I19" s="111" t="n">
        <x:f>IFERROR(VLOOKUP($A19,'Mike FLEX'!$A$6:$N$278,9,FALSE),"")</x:f>
        <x:v>8</x:v>
      </x:c>
      <x:c r="J19" s="111" t="n">
        <x:f>IFERROR(VLOOKUP($A19,'Mike FLEX'!$A$6:$N$278,10,FALSE),"")</x:f>
        <x:v>50</x:v>
      </x:c>
      <x:c r="K19" s="111" t="n">
        <x:f>IFERROR(VLOOKUP($A19,'Mike FLEX'!$A$6:$N$278,11,FALSE),"")</x:f>
        <x:v>427</x:v>
      </x:c>
      <x:c r="L19" s="111" t="n">
        <x:f>IFERROR(VLOOKUP($A19,'Mike FLEX'!$A$6:$N$278,12,FALSE),"")</x:f>
        <x:v>2</x:v>
      </x:c>
      <x:c r="M19" s="111" t="n">
        <x:f>IFERROR(VLOOKUP($A19,'Mike FLEX'!$A$6:$N$278,13,FALSE),"")</x:f>
        <x:v>1</x:v>
      </x:c>
      <x:c r="N19" s="109" t="n">
        <x:f>IFERROR(VLOOKUP($A19,'Andy FLEX'!$A$6:$N$278,5,FALSE),"")</x:f>
        <x:v>14</x:v>
      </x:c>
      <x:c r="O19" s="110" t="n">
        <x:f>IFERROR(VLOOKUP($A19,'Andy FLEX'!$A$6:$N$278,6,FALSE),"")</x:f>
        <x:v>15.5</x:v>
      </x:c>
      <x:c r="P19" s="111" t="n">
        <x:f>IFERROR(VLOOKUP($A19,'Andy FLEX'!$A$6:$N$278,7,FALSE),"")</x:f>
        <x:v>265</x:v>
      </x:c>
      <x:c r="Q19" s="111" t="n">
        <x:f>IFERROR(VLOOKUP($A19,'Andy FLEX'!$A$6:$N$278,8,FALSE),"")</x:f>
        <x:v>1242</x:v>
      </x:c>
      <x:c r="R19" s="111" t="n">
        <x:f>IFERROR(VLOOKUP($A19,'Andy FLEX'!$A$6:$N$278,9,FALSE),"")</x:f>
        <x:v>11</x:v>
      </x:c>
      <x:c r="S19" s="111" t="n">
        <x:f>IFERROR(VLOOKUP($A19,'Andy FLEX'!$A$6:$N$278,10,FALSE),"")</x:f>
        <x:v>37</x:v>
      </x:c>
      <x:c r="T19" s="111" t="n">
        <x:f>IFERROR(VLOOKUP($A19,'Andy FLEX'!$A$6:$N$278,11,FALSE),"")</x:f>
        <x:v>292</x:v>
      </x:c>
      <x:c r="U19" s="111" t="n">
        <x:f>IFERROR(VLOOKUP($A19,'Andy FLEX'!$A$6:$N$278,12,FALSE),"")</x:f>
        <x:v>2</x:v>
      </x:c>
      <x:c r="V19" s="111" t="n">
        <x:f>IFERROR(VLOOKUP($A19,'Andy FLEX'!$A$6:$N$278,13,FALSE),"")</x:f>
        <x:v>2</x:v>
      </x:c>
      <x:c r="W19" s="109" t="n">
        <x:f>IFERROR(VLOOKUP($A19,'Jason FLEX'!$A$6:$N$268,5,FALSE),"")</x:f>
        <x:v>22</x:v>
      </x:c>
      <x:c r="X19" s="110" t="n">
        <x:f>IFERROR(VLOOKUP($A19,'Jason FLEX'!$A$6:$N$268,6,FALSE),"")</x:f>
        <x:v>15.1</x:v>
      </x:c>
      <x:c r="Y19" s="111" t="n">
        <x:f>IFERROR(VLOOKUP($A19,'Jason FLEX'!$A$6:$N$268,7,FALSE),"")</x:f>
        <x:v>255</x:v>
      </x:c>
      <x:c r="Z19" s="111" t="n">
        <x:f>IFERROR(VLOOKUP($A19,'Jason FLEX'!$A$6:$N$268,8,FALSE),"")</x:f>
        <x:v>1185</x:v>
      </x:c>
      <x:c r="AA19" s="111" t="n">
        <x:f>IFERROR(VLOOKUP($A19,'Jason FLEX'!$A$6:$N$268,9,FALSE),"")</x:f>
        <x:v>11</x:v>
      </x:c>
      <x:c r="AB19" s="111" t="n">
        <x:f>IFERROR(VLOOKUP($A19,'Jason FLEX'!$A$6:$N$268,10,FALSE),"")</x:f>
        <x:v>38</x:v>
      </x:c>
      <x:c r="AC19" s="111" t="n">
        <x:f>IFERROR(VLOOKUP($A19,'Jason FLEX'!$A$6:$N$268,11,FALSE),"")</x:f>
        <x:v>336</x:v>
      </x:c>
      <x:c r="AD19" s="111" t="n">
        <x:f>IFERROR(VLOOKUP($A19,'Jason FLEX'!$A$6:$N$268,12,FALSE),"")</x:f>
        <x:v>1</x:v>
      </x:c>
      <x:c r="AE19" s="111" t="n">
        <x:f>IFERROR(VLOOKUP($A19,'Jason FLEX'!$A$6:$N$268,13,FALSE),"")</x:f>
        <x:v>1</x:v>
      </x:c>
      <x:c r="AF19" s="110" t="n">
        <x:f>IF(COUNT(E19,N19,W19)=0,"",AVERAGE(E19,N19,W19))</x:f>
        <x:v>15.333333333333334</x:v>
      </x:c>
      <x:c r="AG19" s="110" t="n">
        <x:f>IF(COUNT(E19,N19,W19)=0,"",MAX(E19,N19,W19)-MIN(E19,N19,W19))</x:f>
        <x:v>12</x:v>
      </x:c>
      <x:c r="AH19" s="110" t="n">
        <x:f>IF(COUNT(F19,O19,X19)=0,"",AVERAGE(F19,O19,X19))</x:f>
        <x:v>15.566666666666668</x:v>
      </x:c>
      <x:c r="AI19" s="112" t="n">
        <x:f>IF(COUNT(G19,P19,Y19)=0,"",AVERAGE(G19,P19,Y19))</x:f>
        <x:v>260.6666666666667</x:v>
      </x:c>
      <x:c r="AJ19" s="112" t="n">
        <x:f>IF(COUNT(H19,Q19,Z19)=0,"",AVERAGE(H19,Q19,Z19))</x:f>
        <x:v>1219.3333333333333</x:v>
      </x:c>
      <x:c r="AK19" s="112" t="n">
        <x:f>IF(COUNT(I19,R19,AA19)=0,"",AVERAGE(I19,R19,AA19))</x:f>
        <x:v>10</x:v>
      </x:c>
      <x:c r="AL19" s="112" t="n">
        <x:f>IF(COUNT(J19,S19,AB19)=0,"",AVERAGE(J19,S19,AB19))</x:f>
        <x:v>41.666666666666664</x:v>
      </x:c>
      <x:c r="AM19" s="112" t="n">
        <x:f>IF(COUNT(K19,T19,AC19)=0,"",AVERAGE(K19,T19,AC19))</x:f>
        <x:v>351.6666666666667</x:v>
      </x:c>
      <x:c r="AN19" s="112" t="n">
        <x:f>IF(COUNT(L19,U19,AD19)=0,"",AVERAGE(L19,U19,AD19))</x:f>
        <x:v>1.6666666666666667</x:v>
      </x:c>
      <x:c r="AO19" s="112" t="n">
        <x:f>IF(COUNT(M19,V19,AE19)=0,"",AVERAGE(M19,V19,AE19))</x:f>
        <x:v>1.3333333333333333</x:v>
      </x:c>
    </x:row>
    <x:row r="20">
      <x:c r="A20" s="107" t="str">
        <x:v>A.J. Brown</x:v>
      </x:c>
      <x:c r="B20" s="108" t="str">
        <x:v>WR</x:v>
      </x:c>
      <x:c r="C20" s="108" t="str">
        <x:v>NE</x:v>
      </x:c>
      <x:c r="D20" s="109" t="n">
        <x:v>11</x:v>
      </x:c>
      <x:c r="E20" s="109" t="n">
        <x:f>IFERROR(VLOOKUP($A20,'Mike FLEX'!$A$6:$N$278,5,FALSE),"")</x:f>
        <x:v>18</x:v>
      </x:c>
      <x:c r="F20" s="110" t="n">
        <x:f>IFERROR(VLOOKUP($A20,'Mike FLEX'!$A$6:$N$278,6,FALSE),"")</x:f>
        <x:v>15</x:v>
      </x:c>
      <x:c r="G20" s="111" t="n">
        <x:f>IFERROR(VLOOKUP($A20,'Mike FLEX'!$A$6:$N$278,7,FALSE),"")</x:f>
        <x:v>0</x:v>
      </x:c>
      <x:c r="H20" s="111" t="n">
        <x:f>IFERROR(VLOOKUP($A20,'Mike FLEX'!$A$6:$N$278,8,FALSE),"")</x:f>
        <x:v>0</x:v>
      </x:c>
      <x:c r="I20" s="111" t="n">
        <x:f>IFERROR(VLOOKUP($A20,'Mike FLEX'!$A$6:$N$278,9,FALSE),"")</x:f>
        <x:v>0</x:v>
      </x:c>
      <x:c r="J20" s="111" t="n">
        <x:f>IFERROR(VLOOKUP($A20,'Mike FLEX'!$A$6:$N$278,10,FALSE),"")</x:f>
        <x:v>91</x:v>
      </x:c>
      <x:c r="K20" s="111" t="n">
        <x:f>IFERROR(VLOOKUP($A20,'Mike FLEX'!$A$6:$N$278,11,FALSE),"")</x:f>
        <x:v>1168</x:v>
      </x:c>
      <x:c r="L20" s="111" t="n">
        <x:f>IFERROR(VLOOKUP($A20,'Mike FLEX'!$A$6:$N$278,12,FALSE),"")</x:f>
        <x:v>8</x:v>
      </x:c>
      <x:c r="M20" s="111" t="n">
        <x:f>IFERROR(VLOOKUP($A20,'Mike FLEX'!$A$6:$N$278,13,FALSE),"")</x:f>
        <x:v>1</x:v>
      </x:c>
      <x:c r="N20" s="109" t="n">
        <x:f>IFERROR(VLOOKUP($A20,'Andy FLEX'!$A$6:$N$278,5,FALSE),"")</x:f>
        <x:v>20</x:v>
      </x:c>
      <x:c r="O20" s="110" t="n">
        <x:f>IFERROR(VLOOKUP($A20,'Andy FLEX'!$A$6:$N$278,6,FALSE),"")</x:f>
        <x:v>14.6</x:v>
      </x:c>
      <x:c r="P20" s="111" t="n">
        <x:f>IFERROR(VLOOKUP($A20,'Andy FLEX'!$A$6:$N$278,7,FALSE),"")</x:f>
        <x:v>3</x:v>
      </x:c>
      <x:c r="Q20" s="111" t="n">
        <x:f>IFERROR(VLOOKUP($A20,'Andy FLEX'!$A$6:$N$278,8,FALSE),"")</x:f>
        <x:v>11</x:v>
      </x:c>
      <x:c r="R20" s="111" t="n">
        <x:f>IFERROR(VLOOKUP($A20,'Andy FLEX'!$A$6:$N$278,9,FALSE),"")</x:f>
        <x:v>0</x:v>
      </x:c>
      <x:c r="S20" s="111" t="n">
        <x:f>IFERROR(VLOOKUP($A20,'Andy FLEX'!$A$6:$N$278,10,FALSE),"")</x:f>
        <x:v>90</x:v>
      </x:c>
      <x:c r="T20" s="111" t="n">
        <x:f>IFERROR(VLOOKUP($A20,'Andy FLEX'!$A$6:$N$278,11,FALSE),"")</x:f>
        <x:v>1107</x:v>
      </x:c>
      <x:c r="U20" s="111" t="n">
        <x:f>IFERROR(VLOOKUP($A20,'Andy FLEX'!$A$6:$N$278,12,FALSE),"")</x:f>
        <x:v>8</x:v>
      </x:c>
      <x:c r="V20" s="111" t="n">
        <x:f>IFERROR(VLOOKUP($A20,'Andy FLEX'!$A$6:$N$278,13,FALSE),"")</x:f>
        <x:v>1</x:v>
      </x:c>
      <x:c r="W20" s="109" t="n">
        <x:f>IFERROR(VLOOKUP($A20,'Jason FLEX'!$A$6:$N$268,5,FALSE),"")</x:f>
        <x:v>13</x:v>
      </x:c>
      <x:c r="X20" s="110" t="n">
        <x:f>IFERROR(VLOOKUP($A20,'Jason FLEX'!$A$6:$N$268,6,FALSE),"")</x:f>
        <x:v>15.9</x:v>
      </x:c>
      <x:c r="Y20" s="111" t="n">
        <x:f>IFERROR(VLOOKUP($A20,'Jason FLEX'!$A$6:$N$268,7,FALSE),"")</x:f>
        <x:v>0</x:v>
      </x:c>
      <x:c r="Z20" s="111" t="n">
        <x:f>IFERROR(VLOOKUP($A20,'Jason FLEX'!$A$6:$N$268,8,FALSE),"")</x:f>
        <x:v>0</x:v>
      </x:c>
      <x:c r="AA20" s="111" t="n">
        <x:f>IFERROR(VLOOKUP($A20,'Jason FLEX'!$A$6:$N$268,9,FALSE),"")</x:f>
        <x:v>0</x:v>
      </x:c>
      <x:c r="AB20" s="111" t="n">
        <x:f>IFERROR(VLOOKUP($A20,'Jason FLEX'!$A$6:$N$268,10,FALSE),"")</x:f>
        <x:v>96</x:v>
      </x:c>
      <x:c r="AC20" s="111" t="n">
        <x:f>IFERROR(VLOOKUP($A20,'Jason FLEX'!$A$6:$N$268,11,FALSE),"")</x:f>
        <x:v>1230</x:v>
      </x:c>
      <x:c r="AD20" s="111" t="n">
        <x:f>IFERROR(VLOOKUP($A20,'Jason FLEX'!$A$6:$N$268,12,FALSE),"")</x:f>
        <x:v>9</x:v>
      </x:c>
      <x:c r="AE20" s="111" t="n">
        <x:f>IFERROR(VLOOKUP($A20,'Jason FLEX'!$A$6:$N$268,13,FALSE),"")</x:f>
        <x:v>1</x:v>
      </x:c>
      <x:c r="AF20" s="110" t="n">
        <x:f>IF(COUNT(E20,N20,W20)=0,"",AVERAGE(E20,N20,W20))</x:f>
        <x:v>17</x:v>
      </x:c>
      <x:c r="AG20" s="110" t="n">
        <x:f>IF(COUNT(E20,N20,W20)=0,"",MAX(E20,N20,W20)-MIN(E20,N20,W20))</x:f>
        <x:v>7</x:v>
      </x:c>
      <x:c r="AH20" s="110" t="n">
        <x:f>IF(COUNT(F20,O20,X20)=0,"",AVERAGE(F20,O20,X20))</x:f>
        <x:v>15.166666666666666</x:v>
      </x:c>
      <x:c r="AI20" s="112" t="n">
        <x:f>IF(COUNT(G20,P20,Y20)=0,"",AVERAGE(G20,P20,Y20))</x:f>
        <x:v>1</x:v>
      </x:c>
      <x:c r="AJ20" s="112" t="n">
        <x:f>IF(COUNT(H20,Q20,Z20)=0,"",AVERAGE(H20,Q20,Z20))</x:f>
        <x:v>3.6666666666666665</x:v>
      </x:c>
      <x:c r="AK20" s="112" t="n">
        <x:f>IF(COUNT(I20,R20,AA20)=0,"",AVERAGE(I20,R20,AA20))</x:f>
        <x:v>0</x:v>
      </x:c>
      <x:c r="AL20" s="112" t="n">
        <x:f>IF(COUNT(J20,S20,AB20)=0,"",AVERAGE(J20,S20,AB20))</x:f>
        <x:v>92.33333333333333</x:v>
      </x:c>
      <x:c r="AM20" s="112" t="n">
        <x:f>IF(COUNT(K20,T20,AC20)=0,"",AVERAGE(K20,T20,AC20))</x:f>
        <x:v>1168.3333333333333</x:v>
      </x:c>
      <x:c r="AN20" s="112" t="n">
        <x:f>IF(COUNT(L20,U20,AD20)=0,"",AVERAGE(L20,U20,AD20))</x:f>
        <x:v>8.333333333333334</x:v>
      </x:c>
      <x:c r="AO20" s="112" t="n">
        <x:f>IF(COUNT(M20,V20,AE20)=0,"",AVERAGE(M20,V20,AE20))</x:f>
        <x:v>1</x:v>
      </x:c>
    </x:row>
    <x:row r="21">
      <x:c r="A21" s="107" t="str">
        <x:v>Brock Bowers</x:v>
      </x:c>
      <x:c r="B21" s="108" t="str">
        <x:v>TE</x:v>
      </x:c>
      <x:c r="C21" s="108" t="str">
        <x:v>LV</x:v>
      </x:c>
      <x:c r="D21" s="109" t="n">
        <x:v>13</x:v>
      </x:c>
      <x:c r="E21" s="109" t="n">
        <x:f>IFERROR(VLOOKUP($A21,'Mike FLEX'!$A$6:$N$278,5,FALSE),"")</x:f>
        <x:v>23</x:v>
      </x:c>
      <x:c r="F21" s="110" t="n">
        <x:f>IFERROR(VLOOKUP($A21,'Mike FLEX'!$A$6:$N$278,6,FALSE),"")</x:f>
        <x:v>14.7</x:v>
      </x:c>
      <x:c r="G21" s="111" t="n">
        <x:f>IFERROR(VLOOKUP($A21,'Mike FLEX'!$A$6:$N$278,7,FALSE),"")</x:f>
        <x:v>3</x:v>
      </x:c>
      <x:c r="H21" s="111" t="n">
        <x:f>IFERROR(VLOOKUP($A21,'Mike FLEX'!$A$6:$N$278,8,FALSE),"")</x:f>
        <x:v>6</x:v>
      </x:c>
      <x:c r="I21" s="111" t="n">
        <x:f>IFERROR(VLOOKUP($A21,'Mike FLEX'!$A$6:$N$278,9,FALSE),"")</x:f>
        <x:v>0</x:v>
      </x:c>
      <x:c r="J21" s="111" t="n">
        <x:f>IFERROR(VLOOKUP($A21,'Mike FLEX'!$A$6:$N$278,10,FALSE),"")</x:f>
        <x:v>101</x:v>
      </x:c>
      <x:c r="K21" s="111" t="n">
        <x:f>IFERROR(VLOOKUP($A21,'Mike FLEX'!$A$6:$N$278,11,FALSE),"")</x:f>
        <x:v>1067</x:v>
      </x:c>
      <x:c r="L21" s="111" t="n">
        <x:f>IFERROR(VLOOKUP($A21,'Mike FLEX'!$A$6:$N$278,12,FALSE),"")</x:f>
        <x:v>7</x:v>
      </x:c>
      <x:c r="M21" s="111" t="n">
        <x:f>IFERROR(VLOOKUP($A21,'Mike FLEX'!$A$6:$N$278,13,FALSE),"")</x:f>
        <x:v>0</x:v>
      </x:c>
      <x:c r="N21" s="109" t="n">
        <x:f>IFERROR(VLOOKUP($A21,'Andy FLEX'!$A$6:$N$278,5,FALSE),"")</x:f>
        <x:v>13</x:v>
      </x:c>
      <x:c r="O21" s="110" t="n">
        <x:f>IFERROR(VLOOKUP($A21,'Andy FLEX'!$A$6:$N$278,6,FALSE),"")</x:f>
        <x:v>15.6</x:v>
      </x:c>
      <x:c r="P21" s="111" t="n">
        <x:f>IFERROR(VLOOKUP($A21,'Andy FLEX'!$A$6:$N$278,7,FALSE),"")</x:f>
        <x:v>3</x:v>
      </x:c>
      <x:c r="Q21" s="111" t="n">
        <x:f>IFERROR(VLOOKUP($A21,'Andy FLEX'!$A$6:$N$278,8,FALSE),"")</x:f>
        <x:v>12</x:v>
      </x:c>
      <x:c r="R21" s="111" t="n">
        <x:f>IFERROR(VLOOKUP($A21,'Andy FLEX'!$A$6:$N$278,9,FALSE),"")</x:f>
        <x:v>0</x:v>
      </x:c>
      <x:c r="S21" s="111" t="n">
        <x:f>IFERROR(VLOOKUP($A21,'Andy FLEX'!$A$6:$N$278,10,FALSE),"")</x:f>
        <x:v>94</x:v>
      </x:c>
      <x:c r="T21" s="111" t="n">
        <x:f>IFERROR(VLOOKUP($A21,'Andy FLEX'!$A$6:$N$278,11,FALSE),"")</x:f>
        <x:v>1187</x:v>
      </x:c>
      <x:c r="U21" s="111" t="n">
        <x:f>IFERROR(VLOOKUP($A21,'Andy FLEX'!$A$6:$N$278,12,FALSE),"")</x:f>
        <x:v>9</x:v>
      </x:c>
      <x:c r="V21" s="111" t="n">
        <x:f>IFERROR(VLOOKUP($A21,'Andy FLEX'!$A$6:$N$278,13,FALSE),"")</x:f>
        <x:v>1</x:v>
      </x:c>
      <x:c r="W21" s="109" t="n">
        <x:f>IFERROR(VLOOKUP($A21,'Jason FLEX'!$A$6:$N$268,5,FALSE),"")</x:f>
        <x:v>16</x:v>
      </x:c>
      <x:c r="X21" s="110" t="n">
        <x:f>IFERROR(VLOOKUP($A21,'Jason FLEX'!$A$6:$N$268,6,FALSE),"")</x:f>
        <x:v>15.5</x:v>
      </x:c>
      <x:c r="Y21" s="111" t="n">
        <x:f>IFERROR(VLOOKUP($A21,'Jason FLEX'!$A$6:$N$268,7,FALSE),"")</x:f>
        <x:v>0</x:v>
      </x:c>
      <x:c r="Z21" s="111" t="n">
        <x:f>IFERROR(VLOOKUP($A21,'Jason FLEX'!$A$6:$N$268,8,FALSE),"")</x:f>
        <x:v>0</x:v>
      </x:c>
      <x:c r="AA21" s="111" t="n">
        <x:f>IFERROR(VLOOKUP($A21,'Jason FLEX'!$A$6:$N$268,9,FALSE),"")</x:f>
        <x:v>0</x:v>
      </x:c>
      <x:c r="AB21" s="111" t="n">
        <x:f>IFERROR(VLOOKUP($A21,'Jason FLEX'!$A$6:$N$268,10,FALSE),"")</x:f>
        <x:v>103</x:v>
      </x:c>
      <x:c r="AC21" s="111" t="n">
        <x:f>IFERROR(VLOOKUP($A21,'Jason FLEX'!$A$6:$N$268,11,FALSE),"")</x:f>
        <x:v>1123</x:v>
      </x:c>
      <x:c r="AD21" s="111" t="n">
        <x:f>IFERROR(VLOOKUP($A21,'Jason FLEX'!$A$6:$N$268,12,FALSE),"")</x:f>
        <x:v>8</x:v>
      </x:c>
      <x:c r="AE21" s="111" t="n">
        <x:f>IFERROR(VLOOKUP($A21,'Jason FLEX'!$A$6:$N$268,13,FALSE),"")</x:f>
        <x:v>0</x:v>
      </x:c>
      <x:c r="AF21" s="110" t="n">
        <x:f>IF(COUNT(E21,N21,W21)=0,"",AVERAGE(E21,N21,W21))</x:f>
        <x:v>17.333333333333332</x:v>
      </x:c>
      <x:c r="AG21" s="110" t="n">
        <x:f>IF(COUNT(E21,N21,W21)=0,"",MAX(E21,N21,W21)-MIN(E21,N21,W21))</x:f>
        <x:v>10</x:v>
      </x:c>
      <x:c r="AH21" s="110" t="n">
        <x:f>IF(COUNT(F21,O21,X21)=0,"",AVERAGE(F21,O21,X21))</x:f>
        <x:v>15.266666666666666</x:v>
      </x:c>
      <x:c r="AI21" s="112" t="n">
        <x:f>IF(COUNT(G21,P21,Y21)=0,"",AVERAGE(G21,P21,Y21))</x:f>
        <x:v>2</x:v>
      </x:c>
      <x:c r="AJ21" s="112" t="n">
        <x:f>IF(COUNT(H21,Q21,Z21)=0,"",AVERAGE(H21,Q21,Z21))</x:f>
        <x:v>6</x:v>
      </x:c>
      <x:c r="AK21" s="112" t="n">
        <x:f>IF(COUNT(I21,R21,AA21)=0,"",AVERAGE(I21,R21,AA21))</x:f>
        <x:v>0</x:v>
      </x:c>
      <x:c r="AL21" s="112" t="n">
        <x:f>IF(COUNT(J21,S21,AB21)=0,"",AVERAGE(J21,S21,AB21))</x:f>
        <x:v>99.33333333333333</x:v>
      </x:c>
      <x:c r="AM21" s="112" t="n">
        <x:f>IF(COUNT(K21,T21,AC21)=0,"",AVERAGE(K21,T21,AC21))</x:f>
        <x:v>1125.6666666666667</x:v>
      </x:c>
      <x:c r="AN21" s="112" t="n">
        <x:f>IF(COUNT(L21,U21,AD21)=0,"",AVERAGE(L21,U21,AD21))</x:f>
        <x:v>8</x:v>
      </x:c>
      <x:c r="AO21" s="112" t="n">
        <x:f>IF(COUNT(M21,V21,AE21)=0,"",AVERAGE(M21,V21,AE21))</x:f>
        <x:v>0.3333333333333333</x:v>
      </x:c>
    </x:row>
    <x:row r="22">
      <x:c r="A22" s="107" t="str">
        <x:v>Chris Olave</x:v>
      </x:c>
      <x:c r="B22" s="108" t="str">
        <x:v>WR</x:v>
      </x:c>
      <x:c r="C22" s="108" t="str">
        <x:v>NO</x:v>
      </x:c>
      <x:c r="D22" s="109" t="n">
        <x:v>8</x:v>
      </x:c>
      <x:c r="E22" s="109" t="n">
        <x:f>IFERROR(VLOOKUP($A22,'Mike FLEX'!$A$6:$N$278,5,FALSE),"")</x:f>
        <x:v>14</x:v>
      </x:c>
      <x:c r="F22" s="110" t="n">
        <x:f>IFERROR(VLOOKUP($A22,'Mike FLEX'!$A$6:$N$278,6,FALSE),"")</x:f>
        <x:v>15.3</x:v>
      </x:c>
      <x:c r="G22" s="111" t="n">
        <x:f>IFERROR(VLOOKUP($A22,'Mike FLEX'!$A$6:$N$278,7,FALSE),"")</x:f>
        <x:v>0</x:v>
      </x:c>
      <x:c r="H22" s="111" t="n">
        <x:f>IFERROR(VLOOKUP($A22,'Mike FLEX'!$A$6:$N$278,8,FALSE),"")</x:f>
        <x:v>0</x:v>
      </x:c>
      <x:c r="I22" s="111" t="n">
        <x:f>IFERROR(VLOOKUP($A22,'Mike FLEX'!$A$6:$N$278,9,FALSE),"")</x:f>
        <x:v>0</x:v>
      </x:c>
      <x:c r="J22" s="111" t="n">
        <x:f>IFERROR(VLOOKUP($A22,'Mike FLEX'!$A$6:$N$278,10,FALSE),"")</x:f>
        <x:v>101</x:v>
      </x:c>
      <x:c r="K22" s="111" t="n">
        <x:f>IFERROR(VLOOKUP($A22,'Mike FLEX'!$A$6:$N$278,11,FALSE),"")</x:f>
        <x:v>1208</x:v>
      </x:c>
      <x:c r="L22" s="111" t="n">
        <x:f>IFERROR(VLOOKUP($A22,'Mike FLEX'!$A$6:$N$278,12,FALSE),"")</x:f>
        <x:v>6</x:v>
      </x:c>
      <x:c r="M22" s="111" t="n">
        <x:f>IFERROR(VLOOKUP($A22,'Mike FLEX'!$A$6:$N$278,13,FALSE),"")</x:f>
        <x:v>0</x:v>
      </x:c>
      <x:c r="N22" s="109" t="n">
        <x:f>IFERROR(VLOOKUP($A22,'Andy FLEX'!$A$6:$N$278,5,FALSE),"")</x:f>
        <x:v>22</x:v>
      </x:c>
      <x:c r="O22" s="110" t="n">
        <x:f>IFERROR(VLOOKUP($A22,'Andy FLEX'!$A$6:$N$278,6,FALSE),"")</x:f>
        <x:v>14.4</x:v>
      </x:c>
      <x:c r="P22" s="111" t="n">
        <x:f>IFERROR(VLOOKUP($A22,'Andy FLEX'!$A$6:$N$278,7,FALSE),"")</x:f>
        <x:v>2</x:v>
      </x:c>
      <x:c r="Q22" s="111" t="n">
        <x:f>IFERROR(VLOOKUP($A22,'Andy FLEX'!$A$6:$N$278,8,FALSE),"")</x:f>
        <x:v>0</x:v>
      </x:c>
      <x:c r="R22" s="111" t="n">
        <x:f>IFERROR(VLOOKUP($A22,'Andy FLEX'!$A$6:$N$278,9,FALSE),"")</x:f>
        <x:v>0</x:v>
      </x:c>
      <x:c r="S22" s="111" t="n">
        <x:f>IFERROR(VLOOKUP($A22,'Andy FLEX'!$A$6:$N$278,10,FALSE),"")</x:f>
        <x:v>92</x:v>
      </x:c>
      <x:c r="T22" s="111" t="n">
        <x:f>IFERROR(VLOOKUP($A22,'Andy FLEX'!$A$6:$N$278,11,FALSE),"")</x:f>
        <x:v>1076</x:v>
      </x:c>
      <x:c r="U22" s="111" t="n">
        <x:f>IFERROR(VLOOKUP($A22,'Andy FLEX'!$A$6:$N$278,12,FALSE),"")</x:f>
        <x:v>8</x:v>
      </x:c>
      <x:c r="V22" s="111" t="n">
        <x:f>IFERROR(VLOOKUP($A22,'Andy FLEX'!$A$6:$N$278,13,FALSE),"")</x:f>
        <x:v>1</x:v>
      </x:c>
      <x:c r="W22" s="109" t="n">
        <x:f>IFERROR(VLOOKUP($A22,'Jason FLEX'!$A$6:$N$268,5,FALSE),"")</x:f>
        <x:v>18</x:v>
      </x:c>
      <x:c r="X22" s="110" t="n">
        <x:f>IFERROR(VLOOKUP($A22,'Jason FLEX'!$A$6:$N$268,6,FALSE),"")</x:f>
        <x:v>15.4</x:v>
      </x:c>
      <x:c r="Y22" s="111" t="n">
        <x:f>IFERROR(VLOOKUP($A22,'Jason FLEX'!$A$6:$N$268,7,FALSE),"")</x:f>
        <x:v>1</x:v>
      </x:c>
      <x:c r="Z22" s="111" t="n">
        <x:f>IFERROR(VLOOKUP($A22,'Jason FLEX'!$A$6:$N$268,8,FALSE),"")</x:f>
        <x:v>8</x:v>
      </x:c>
      <x:c r="AA22" s="111" t="n">
        <x:f>IFERROR(VLOOKUP($A22,'Jason FLEX'!$A$6:$N$268,9,FALSE),"")</x:f>
        <x:v>0</x:v>
      </x:c>
      <x:c r="AB22" s="111" t="n">
        <x:f>IFERROR(VLOOKUP($A22,'Jason FLEX'!$A$6:$N$268,10,FALSE),"")</x:f>
        <x:v>92</x:v>
      </x:c>
      <x:c r="AC22" s="111" t="n">
        <x:f>IFERROR(VLOOKUP($A22,'Jason FLEX'!$A$6:$N$268,11,FALSE),"")</x:f>
        <x:v>1242</x:v>
      </x:c>
      <x:c r="AD22" s="111" t="n">
        <x:f>IFERROR(VLOOKUP($A22,'Jason FLEX'!$A$6:$N$268,12,FALSE),"")</x:f>
        <x:v>8</x:v>
      </x:c>
      <x:c r="AE22" s="111" t="n">
        <x:f>IFERROR(VLOOKUP($A22,'Jason FLEX'!$A$6:$N$268,13,FALSE),"")</x:f>
        <x:v>0</x:v>
      </x:c>
      <x:c r="AF22" s="110" t="n">
        <x:f>IF(COUNT(E22,N22,W22)=0,"",AVERAGE(E22,N22,W22))</x:f>
        <x:v>18</x:v>
      </x:c>
      <x:c r="AG22" s="110" t="n">
        <x:f>IF(COUNT(E22,N22,W22)=0,"",MAX(E22,N22,W22)-MIN(E22,N22,W22))</x:f>
        <x:v>8</x:v>
      </x:c>
      <x:c r="AH22" s="110" t="n">
        <x:f>IF(COUNT(F22,O22,X22)=0,"",AVERAGE(F22,O22,X22))</x:f>
        <x:v>15.033333333333333</x:v>
      </x:c>
      <x:c r="AI22" s="112" t="n">
        <x:f>IF(COUNT(G22,P22,Y22)=0,"",AVERAGE(G22,P22,Y22))</x:f>
        <x:v>1</x:v>
      </x:c>
      <x:c r="AJ22" s="112" t="n">
        <x:f>IF(COUNT(H22,Q22,Z22)=0,"",AVERAGE(H22,Q22,Z22))</x:f>
        <x:v>2.6666666666666665</x:v>
      </x:c>
      <x:c r="AK22" s="112" t="n">
        <x:f>IF(COUNT(I22,R22,AA22)=0,"",AVERAGE(I22,R22,AA22))</x:f>
        <x:v>0</x:v>
      </x:c>
      <x:c r="AL22" s="112" t="n">
        <x:f>IF(COUNT(J22,S22,AB22)=0,"",AVERAGE(J22,S22,AB22))</x:f>
        <x:v>95</x:v>
      </x:c>
      <x:c r="AM22" s="112" t="n">
        <x:f>IF(COUNT(K22,T22,AC22)=0,"",AVERAGE(K22,T22,AC22))</x:f>
        <x:v>1175.3333333333333</x:v>
      </x:c>
      <x:c r="AN22" s="112" t="n">
        <x:f>IF(COUNT(L22,U22,AD22)=0,"",AVERAGE(L22,U22,AD22))</x:f>
        <x:v>7.333333333333333</x:v>
      </x:c>
      <x:c r="AO22" s="112" t="n">
        <x:f>IF(COUNT(M22,V22,AE22)=0,"",AVERAGE(M22,V22,AE22))</x:f>
        <x:v>0.3333333333333333</x:v>
      </x:c>
    </x:row>
    <x:row r="23">
      <x:c r="A23" s="107" t="str">
        <x:v>Nico Collins</x:v>
      </x:c>
      <x:c r="B23" s="108" t="str">
        <x:v>WR</x:v>
      </x:c>
      <x:c r="C23" s="108" t="str">
        <x:v>HOU</x:v>
      </x:c>
      <x:c r="D23" s="109" t="n">
        <x:v>8</x:v>
      </x:c>
      <x:c r="E23" s="109" t="n">
        <x:f>IFERROR(VLOOKUP($A23,'Mike FLEX'!$A$6:$N$278,5,FALSE),"")</x:f>
        <x:v>13</x:v>
      </x:c>
      <x:c r="F23" s="110" t="n">
        <x:f>IFERROR(VLOOKUP($A23,'Mike FLEX'!$A$6:$N$278,6,FALSE),"")</x:f>
        <x:v>15.3</x:v>
      </x:c>
      <x:c r="G23" s="111" t="n">
        <x:f>IFERROR(VLOOKUP($A23,'Mike FLEX'!$A$6:$N$278,7,FALSE),"")</x:f>
        <x:v>0</x:v>
      </x:c>
      <x:c r="H23" s="111" t="n">
        <x:f>IFERROR(VLOOKUP($A23,'Mike FLEX'!$A$6:$N$278,8,FALSE),"")</x:f>
        <x:v>0</x:v>
      </x:c>
      <x:c r="I23" s="111" t="n">
        <x:f>IFERROR(VLOOKUP($A23,'Mike FLEX'!$A$6:$N$278,9,FALSE),"")</x:f>
        <x:v>0</x:v>
      </x:c>
      <x:c r="J23" s="111" t="n">
        <x:f>IFERROR(VLOOKUP($A23,'Mike FLEX'!$A$6:$N$278,10,FALSE),"")</x:f>
        <x:v>86</x:v>
      </x:c>
      <x:c r="K23" s="111" t="n">
        <x:f>IFERROR(VLOOKUP($A23,'Mike FLEX'!$A$6:$N$278,11,FALSE),"")</x:f>
        <x:v>1321</x:v>
      </x:c>
      <x:c r="L23" s="111" t="n">
        <x:f>IFERROR(VLOOKUP($A23,'Mike FLEX'!$A$6:$N$278,12,FALSE),"")</x:f>
        <x:v>7</x:v>
      </x:c>
      <x:c r="M23" s="111" t="n">
        <x:f>IFERROR(VLOOKUP($A23,'Mike FLEX'!$A$6:$N$278,13,FALSE),"")</x:f>
        <x:v>1</x:v>
      </x:c>
      <x:c r="N23" s="109" t="n">
        <x:f>IFERROR(VLOOKUP($A23,'Andy FLEX'!$A$6:$N$278,5,FALSE),"")</x:f>
        <x:v>18</x:v>
      </x:c>
      <x:c r="O23" s="110" t="n">
        <x:f>IFERROR(VLOOKUP($A23,'Andy FLEX'!$A$6:$N$278,6,FALSE),"")</x:f>
        <x:v>14.7</x:v>
      </x:c>
      <x:c r="P23" s="111" t="n">
        <x:f>IFERROR(VLOOKUP($A23,'Andy FLEX'!$A$6:$N$278,7,FALSE),"")</x:f>
        <x:v>3</x:v>
      </x:c>
      <x:c r="Q23" s="111" t="n">
        <x:f>IFERROR(VLOOKUP($A23,'Andy FLEX'!$A$6:$N$278,8,FALSE),"")</x:f>
        <x:v>16</x:v>
      </x:c>
      <x:c r="R23" s="111" t="n">
        <x:f>IFERROR(VLOOKUP($A23,'Andy FLEX'!$A$6:$N$278,9,FALSE),"")</x:f>
        <x:v>0</x:v>
      </x:c>
      <x:c r="S23" s="111" t="n">
        <x:f>IFERROR(VLOOKUP($A23,'Andy FLEX'!$A$6:$N$278,10,FALSE),"")</x:f>
        <x:v>82</x:v>
      </x:c>
      <x:c r="T23" s="111" t="n">
        <x:f>IFERROR(VLOOKUP($A23,'Andy FLEX'!$A$6:$N$278,11,FALSE),"")</x:f>
        <x:v>1241</x:v>
      </x:c>
      <x:c r="U23" s="111" t="n">
        <x:f>IFERROR(VLOOKUP($A23,'Andy FLEX'!$A$6:$N$278,12,FALSE),"")</x:f>
        <x:v>7</x:v>
      </x:c>
      <x:c r="V23" s="111" t="n">
        <x:f>IFERROR(VLOOKUP($A23,'Andy FLEX'!$A$6:$N$278,13,FALSE),"")</x:f>
        <x:v>1</x:v>
      </x:c>
      <x:c r="W23" s="109" t="n">
        <x:f>IFERROR(VLOOKUP($A23,'Jason FLEX'!$A$6:$N$268,5,FALSE),"")</x:f>
        <x:v>30</x:v>
      </x:c>
      <x:c r="X23" s="110" t="n">
        <x:f>IFERROR(VLOOKUP($A23,'Jason FLEX'!$A$6:$N$268,6,FALSE),"")</x:f>
        <x:v>14.8</x:v>
      </x:c>
      <x:c r="Y23" s="111" t="n">
        <x:f>IFERROR(VLOOKUP($A23,'Jason FLEX'!$A$6:$N$268,7,FALSE),"")</x:f>
        <x:v>0</x:v>
      </x:c>
      <x:c r="Z23" s="111" t="n">
        <x:f>IFERROR(VLOOKUP($A23,'Jason FLEX'!$A$6:$N$268,8,FALSE),"")</x:f>
        <x:v>0</x:v>
      </x:c>
      <x:c r="AA23" s="111" t="n">
        <x:f>IFERROR(VLOOKUP($A23,'Jason FLEX'!$A$6:$N$268,9,FALSE),"")</x:f>
        <x:v>0</x:v>
      </x:c>
      <x:c r="AB23" s="111" t="n">
        <x:f>IFERROR(VLOOKUP($A23,'Jason FLEX'!$A$6:$N$268,10,FALSE),"")</x:f>
        <x:v>79</x:v>
      </x:c>
      <x:c r="AC23" s="111" t="n">
        <x:f>IFERROR(VLOOKUP($A23,'Jason FLEX'!$A$6:$N$268,11,FALSE),"")</x:f>
        <x:v>1209</x:v>
      </x:c>
      <x:c r="AD23" s="111" t="n">
        <x:f>IFERROR(VLOOKUP($A23,'Jason FLEX'!$A$6:$N$268,12,FALSE),"")</x:f>
        <x:v>9</x:v>
      </x:c>
      <x:c r="AE23" s="111" t="n">
        <x:f>IFERROR(VLOOKUP($A23,'Jason FLEX'!$A$6:$N$268,13,FALSE),"")</x:f>
        <x:v>1</x:v>
      </x:c>
      <x:c r="AF23" s="110" t="n">
        <x:f>IF(COUNT(E23,N23,W23)=0,"",AVERAGE(E23,N23,W23))</x:f>
        <x:v>20.333333333333332</x:v>
      </x:c>
      <x:c r="AG23" s="110" t="n">
        <x:f>IF(COUNT(E23,N23,W23)=0,"",MAX(E23,N23,W23)-MIN(E23,N23,W23))</x:f>
        <x:v>17</x:v>
      </x:c>
      <x:c r="AH23" s="110" t="n">
        <x:f>IF(COUNT(F23,O23,X23)=0,"",AVERAGE(F23,O23,X23))</x:f>
        <x:v>14.933333333333332</x:v>
      </x:c>
      <x:c r="AI23" s="112" t="n">
        <x:f>IF(COUNT(G23,P23,Y23)=0,"",AVERAGE(G23,P23,Y23))</x:f>
        <x:v>1</x:v>
      </x:c>
      <x:c r="AJ23" s="112" t="n">
        <x:f>IF(COUNT(H23,Q23,Z23)=0,"",AVERAGE(H23,Q23,Z23))</x:f>
        <x:v>5.333333333333333</x:v>
      </x:c>
      <x:c r="AK23" s="112" t="n">
        <x:f>IF(COUNT(I23,R23,AA23)=0,"",AVERAGE(I23,R23,AA23))</x:f>
        <x:v>0</x:v>
      </x:c>
      <x:c r="AL23" s="112" t="n">
        <x:f>IF(COUNT(J23,S23,AB23)=0,"",AVERAGE(J23,S23,AB23))</x:f>
        <x:v>82.33333333333333</x:v>
      </x:c>
      <x:c r="AM23" s="112" t="n">
        <x:f>IF(COUNT(K23,T23,AC23)=0,"",AVERAGE(K23,T23,AC23))</x:f>
        <x:v>1257</x:v>
      </x:c>
      <x:c r="AN23" s="112" t="n">
        <x:f>IF(COUNT(L23,U23,AD23)=0,"",AVERAGE(L23,U23,AD23))</x:f>
        <x:v>7.666666666666667</x:v>
      </x:c>
      <x:c r="AO23" s="112" t="n">
        <x:f>IF(COUNT(M23,V23,AE23)=0,"",AVERAGE(M23,V23,AE23))</x:f>
        <x:v>1</x:v>
      </x:c>
    </x:row>
    <x:row r="24">
      <x:c r="A24" s="107" t="str">
        <x:v>Drake London</x:v>
      </x:c>
      <x:c r="B24" s="108" t="str">
        <x:v>WR</x:v>
      </x:c>
      <x:c r="C24" s="108" t="str">
        <x:v>ATL</x:v>
      </x:c>
      <x:c r="D24" s="109" t="n">
        <x:v>11</x:v>
      </x:c>
      <x:c r="E24" s="109" t="n">
        <x:f>IFERROR(VLOOKUP($A24,'Mike FLEX'!$A$6:$N$278,5,FALSE),"")</x:f>
        <x:v>17</x:v>
      </x:c>
      <x:c r="F24" s="110" t="n">
        <x:f>IFERROR(VLOOKUP($A24,'Mike FLEX'!$A$6:$N$278,6,FALSE),"")</x:f>
        <x:v>15</x:v>
      </x:c>
      <x:c r="G24" s="111" t="n">
        <x:f>IFERROR(VLOOKUP($A24,'Mike FLEX'!$A$6:$N$278,7,FALSE),"")</x:f>
        <x:v>0</x:v>
      </x:c>
      <x:c r="H24" s="111" t="n">
        <x:f>IFERROR(VLOOKUP($A24,'Mike FLEX'!$A$6:$N$278,8,FALSE),"")</x:f>
        <x:v>0</x:v>
      </x:c>
      <x:c r="I24" s="111" t="n">
        <x:f>IFERROR(VLOOKUP($A24,'Mike FLEX'!$A$6:$N$278,9,FALSE),"")</x:f>
        <x:v>0</x:v>
      </x:c>
      <x:c r="J24" s="111" t="n">
        <x:f>IFERROR(VLOOKUP($A24,'Mike FLEX'!$A$6:$N$278,10,FALSE),"")</x:f>
        <x:v>94</x:v>
      </x:c>
      <x:c r="K24" s="111" t="n">
        <x:f>IFERROR(VLOOKUP($A24,'Mike FLEX'!$A$6:$N$278,11,FALSE),"")</x:f>
        <x:v>1217</x:v>
      </x:c>
      <x:c r="L24" s="111" t="n">
        <x:f>IFERROR(VLOOKUP($A24,'Mike FLEX'!$A$6:$N$278,12,FALSE),"")</x:f>
        <x:v>7</x:v>
      </x:c>
      <x:c r="M24" s="111" t="n">
        <x:f>IFERROR(VLOOKUP($A24,'Mike FLEX'!$A$6:$N$278,13,FALSE),"")</x:f>
        <x:v>1</x:v>
      </x:c>
      <x:c r="N24" s="109" t="n">
        <x:f>IFERROR(VLOOKUP($A24,'Andy FLEX'!$A$6:$N$278,5,FALSE),"")</x:f>
        <x:v>25</x:v>
      </x:c>
      <x:c r="O24" s="110" t="n">
        <x:f>IFERROR(VLOOKUP($A24,'Andy FLEX'!$A$6:$N$278,6,FALSE),"")</x:f>
        <x:v>14.2</x:v>
      </x:c>
      <x:c r="P24" s="111" t="n">
        <x:f>IFERROR(VLOOKUP($A24,'Andy FLEX'!$A$6:$N$278,7,FALSE),"")</x:f>
        <x:v>0</x:v>
      </x:c>
      <x:c r="Q24" s="111" t="n">
        <x:f>IFERROR(VLOOKUP($A24,'Andy FLEX'!$A$6:$N$278,8,FALSE),"")</x:f>
        <x:v>0</x:v>
      </x:c>
      <x:c r="R24" s="111" t="n">
        <x:f>IFERROR(VLOOKUP($A24,'Andy FLEX'!$A$6:$N$278,9,FALSE),"")</x:f>
        <x:v>0</x:v>
      </x:c>
      <x:c r="S24" s="111" t="n">
        <x:f>IFERROR(VLOOKUP($A24,'Andy FLEX'!$A$6:$N$278,10,FALSE),"")</x:f>
        <x:v>87</x:v>
      </x:c>
      <x:c r="T24" s="111" t="n">
        <x:f>IFERROR(VLOOKUP($A24,'Andy FLEX'!$A$6:$N$278,11,FALSE),"")</x:f>
        <x:v>1141</x:v>
      </x:c>
      <x:c r="U24" s="111" t="n">
        <x:f>IFERROR(VLOOKUP($A24,'Andy FLEX'!$A$6:$N$278,12,FALSE),"")</x:f>
        <x:v>7</x:v>
      </x:c>
      <x:c r="V24" s="111" t="n">
        <x:f>IFERROR(VLOOKUP($A24,'Andy FLEX'!$A$6:$N$278,13,FALSE),"")</x:f>
        <x:v>1</x:v>
      </x:c>
      <x:c r="W24" s="109" t="n">
        <x:f>IFERROR(VLOOKUP($A24,'Jason FLEX'!$A$6:$N$268,5,FALSE),"")</x:f>
        <x:v>20</x:v>
      </x:c>
      <x:c r="X24" s="110" t="n">
        <x:f>IFERROR(VLOOKUP($A24,'Jason FLEX'!$A$6:$N$268,6,FALSE),"")</x:f>
        <x:v>15.4</x:v>
      </x:c>
      <x:c r="Y24" s="111" t="n">
        <x:f>IFERROR(VLOOKUP($A24,'Jason FLEX'!$A$6:$N$268,7,FALSE),"")</x:f>
        <x:v>0</x:v>
      </x:c>
      <x:c r="Z24" s="111" t="n">
        <x:f>IFERROR(VLOOKUP($A24,'Jason FLEX'!$A$6:$N$268,8,FALSE),"")</x:f>
        <x:v>0</x:v>
      </x:c>
      <x:c r="AA24" s="111" t="n">
        <x:f>IFERROR(VLOOKUP($A24,'Jason FLEX'!$A$6:$N$268,9,FALSE),"")</x:f>
        <x:v>0</x:v>
      </x:c>
      <x:c r="AB24" s="111" t="n">
        <x:f>IFERROR(VLOOKUP($A24,'Jason FLEX'!$A$6:$N$268,10,FALSE),"")</x:f>
        <x:v>94</x:v>
      </x:c>
      <x:c r="AC24" s="111" t="n">
        <x:f>IFERROR(VLOOKUP($A24,'Jason FLEX'!$A$6:$N$268,11,FALSE),"")</x:f>
        <x:v>1231</x:v>
      </x:c>
      <x:c r="AD24" s="111" t="n">
        <x:f>IFERROR(VLOOKUP($A24,'Jason FLEX'!$A$6:$N$268,12,FALSE),"")</x:f>
        <x:v>8</x:v>
      </x:c>
      <x:c r="AE24" s="111" t="n">
        <x:f>IFERROR(VLOOKUP($A24,'Jason FLEX'!$A$6:$N$268,13,FALSE),"")</x:f>
        <x:v>2</x:v>
      </x:c>
      <x:c r="AF24" s="110" t="n">
        <x:f>IF(COUNT(E24,N24,W24)=0,"",AVERAGE(E24,N24,W24))</x:f>
        <x:v>20.666666666666668</x:v>
      </x:c>
      <x:c r="AG24" s="110" t="n">
        <x:f>IF(COUNT(E24,N24,W24)=0,"",MAX(E24,N24,W24)-MIN(E24,N24,W24))</x:f>
        <x:v>8</x:v>
      </x:c>
      <x:c r="AH24" s="110" t="n">
        <x:f>IF(COUNT(F24,O24,X24)=0,"",AVERAGE(F24,O24,X24))</x:f>
        <x:v>14.866666666666667</x:v>
      </x:c>
      <x:c r="AI24" s="112" t="n">
        <x:f>IF(COUNT(G24,P24,Y24)=0,"",AVERAGE(G24,P24,Y24))</x:f>
        <x:v>0</x:v>
      </x:c>
      <x:c r="AJ24" s="112" t="n">
        <x:f>IF(COUNT(H24,Q24,Z24)=0,"",AVERAGE(H24,Q24,Z24))</x:f>
        <x:v>0</x:v>
      </x:c>
      <x:c r="AK24" s="112" t="n">
        <x:f>IF(COUNT(I24,R24,AA24)=0,"",AVERAGE(I24,R24,AA24))</x:f>
        <x:v>0</x:v>
      </x:c>
      <x:c r="AL24" s="112" t="n">
        <x:f>IF(COUNT(J24,S24,AB24)=0,"",AVERAGE(J24,S24,AB24))</x:f>
        <x:v>91.66666666666667</x:v>
      </x:c>
      <x:c r="AM24" s="112" t="n">
        <x:f>IF(COUNT(K24,T24,AC24)=0,"",AVERAGE(K24,T24,AC24))</x:f>
        <x:v>1196.3333333333333</x:v>
      </x:c>
      <x:c r="AN24" s="112" t="n">
        <x:f>IF(COUNT(L24,U24,AD24)=0,"",AVERAGE(L24,U24,AD24))</x:f>
        <x:v>7.333333333333333</x:v>
      </x:c>
      <x:c r="AO24" s="112" t="n">
        <x:f>IF(COUNT(M24,V24,AE24)=0,"",AVERAGE(M24,V24,AE24))</x:f>
        <x:v>1.3333333333333333</x:v>
      </x:c>
    </x:row>
    <x:row r="25">
      <x:c r="A25" s="107" t="str">
        <x:v>Garrett Wilson</x:v>
      </x:c>
      <x:c r="B25" s="108" t="str">
        <x:v>WR</x:v>
      </x:c>
      <x:c r="C25" s="108" t="str">
        <x:v>NYJ</x:v>
      </x:c>
      <x:c r="D25" s="109" t="n">
        <x:v>13</x:v>
      </x:c>
      <x:c r="E25" s="109" t="n">
        <x:f>IFERROR(VLOOKUP($A25,'Mike FLEX'!$A$6:$N$278,5,FALSE),"")</x:f>
        <x:v>24</x:v>
      </x:c>
      <x:c r="F25" s="110" t="n">
        <x:f>IFERROR(VLOOKUP($A25,'Mike FLEX'!$A$6:$N$278,6,FALSE),"")</x:f>
        <x:v>14.7</x:v>
      </x:c>
      <x:c r="G25" s="111" t="n">
        <x:f>IFERROR(VLOOKUP($A25,'Mike FLEX'!$A$6:$N$278,7,FALSE),"")</x:f>
        <x:v>0</x:v>
      </x:c>
      <x:c r="H25" s="111" t="n">
        <x:f>IFERROR(VLOOKUP($A25,'Mike FLEX'!$A$6:$N$278,8,FALSE),"")</x:f>
        <x:v>0</x:v>
      </x:c>
      <x:c r="I25" s="111" t="n">
        <x:f>IFERROR(VLOOKUP($A25,'Mike FLEX'!$A$6:$N$278,9,FALSE),"")</x:f>
        <x:v>0</x:v>
      </x:c>
      <x:c r="J25" s="111" t="n">
        <x:f>IFERROR(VLOOKUP($A25,'Mike FLEX'!$A$6:$N$278,10,FALSE),"")</x:f>
        <x:v>104</x:v>
      </x:c>
      <x:c r="K25" s="111" t="n">
        <x:f>IFERROR(VLOOKUP($A25,'Mike FLEX'!$A$6:$N$278,11,FALSE),"")</x:f>
        <x:v>1149</x:v>
      </x:c>
      <x:c r="L25" s="111" t="n">
        <x:f>IFERROR(VLOOKUP($A25,'Mike FLEX'!$A$6:$N$278,12,FALSE),"")</x:f>
        <x:v>6</x:v>
      </x:c>
      <x:c r="M25" s="111" t="n">
        <x:f>IFERROR(VLOOKUP($A25,'Mike FLEX'!$A$6:$N$278,13,FALSE),"")</x:f>
        <x:v>2</x:v>
      </x:c>
      <x:c r="N25" s="109" t="n">
        <x:f>IFERROR(VLOOKUP($A25,'Andy FLEX'!$A$6:$N$278,5,FALSE),"")</x:f>
        <x:v>19</x:v>
      </x:c>
      <x:c r="O25" s="110" t="n">
        <x:f>IFERROR(VLOOKUP($A25,'Andy FLEX'!$A$6:$N$278,6,FALSE),"")</x:f>
        <x:v>14.6</x:v>
      </x:c>
      <x:c r="P25" s="111" t="n">
        <x:f>IFERROR(VLOOKUP($A25,'Andy FLEX'!$A$6:$N$278,7,FALSE),"")</x:f>
        <x:v>4</x:v>
      </x:c>
      <x:c r="Q25" s="111" t="n">
        <x:f>IFERROR(VLOOKUP($A25,'Andy FLEX'!$A$6:$N$278,8,FALSE),"")</x:f>
        <x:v>21</x:v>
      </x:c>
      <x:c r="R25" s="111" t="n">
        <x:f>IFERROR(VLOOKUP($A25,'Andy FLEX'!$A$6:$N$278,9,FALSE),"")</x:f>
        <x:v>0</x:v>
      </x:c>
      <x:c r="S25" s="111" t="n">
        <x:f>IFERROR(VLOOKUP($A25,'Andy FLEX'!$A$6:$N$278,10,FALSE),"")</x:f>
        <x:v>96</x:v>
      </x:c>
      <x:c r="T25" s="111" t="n">
        <x:f>IFERROR(VLOOKUP($A25,'Andy FLEX'!$A$6:$N$278,11,FALSE),"")</x:f>
        <x:v>1093</x:v>
      </x:c>
      <x:c r="U25" s="111" t="n">
        <x:f>IFERROR(VLOOKUP($A25,'Andy FLEX'!$A$6:$N$278,12,FALSE),"")</x:f>
        <x:v>7</x:v>
      </x:c>
      <x:c r="V25" s="111" t="n">
        <x:f>IFERROR(VLOOKUP($A25,'Andy FLEX'!$A$6:$N$278,13,FALSE),"")</x:f>
        <x:v>1</x:v>
      </x:c>
      <x:c r="W25" s="109" t="n">
        <x:f>IFERROR(VLOOKUP($A25,'Jason FLEX'!$A$6:$N$268,5,FALSE),"")</x:f>
        <x:v>19</x:v>
      </x:c>
      <x:c r="X25" s="110" t="n">
        <x:f>IFERROR(VLOOKUP($A25,'Jason FLEX'!$A$6:$N$268,6,FALSE),"")</x:f>
        <x:v>15.4</x:v>
      </x:c>
      <x:c r="Y25" s="111" t="n">
        <x:f>IFERROR(VLOOKUP($A25,'Jason FLEX'!$A$6:$N$268,7,FALSE),"")</x:f>
        <x:v>1</x:v>
      </x:c>
      <x:c r="Z25" s="111" t="n">
        <x:f>IFERROR(VLOOKUP($A25,'Jason FLEX'!$A$6:$N$268,8,FALSE),"")</x:f>
        <x:v>5</x:v>
      </x:c>
      <x:c r="AA25" s="111" t="n">
        <x:f>IFERROR(VLOOKUP($A25,'Jason FLEX'!$A$6:$N$268,9,FALSE),"")</x:f>
        <x:v>0</x:v>
      </x:c>
      <x:c r="AB25" s="111" t="n">
        <x:f>IFERROR(VLOOKUP($A25,'Jason FLEX'!$A$6:$N$268,10,FALSE),"")</x:f>
        <x:v>99</x:v>
      </x:c>
      <x:c r="AC25" s="111" t="n">
        <x:f>IFERROR(VLOOKUP($A25,'Jason FLEX'!$A$6:$N$268,11,FALSE),"")</x:f>
        <x:v>1188</x:v>
      </x:c>
      <x:c r="AD25" s="111" t="n">
        <x:f>IFERROR(VLOOKUP($A25,'Jason FLEX'!$A$6:$N$268,12,FALSE),"")</x:f>
        <x:v>8</x:v>
      </x:c>
      <x:c r="AE25" s="111" t="n">
        <x:f>IFERROR(VLOOKUP($A25,'Jason FLEX'!$A$6:$N$268,13,FALSE),"")</x:f>
        <x:v>1</x:v>
      </x:c>
      <x:c r="AF25" s="110" t="n">
        <x:f>IF(COUNT(E25,N25,W25)=0,"",AVERAGE(E25,N25,W25))</x:f>
        <x:v>20.666666666666668</x:v>
      </x:c>
      <x:c r="AG25" s="110" t="n">
        <x:f>IF(COUNT(E25,N25,W25)=0,"",MAX(E25,N25,W25)-MIN(E25,N25,W25))</x:f>
        <x:v>5</x:v>
      </x:c>
      <x:c r="AH25" s="110" t="n">
        <x:f>IF(COUNT(F25,O25,X25)=0,"",AVERAGE(F25,O25,X25))</x:f>
        <x:v>14.899999999999999</x:v>
      </x:c>
      <x:c r="AI25" s="112" t="n">
        <x:f>IF(COUNT(G25,P25,Y25)=0,"",AVERAGE(G25,P25,Y25))</x:f>
        <x:v>1.6666666666666667</x:v>
      </x:c>
      <x:c r="AJ25" s="112" t="n">
        <x:f>IF(COUNT(H25,Q25,Z25)=0,"",AVERAGE(H25,Q25,Z25))</x:f>
        <x:v>8.666666666666666</x:v>
      </x:c>
      <x:c r="AK25" s="112" t="n">
        <x:f>IF(COUNT(I25,R25,AA25)=0,"",AVERAGE(I25,R25,AA25))</x:f>
        <x:v>0</x:v>
      </x:c>
      <x:c r="AL25" s="112" t="n">
        <x:f>IF(COUNT(J25,S25,AB25)=0,"",AVERAGE(J25,S25,AB25))</x:f>
        <x:v>99.66666666666667</x:v>
      </x:c>
      <x:c r="AM25" s="112" t="n">
        <x:f>IF(COUNT(K25,T25,AC25)=0,"",AVERAGE(K25,T25,AC25))</x:f>
        <x:v>1143.3333333333333</x:v>
      </x:c>
      <x:c r="AN25" s="112" t="n">
        <x:f>IF(COUNT(L25,U25,AD25)=0,"",AVERAGE(L25,U25,AD25))</x:f>
        <x:v>7</x:v>
      </x:c>
      <x:c r="AO25" s="112" t="n">
        <x:f>IF(COUNT(M25,V25,AE25)=0,"",AVERAGE(M25,V25,AE25))</x:f>
        <x:v>1.3333333333333333</x:v>
      </x:c>
    </x:row>
    <x:row r="26">
      <x:c r="A26" s="107" t="str">
        <x:v>Trey McBride</x:v>
      </x:c>
      <x:c r="B26" s="108" t="str">
        <x:v>TE</x:v>
      </x:c>
      <x:c r="C26" s="108" t="str">
        <x:v>ARI</x:v>
      </x:c>
      <x:c r="D26" s="109" t="n">
        <x:v>14</x:v>
      </x:c>
      <x:c r="E26" s="109" t="n">
        <x:f>IFERROR(VLOOKUP($A26,'Mike FLEX'!$A$6:$N$278,5,FALSE),"")</x:f>
        <x:v>26</x:v>
      </x:c>
      <x:c r="F26" s="110" t="n">
        <x:f>IFERROR(VLOOKUP($A26,'Mike FLEX'!$A$6:$N$278,6,FALSE),"")</x:f>
        <x:v>14.7</x:v>
      </x:c>
      <x:c r="G26" s="111" t="n">
        <x:f>IFERROR(VLOOKUP($A26,'Mike FLEX'!$A$6:$N$278,7,FALSE),"")</x:f>
        <x:v>0</x:v>
      </x:c>
      <x:c r="H26" s="111" t="n">
        <x:f>IFERROR(VLOOKUP($A26,'Mike FLEX'!$A$6:$N$278,8,FALSE),"")</x:f>
        <x:v>0</x:v>
      </x:c>
      <x:c r="I26" s="111" t="n">
        <x:f>IFERROR(VLOOKUP($A26,'Mike FLEX'!$A$6:$N$278,9,FALSE),"")</x:f>
        <x:v>0</x:v>
      </x:c>
      <x:c r="J26" s="111" t="n">
        <x:f>IFERROR(VLOOKUP($A26,'Mike FLEX'!$A$6:$N$278,10,FALSE),"")</x:f>
        <x:v>104</x:v>
      </x:c>
      <x:c r="K26" s="111" t="n">
        <x:f>IFERROR(VLOOKUP($A26,'Mike FLEX'!$A$6:$N$278,11,FALSE),"")</x:f>
        <x:v>1038</x:v>
      </x:c>
      <x:c r="L26" s="111" t="n">
        <x:f>IFERROR(VLOOKUP($A26,'Mike FLEX'!$A$6:$N$278,12,FALSE),"")</x:f>
        <x:v>7</x:v>
      </x:c>
      <x:c r="M26" s="111" t="n">
        <x:f>IFERROR(VLOOKUP($A26,'Mike FLEX'!$A$6:$N$278,13,FALSE),"")</x:f>
        <x:v>0</x:v>
      </x:c>
      <x:c r="N26" s="109" t="n">
        <x:f>IFERROR(VLOOKUP($A26,'Andy FLEX'!$A$6:$N$278,5,FALSE),"")</x:f>
        <x:v>11</x:v>
      </x:c>
      <x:c r="O26" s="110" t="n">
        <x:f>IFERROR(VLOOKUP($A26,'Andy FLEX'!$A$6:$N$278,6,FALSE),"")</x:f>
        <x:v>16.1</x:v>
      </x:c>
      <x:c r="P26" s="111" t="n">
        <x:f>IFERROR(VLOOKUP($A26,'Andy FLEX'!$A$6:$N$278,7,FALSE),"")</x:f>
        <x:v>0</x:v>
      </x:c>
      <x:c r="Q26" s="111" t="n">
        <x:f>IFERROR(VLOOKUP($A26,'Andy FLEX'!$A$6:$N$278,8,FALSE),"")</x:f>
        <x:v>0</x:v>
      </x:c>
      <x:c r="R26" s="111" t="n">
        <x:f>IFERROR(VLOOKUP($A26,'Andy FLEX'!$A$6:$N$278,9,FALSE),"")</x:f>
        <x:v>0</x:v>
      </x:c>
      <x:c r="S26" s="111" t="n">
        <x:f>IFERROR(VLOOKUP($A26,'Andy FLEX'!$A$6:$N$278,10,FALSE),"")</x:f>
        <x:v>109</x:v>
      </x:c>
      <x:c r="T26" s="111" t="n">
        <x:f>IFERROR(VLOOKUP($A26,'Andy FLEX'!$A$6:$N$278,11,FALSE),"")</x:f>
        <x:v>1123</x:v>
      </x:c>
      <x:c r="U26" s="111" t="n">
        <x:f>IFERROR(VLOOKUP($A26,'Andy FLEX'!$A$6:$N$278,12,FALSE),"")</x:f>
        <x:v>9</x:v>
      </x:c>
      <x:c r="V26" s="111" t="n">
        <x:f>IFERROR(VLOOKUP($A26,'Andy FLEX'!$A$6:$N$278,13,FALSE),"")</x:f>
        <x:v>1</x:v>
      </x:c>
      <x:c r="W26" s="109" t="n">
        <x:f>IFERROR(VLOOKUP($A26,'Jason FLEX'!$A$6:$N$268,5,FALSE),"")</x:f>
        <x:v>27</x:v>
      </x:c>
      <x:c r="X26" s="110" t="n">
        <x:f>IFERROR(VLOOKUP($A26,'Jason FLEX'!$A$6:$N$268,6,FALSE),"")</x:f>
        <x:v>14.9</x:v>
      </x:c>
      <x:c r="Y26" s="111" t="n">
        <x:f>IFERROR(VLOOKUP($A26,'Jason FLEX'!$A$6:$N$268,7,FALSE),"")</x:f>
        <x:v>0</x:v>
      </x:c>
      <x:c r="Z26" s="111" t="n">
        <x:f>IFERROR(VLOOKUP($A26,'Jason FLEX'!$A$6:$N$268,8,FALSE),"")</x:f>
        <x:v>0</x:v>
      </x:c>
      <x:c r="AA26" s="111" t="n">
        <x:f>IFERROR(VLOOKUP($A26,'Jason FLEX'!$A$6:$N$268,9,FALSE),"")</x:f>
        <x:v>0</x:v>
      </x:c>
      <x:c r="AB26" s="111" t="n">
        <x:f>IFERROR(VLOOKUP($A26,'Jason FLEX'!$A$6:$N$268,10,FALSE),"")</x:f>
        <x:v>108</x:v>
      </x:c>
      <x:c r="AC26" s="111" t="n">
        <x:f>IFERROR(VLOOKUP($A26,'Jason FLEX'!$A$6:$N$268,11,FALSE),"")</x:f>
        <x:v>1036</x:v>
      </x:c>
      <x:c r="AD26" s="111" t="n">
        <x:f>IFERROR(VLOOKUP($A26,'Jason FLEX'!$A$6:$N$268,12,FALSE),"")</x:f>
        <x:v>7</x:v>
      </x:c>
      <x:c r="AE26" s="111" t="n">
        <x:f>IFERROR(VLOOKUP($A26,'Jason FLEX'!$A$6:$N$268,13,FALSE),"")</x:f>
        <x:v>0</x:v>
      </x:c>
      <x:c r="AF26" s="110" t="n">
        <x:f>IF(COUNT(E26,N26,W26)=0,"",AVERAGE(E26,N26,W26))</x:f>
        <x:v>21.333333333333332</x:v>
      </x:c>
      <x:c r="AG26" s="110" t="n">
        <x:f>IF(COUNT(E26,N26,W26)=0,"",MAX(E26,N26,W26)-MIN(E26,N26,W26))</x:f>
        <x:v>16</x:v>
      </x:c>
      <x:c r="AH26" s="110" t="n">
        <x:f>IF(COUNT(F26,O26,X26)=0,"",AVERAGE(F26,O26,X26))</x:f>
        <x:v>15.233333333333334</x:v>
      </x:c>
      <x:c r="AI26" s="112" t="n">
        <x:f>IF(COUNT(G26,P26,Y26)=0,"",AVERAGE(G26,P26,Y26))</x:f>
        <x:v>0</x:v>
      </x:c>
      <x:c r="AJ26" s="112" t="n">
        <x:f>IF(COUNT(H26,Q26,Z26)=0,"",AVERAGE(H26,Q26,Z26))</x:f>
        <x:v>0</x:v>
      </x:c>
      <x:c r="AK26" s="112" t="n">
        <x:f>IF(COUNT(I26,R26,AA26)=0,"",AVERAGE(I26,R26,AA26))</x:f>
        <x:v>0</x:v>
      </x:c>
      <x:c r="AL26" s="112" t="n">
        <x:f>IF(COUNT(J26,S26,AB26)=0,"",AVERAGE(J26,S26,AB26))</x:f>
        <x:v>107</x:v>
      </x:c>
      <x:c r="AM26" s="112" t="n">
        <x:f>IF(COUNT(K26,T26,AC26)=0,"",AVERAGE(K26,T26,AC26))</x:f>
        <x:v>1065.6666666666667</x:v>
      </x:c>
      <x:c r="AN26" s="112" t="n">
        <x:f>IF(COUNT(L26,U26,AD26)=0,"",AVERAGE(L26,U26,AD26))</x:f>
        <x:v>7.666666666666667</x:v>
      </x:c>
      <x:c r="AO26" s="112" t="n">
        <x:f>IF(COUNT(M26,V26,AE26)=0,"",AVERAGE(M26,V26,AE26))</x:f>
        <x:v>0.3333333333333333</x:v>
      </x:c>
    </x:row>
    <x:row r="27">
      <x:c r="A27" s="107" t="str">
        <x:v>Omarion Hampton</x:v>
      </x:c>
      <x:c r="B27" s="108" t="str">
        <x:v>RB</x:v>
      </x:c>
      <x:c r="C27" s="108" t="str">
        <x:v>LAC</x:v>
      </x:c>
      <x:c r="D27" s="109" t="n">
        <x:v>7</x:v>
      </x:c>
      <x:c r="E27" s="109" t="n">
        <x:f>IFERROR(VLOOKUP($A27,'Mike FLEX'!$A$6:$N$278,5,FALSE),"")</x:f>
        <x:v>28</x:v>
      </x:c>
      <x:c r="F27" s="110" t="n">
        <x:f>IFERROR(VLOOKUP($A27,'Mike FLEX'!$A$6:$N$278,6,FALSE),"")</x:f>
        <x:v>14.6</x:v>
      </x:c>
      <x:c r="G27" s="111" t="n">
        <x:f>IFERROR(VLOOKUP($A27,'Mike FLEX'!$A$6:$N$278,7,FALSE),"")</x:f>
        <x:v>245</x:v>
      </x:c>
      <x:c r="H27" s="111" t="n">
        <x:f>IFERROR(VLOOKUP($A27,'Mike FLEX'!$A$6:$N$278,8,FALSE),"")</x:f>
        <x:v>1076</x:v>
      </x:c>
      <x:c r="I27" s="111" t="n">
        <x:f>IFERROR(VLOOKUP($A27,'Mike FLEX'!$A$6:$N$278,9,FALSE),"")</x:f>
        <x:v>8</x:v>
      </x:c>
      <x:c r="J27" s="111" t="n">
        <x:f>IFERROR(VLOOKUP($A27,'Mike FLEX'!$A$6:$N$278,10,FALSE),"")</x:f>
        <x:v>54</x:v>
      </x:c>
      <x:c r="K27" s="111" t="n">
        <x:f>IFERROR(VLOOKUP($A27,'Mike FLEX'!$A$6:$N$278,11,FALSE),"")</x:f>
        <x:v>329</x:v>
      </x:c>
      <x:c r="L27" s="111" t="n">
        <x:f>IFERROR(VLOOKUP($A27,'Mike FLEX'!$A$6:$N$278,12,FALSE),"")</x:f>
        <x:v>2</x:v>
      </x:c>
      <x:c r="M27" s="111" t="n">
        <x:f>IFERROR(VLOOKUP($A27,'Mike FLEX'!$A$6:$N$278,13,FALSE),"")</x:f>
        <x:v>1</x:v>
      </x:c>
      <x:c r="N27" s="109" t="n">
        <x:f>IFERROR(VLOOKUP($A27,'Andy FLEX'!$A$6:$N$278,5,FALSE),"")</x:f>
        <x:v>17</x:v>
      </x:c>
      <x:c r="O27" s="110" t="n">
        <x:f>IFERROR(VLOOKUP($A27,'Andy FLEX'!$A$6:$N$278,6,FALSE),"")</x:f>
        <x:v>14.7</x:v>
      </x:c>
      <x:c r="P27" s="111" t="n">
        <x:f>IFERROR(VLOOKUP($A27,'Andy FLEX'!$A$6:$N$278,7,FALSE),"")</x:f>
        <x:v>235</x:v>
      </x:c>
      <x:c r="Q27" s="111" t="n">
        <x:f>IFERROR(VLOOKUP($A27,'Andy FLEX'!$A$6:$N$278,8,FALSE),"")</x:f>
        <x:v>1056</x:v>
      </x:c>
      <x:c r="R27" s="111" t="n">
        <x:f>IFERROR(VLOOKUP($A27,'Andy FLEX'!$A$6:$N$278,9,FALSE),"")</x:f>
        <x:v>10</x:v>
      </x:c>
      <x:c r="S27" s="111" t="n">
        <x:f>IFERROR(VLOOKUP($A27,'Andy FLEX'!$A$6:$N$278,10,FALSE),"")</x:f>
        <x:v>46</x:v>
      </x:c>
      <x:c r="T27" s="111" t="n">
        <x:f>IFERROR(VLOOKUP($A27,'Andy FLEX'!$A$6:$N$278,11,FALSE),"")</x:f>
        <x:v>310</x:v>
      </x:c>
      <x:c r="U27" s="111" t="n">
        <x:f>IFERROR(VLOOKUP($A27,'Andy FLEX'!$A$6:$N$278,12,FALSE),"")</x:f>
        <x:v>2</x:v>
      </x:c>
      <x:c r="V27" s="111" t="n">
        <x:f>IFERROR(VLOOKUP($A27,'Andy FLEX'!$A$6:$N$278,13,FALSE),"")</x:f>
        <x:v>2</x:v>
      </x:c>
      <x:c r="W27" s="109" t="n">
        <x:f>IFERROR(VLOOKUP($A27,'Jason FLEX'!$A$6:$N$268,5,FALSE),"")</x:f>
        <x:v>21</x:v>
      </x:c>
      <x:c r="X27" s="110" t="n">
        <x:f>IFERROR(VLOOKUP($A27,'Jason FLEX'!$A$6:$N$268,6,FALSE),"")</x:f>
        <x:v>15.2</x:v>
      </x:c>
      <x:c r="Y27" s="111" t="n">
        <x:f>IFERROR(VLOOKUP($A27,'Jason FLEX'!$A$6:$N$268,7,FALSE),"")</x:f>
        <x:v>242</x:v>
      </x:c>
      <x:c r="Z27" s="111" t="n">
        <x:f>IFERROR(VLOOKUP($A27,'Jason FLEX'!$A$6:$N$268,8,FALSE),"")</x:f>
        <x:v>1220</x:v>
      </x:c>
      <x:c r="AA27" s="111" t="n">
        <x:f>IFERROR(VLOOKUP($A27,'Jason FLEX'!$A$6:$N$268,9,FALSE),"")</x:f>
        <x:v>12</x:v>
      </x:c>
      <x:c r="AB27" s="111" t="n">
        <x:f>IFERROR(VLOOKUP($A27,'Jason FLEX'!$A$6:$N$268,10,FALSE),"")</x:f>
        <x:v>31</x:v>
      </x:c>
      <x:c r="AC27" s="111" t="n">
        <x:f>IFERROR(VLOOKUP($A27,'Jason FLEX'!$A$6:$N$268,11,FALSE),"")</x:f>
        <x:v>259</x:v>
      </x:c>
      <x:c r="AD27" s="111" t="n">
        <x:f>IFERROR(VLOOKUP($A27,'Jason FLEX'!$A$6:$N$268,12,FALSE),"")</x:f>
        <x:v>2</x:v>
      </x:c>
      <x:c r="AE27" s="111" t="n">
        <x:f>IFERROR(VLOOKUP($A27,'Jason FLEX'!$A$6:$N$268,13,FALSE),"")</x:f>
        <x:v>1</x:v>
      </x:c>
      <x:c r="AF27" s="110" t="n">
        <x:f>IF(COUNT(E27,N27,W27)=0,"",AVERAGE(E27,N27,W27))</x:f>
        <x:v>22</x:v>
      </x:c>
      <x:c r="AG27" s="110" t="n">
        <x:f>IF(COUNT(E27,N27,W27)=0,"",MAX(E27,N27,W27)-MIN(E27,N27,W27))</x:f>
        <x:v>11</x:v>
      </x:c>
      <x:c r="AH27" s="110" t="n">
        <x:f>IF(COUNT(F27,O27,X27)=0,"",AVERAGE(F27,O27,X27))</x:f>
        <x:v>14.833333333333334</x:v>
      </x:c>
      <x:c r="AI27" s="112" t="n">
        <x:f>IF(COUNT(G27,P27,Y27)=0,"",AVERAGE(G27,P27,Y27))</x:f>
        <x:v>240.66666666666666</x:v>
      </x:c>
      <x:c r="AJ27" s="112" t="n">
        <x:f>IF(COUNT(H27,Q27,Z27)=0,"",AVERAGE(H27,Q27,Z27))</x:f>
        <x:v>1117.3333333333333</x:v>
      </x:c>
      <x:c r="AK27" s="112" t="n">
        <x:f>IF(COUNT(I27,R27,AA27)=0,"",AVERAGE(I27,R27,AA27))</x:f>
        <x:v>10</x:v>
      </x:c>
      <x:c r="AL27" s="112" t="n">
        <x:f>IF(COUNT(J27,S27,AB27)=0,"",AVERAGE(J27,S27,AB27))</x:f>
        <x:v>43.666666666666664</x:v>
      </x:c>
      <x:c r="AM27" s="112" t="n">
        <x:f>IF(COUNT(K27,T27,AC27)=0,"",AVERAGE(K27,T27,AC27))</x:f>
        <x:v>299.3333333333333</x:v>
      </x:c>
      <x:c r="AN27" s="112" t="n">
        <x:f>IF(COUNT(L27,U27,AD27)=0,"",AVERAGE(L27,U27,AD27))</x:f>
        <x:v>2</x:v>
      </x:c>
      <x:c r="AO27" s="112" t="n">
        <x:f>IF(COUNT(M27,V27,AE27)=0,"",AVERAGE(M27,V27,AE27))</x:f>
        <x:v>1.3333333333333333</x:v>
      </x:c>
    </x:row>
    <x:row r="28">
      <x:c r="A28" s="107" t="str">
        <x:v>George Pickens</x:v>
      </x:c>
      <x:c r="B28" s="108" t="str">
        <x:v>WR</x:v>
      </x:c>
      <x:c r="C28" s="108" t="str">
        <x:v>DAL</x:v>
      </x:c>
      <x:c r="D28" s="109" t="n">
        <x:v>14</x:v>
      </x:c>
      <x:c r="E28" s="109" t="n">
        <x:f>IFERROR(VLOOKUP($A28,'Mike FLEX'!$A$6:$N$278,5,FALSE),"")</x:f>
        <x:v>27</x:v>
      </x:c>
      <x:c r="F28" s="110" t="n">
        <x:f>IFERROR(VLOOKUP($A28,'Mike FLEX'!$A$6:$N$278,6,FALSE),"")</x:f>
        <x:v>14.7</x:v>
      </x:c>
      <x:c r="G28" s="111" t="n">
        <x:f>IFERROR(VLOOKUP($A28,'Mike FLEX'!$A$6:$N$278,7,FALSE),"")</x:f>
        <x:v>0</x:v>
      </x:c>
      <x:c r="H28" s="111" t="n">
        <x:f>IFERROR(VLOOKUP($A28,'Mike FLEX'!$A$6:$N$278,8,FALSE),"")</x:f>
        <x:v>0</x:v>
      </x:c>
      <x:c r="I28" s="111" t="n">
        <x:f>IFERROR(VLOOKUP($A28,'Mike FLEX'!$A$6:$N$278,9,FALSE),"")</x:f>
        <x:v>0</x:v>
      </x:c>
      <x:c r="J28" s="111" t="n">
        <x:f>IFERROR(VLOOKUP($A28,'Mike FLEX'!$A$6:$N$278,10,FALSE),"")</x:f>
        <x:v>86</x:v>
      </x:c>
      <x:c r="K28" s="111" t="n">
        <x:f>IFERROR(VLOOKUP($A28,'Mike FLEX'!$A$6:$N$278,11,FALSE),"")</x:f>
        <x:v>1297</x:v>
      </x:c>
      <x:c r="L28" s="111" t="n">
        <x:f>IFERROR(VLOOKUP($A28,'Mike FLEX'!$A$6:$N$278,12,FALSE),"")</x:f>
        <x:v>7</x:v>
      </x:c>
      <x:c r="M28" s="111" t="n">
        <x:f>IFERROR(VLOOKUP($A28,'Mike FLEX'!$A$6:$N$278,13,FALSE),"")</x:f>
        <x:v>3</x:v>
      </x:c>
      <x:c r="N28" s="109" t="n">
        <x:f>IFERROR(VLOOKUP($A28,'Andy FLEX'!$A$6:$N$278,5,FALSE),"")</x:f>
        <x:v>16</x:v>
      </x:c>
      <x:c r="O28" s="110" t="n">
        <x:f>IFERROR(VLOOKUP($A28,'Andy FLEX'!$A$6:$N$278,6,FALSE),"")</x:f>
        <x:v>14.7</x:v>
      </x:c>
      <x:c r="P28" s="111" t="n">
        <x:f>IFERROR(VLOOKUP($A28,'Andy FLEX'!$A$6:$N$278,7,FALSE),"")</x:f>
        <x:v>3</x:v>
      </x:c>
      <x:c r="Q28" s="111" t="n">
        <x:f>IFERROR(VLOOKUP($A28,'Andy FLEX'!$A$6:$N$278,8,FALSE),"")</x:f>
        <x:v>16</x:v>
      </x:c>
      <x:c r="R28" s="111" t="n">
        <x:f>IFERROR(VLOOKUP($A28,'Andy FLEX'!$A$6:$N$278,9,FALSE),"")</x:f>
        <x:v>0</x:v>
      </x:c>
      <x:c r="S28" s="111" t="n">
        <x:f>IFERROR(VLOOKUP($A28,'Andy FLEX'!$A$6:$N$278,10,FALSE),"")</x:f>
        <x:v>84</x:v>
      </x:c>
      <x:c r="T28" s="111" t="n">
        <x:f>IFERROR(VLOOKUP($A28,'Andy FLEX'!$A$6:$N$278,11,FALSE),"")</x:f>
        <x:v>1201</x:v>
      </x:c>
      <x:c r="U28" s="111" t="n">
        <x:f>IFERROR(VLOOKUP($A28,'Andy FLEX'!$A$6:$N$278,12,FALSE),"")</x:f>
        <x:v>8</x:v>
      </x:c>
      <x:c r="V28" s="111" t="n">
        <x:f>IFERROR(VLOOKUP($A28,'Andy FLEX'!$A$6:$N$278,13,FALSE),"")</x:f>
        <x:v>1</x:v>
      </x:c>
      <x:c r="W28" s="109" t="n">
        <x:f>IFERROR(VLOOKUP($A28,'Jason FLEX'!$A$6:$N$268,5,FALSE),"")</x:f>
        <x:v>24</x:v>
      </x:c>
      <x:c r="X28" s="110" t="n">
        <x:f>IFERROR(VLOOKUP($A28,'Jason FLEX'!$A$6:$N$268,6,FALSE),"")</x:f>
        <x:v>15</x:v>
      </x:c>
      <x:c r="Y28" s="111" t="n">
        <x:f>IFERROR(VLOOKUP($A28,'Jason FLEX'!$A$6:$N$268,7,FALSE),"")</x:f>
        <x:v>0</x:v>
      </x:c>
      <x:c r="Z28" s="111" t="n">
        <x:f>IFERROR(VLOOKUP($A28,'Jason FLEX'!$A$6:$N$268,8,FALSE),"")</x:f>
        <x:v>0</x:v>
      </x:c>
      <x:c r="AA28" s="111" t="n">
        <x:f>IFERROR(VLOOKUP($A28,'Jason FLEX'!$A$6:$N$268,9,FALSE),"")</x:f>
        <x:v>0</x:v>
      </x:c>
      <x:c r="AB28" s="111" t="n">
        <x:f>IFERROR(VLOOKUP($A28,'Jason FLEX'!$A$6:$N$268,10,FALSE),"")</x:f>
        <x:v>84</x:v>
      </x:c>
      <x:c r="AC28" s="111" t="n">
        <x:f>IFERROR(VLOOKUP($A28,'Jason FLEX'!$A$6:$N$268,11,FALSE),"")</x:f>
        <x:v>1278</x:v>
      </x:c>
      <x:c r="AD28" s="111" t="n">
        <x:f>IFERROR(VLOOKUP($A28,'Jason FLEX'!$A$6:$N$268,12,FALSE),"")</x:f>
        <x:v>8</x:v>
      </x:c>
      <x:c r="AE28" s="111" t="n">
        <x:f>IFERROR(VLOOKUP($A28,'Jason FLEX'!$A$6:$N$268,13,FALSE),"")</x:f>
        <x:v>2</x:v>
      </x:c>
      <x:c r="AF28" s="110" t="n">
        <x:f>IF(COUNT(E28,N28,W28)=0,"",AVERAGE(E28,N28,W28))</x:f>
        <x:v>22.333333333333332</x:v>
      </x:c>
      <x:c r="AG28" s="110" t="n">
        <x:f>IF(COUNT(E28,N28,W28)=0,"",MAX(E28,N28,W28)-MIN(E28,N28,W28))</x:f>
        <x:v>11</x:v>
      </x:c>
      <x:c r="AH28" s="110" t="n">
        <x:f>IF(COUNT(F28,O28,X28)=0,"",AVERAGE(F28,O28,X28))</x:f>
        <x:v>14.799999999999999</x:v>
      </x:c>
      <x:c r="AI28" s="112" t="n">
        <x:f>IF(COUNT(G28,P28,Y28)=0,"",AVERAGE(G28,P28,Y28))</x:f>
        <x:v>1</x:v>
      </x:c>
      <x:c r="AJ28" s="112" t="n">
        <x:f>IF(COUNT(H28,Q28,Z28)=0,"",AVERAGE(H28,Q28,Z28))</x:f>
        <x:v>5.333333333333333</x:v>
      </x:c>
      <x:c r="AK28" s="112" t="n">
        <x:f>IF(COUNT(I28,R28,AA28)=0,"",AVERAGE(I28,R28,AA28))</x:f>
        <x:v>0</x:v>
      </x:c>
      <x:c r="AL28" s="112" t="n">
        <x:f>IF(COUNT(J28,S28,AB28)=0,"",AVERAGE(J28,S28,AB28))</x:f>
        <x:v>84.66666666666667</x:v>
      </x:c>
      <x:c r="AM28" s="112" t="n">
        <x:f>IF(COUNT(K28,T28,AC28)=0,"",AVERAGE(K28,T28,AC28))</x:f>
        <x:v>1258.6666666666667</x:v>
      </x:c>
      <x:c r="AN28" s="112" t="n">
        <x:f>IF(COUNT(L28,U28,AD28)=0,"",AVERAGE(L28,U28,AD28))</x:f>
        <x:v>7.666666666666667</x:v>
      </x:c>
      <x:c r="AO28" s="112" t="n">
        <x:f>IF(COUNT(M28,V28,AE28)=0,"",AVERAGE(M28,V28,AE28))</x:f>
        <x:v>2</x:v>
      </x:c>
    </x:row>
    <x:row r="29">
      <x:c r="A29" s="107" t="str">
        <x:v>Rashee Rice</x:v>
      </x:c>
      <x:c r="B29" s="108" t="str">
        <x:v>WR</x:v>
      </x:c>
      <x:c r="C29" s="108" t="str">
        <x:v>KC</x:v>
      </x:c>
      <x:c r="D29" s="109" t="n">
        <x:v>5</x:v>
      </x:c>
      <x:c r="E29" s="109" t="n">
        <x:f>IFERROR(VLOOKUP($A29,'Mike FLEX'!$A$6:$N$278,5,FALSE),"")</x:f>
        <x:v>19</x:v>
      </x:c>
      <x:c r="F29" s="110" t="n">
        <x:f>IFERROR(VLOOKUP($A29,'Mike FLEX'!$A$6:$N$278,6,FALSE),"")</x:f>
        <x:v>15</x:v>
      </x:c>
      <x:c r="G29" s="111" t="n">
        <x:f>IFERROR(VLOOKUP($A29,'Mike FLEX'!$A$6:$N$278,7,FALSE),"")</x:f>
        <x:v>3</x:v>
      </x:c>
      <x:c r="H29" s="111" t="n">
        <x:f>IFERROR(VLOOKUP($A29,'Mike FLEX'!$A$6:$N$278,8,FALSE),"")</x:f>
        <x:v>10</x:v>
      </x:c>
      <x:c r="I29" s="111" t="n">
        <x:f>IFERROR(VLOOKUP($A29,'Mike FLEX'!$A$6:$N$278,9,FALSE),"")</x:f>
        <x:v>0</x:v>
      </x:c>
      <x:c r="J29" s="111" t="n">
        <x:f>IFERROR(VLOOKUP($A29,'Mike FLEX'!$A$6:$N$278,10,FALSE),"")</x:f>
        <x:v>102</x:v>
      </x:c>
      <x:c r="K29" s="111" t="n">
        <x:f>IFERROR(VLOOKUP($A29,'Mike FLEX'!$A$6:$N$278,11,FALSE),"")</x:f>
        <x:v>1125</x:v>
      </x:c>
      <x:c r="L29" s="111" t="n">
        <x:f>IFERROR(VLOOKUP($A29,'Mike FLEX'!$A$6:$N$278,12,FALSE),"")</x:f>
        <x:v>7</x:v>
      </x:c>
      <x:c r="M29" s="111" t="n">
        <x:f>IFERROR(VLOOKUP($A29,'Mike FLEX'!$A$6:$N$278,13,FALSE),"")</x:f>
        <x:v>1</x:v>
      </x:c>
      <x:c r="N29" s="109" t="n">
        <x:f>IFERROR(VLOOKUP($A29,'Andy FLEX'!$A$6:$N$278,5,FALSE),"")</x:f>
        <x:v>31</x:v>
      </x:c>
      <x:c r="O29" s="110" t="n">
        <x:f>IFERROR(VLOOKUP($A29,'Andy FLEX'!$A$6:$N$278,6,FALSE),"")</x:f>
        <x:v>13.9</x:v>
      </x:c>
      <x:c r="P29" s="111" t="n">
        <x:f>IFERROR(VLOOKUP($A29,'Andy FLEX'!$A$6:$N$278,7,FALSE),"")</x:f>
        <x:v>10</x:v>
      </x:c>
      <x:c r="Q29" s="111" t="n">
        <x:f>IFERROR(VLOOKUP($A29,'Andy FLEX'!$A$6:$N$278,8,FALSE),"")</x:f>
        <x:v>38</x:v>
      </x:c>
      <x:c r="R29" s="111" t="n">
        <x:f>IFERROR(VLOOKUP($A29,'Andy FLEX'!$A$6:$N$278,9,FALSE),"")</x:f>
        <x:v>1</x:v>
      </x:c>
      <x:c r="S29" s="111" t="n">
        <x:f>IFERROR(VLOOKUP($A29,'Andy FLEX'!$A$6:$N$278,10,FALSE),"")</x:f>
        <x:v>80</x:v>
      </x:c>
      <x:c r="T29" s="111" t="n">
        <x:f>IFERROR(VLOOKUP($A29,'Andy FLEX'!$A$6:$N$278,11,FALSE),"")</x:f>
        <x:v>1027</x:v>
      </x:c>
      <x:c r="U29" s="111" t="n">
        <x:f>IFERROR(VLOOKUP($A29,'Andy FLEX'!$A$6:$N$278,12,FALSE),"")</x:f>
        <x:v>8</x:v>
      </x:c>
      <x:c r="V29" s="111" t="n">
        <x:f>IFERROR(VLOOKUP($A29,'Andy FLEX'!$A$6:$N$278,13,FALSE),"")</x:f>
        <x:v>1</x:v>
      </x:c>
      <x:c r="W29" s="109" t="n">
        <x:f>IFERROR(VLOOKUP($A29,'Jason FLEX'!$A$6:$N$268,5,FALSE),"")</x:f>
        <x:v>17</x:v>
      </x:c>
      <x:c r="X29" s="110" t="n">
        <x:f>IFERROR(VLOOKUP($A29,'Jason FLEX'!$A$6:$N$268,6,FALSE),"")</x:f>
        <x:v>15.4</x:v>
      </x:c>
      <x:c r="Y29" s="111" t="n">
        <x:f>IFERROR(VLOOKUP($A29,'Jason FLEX'!$A$6:$N$268,7,FALSE),"")</x:f>
        <x:v>5</x:v>
      </x:c>
      <x:c r="Z29" s="111" t="n">
        <x:f>IFERROR(VLOOKUP($A29,'Jason FLEX'!$A$6:$N$268,8,FALSE),"")</x:f>
        <x:v>20</x:v>
      </x:c>
      <x:c r="AA29" s="111" t="n">
        <x:f>IFERROR(VLOOKUP($A29,'Jason FLEX'!$A$6:$N$268,9,FALSE),"")</x:f>
        <x:v>1</x:v>
      </x:c>
      <x:c r="AB29" s="111" t="n">
        <x:f>IFERROR(VLOOKUP($A29,'Jason FLEX'!$A$6:$N$268,10,FALSE),"")</x:f>
        <x:v>97</x:v>
      </x:c>
      <x:c r="AC29" s="111" t="n">
        <x:f>IFERROR(VLOOKUP($A29,'Jason FLEX'!$A$6:$N$268,11,FALSE),"")</x:f>
        <x:v>1143</x:v>
      </x:c>
      <x:c r="AD29" s="111" t="n">
        <x:f>IFERROR(VLOOKUP($A29,'Jason FLEX'!$A$6:$N$268,12,FALSE),"")</x:f>
        <x:v>8</x:v>
      </x:c>
      <x:c r="AE29" s="111" t="n">
        <x:f>IFERROR(VLOOKUP($A29,'Jason FLEX'!$A$6:$N$268,13,FALSE),"")</x:f>
        <x:v>1</x:v>
      </x:c>
      <x:c r="AF29" s="110" t="n">
        <x:f>IF(COUNT(E29,N29,W29)=0,"",AVERAGE(E29,N29,W29))</x:f>
        <x:v>22.333333333333332</x:v>
      </x:c>
      <x:c r="AG29" s="110" t="n">
        <x:f>IF(COUNT(E29,N29,W29)=0,"",MAX(E29,N29,W29)-MIN(E29,N29,W29))</x:f>
        <x:v>14</x:v>
      </x:c>
      <x:c r="AH29" s="110" t="n">
        <x:f>IF(COUNT(F29,O29,X29)=0,"",AVERAGE(F29,O29,X29))</x:f>
        <x:v>14.766666666666666</x:v>
      </x:c>
      <x:c r="AI29" s="112" t="n">
        <x:f>IF(COUNT(G29,P29,Y29)=0,"",AVERAGE(G29,P29,Y29))</x:f>
        <x:v>6</x:v>
      </x:c>
      <x:c r="AJ29" s="112" t="n">
        <x:f>IF(COUNT(H29,Q29,Z29)=0,"",AVERAGE(H29,Q29,Z29))</x:f>
        <x:v>22.666666666666668</x:v>
      </x:c>
      <x:c r="AK29" s="112" t="n">
        <x:f>IF(COUNT(I29,R29,AA29)=0,"",AVERAGE(I29,R29,AA29))</x:f>
        <x:v>0.6666666666666666</x:v>
      </x:c>
      <x:c r="AL29" s="112" t="n">
        <x:f>IF(COUNT(J29,S29,AB29)=0,"",AVERAGE(J29,S29,AB29))</x:f>
        <x:v>93</x:v>
      </x:c>
      <x:c r="AM29" s="112" t="n">
        <x:f>IF(COUNT(K29,T29,AC29)=0,"",AVERAGE(K29,T29,AC29))</x:f>
        <x:v>1098.3333333333333</x:v>
      </x:c>
      <x:c r="AN29" s="112" t="n">
        <x:f>IF(COUNT(L29,U29,AD29)=0,"",AVERAGE(L29,U29,AD29))</x:f>
        <x:v>7.666666666666667</x:v>
      </x:c>
      <x:c r="AO29" s="112" t="n">
        <x:f>IF(COUNT(M29,V29,AE29)=0,"",AVERAGE(M29,V29,AE29))</x:f>
        <x:v>1</x:v>
      </x:c>
    </x:row>
    <x:row r="30">
      <x:c r="A30" s="107" t="str">
        <x:v>Malik Nabers</x:v>
      </x:c>
      <x:c r="B30" s="108" t="str">
        <x:v>WR</x:v>
      </x:c>
      <x:c r="C30" s="108" t="str">
        <x:v>NYG</x:v>
      </x:c>
      <x:c r="D30" s="109" t="n">
        <x:v>8</x:v>
      </x:c>
      <x:c r="E30" s="109" t="n">
        <x:f>IFERROR(VLOOKUP($A30,'Mike FLEX'!$A$6:$N$278,5,FALSE),"")</x:f>
        <x:v>22</x:v>
      </x:c>
      <x:c r="F30" s="110" t="n">
        <x:f>IFERROR(VLOOKUP($A30,'Mike FLEX'!$A$6:$N$278,6,FALSE),"")</x:f>
        <x:v>14.7</x:v>
      </x:c>
      <x:c r="G30" s="111" t="n">
        <x:f>IFERROR(VLOOKUP($A30,'Mike FLEX'!$A$6:$N$278,7,FALSE),"")</x:f>
        <x:v>0</x:v>
      </x:c>
      <x:c r="H30" s="111" t="n">
        <x:f>IFERROR(VLOOKUP($A30,'Mike FLEX'!$A$6:$N$278,8,FALSE),"")</x:f>
        <x:v>0</x:v>
      </x:c>
      <x:c r="I30" s="111" t="n">
        <x:f>IFERROR(VLOOKUP($A30,'Mike FLEX'!$A$6:$N$278,9,FALSE),"")</x:f>
        <x:v>0</x:v>
      </x:c>
      <x:c r="J30" s="111" t="n">
        <x:f>IFERROR(VLOOKUP($A30,'Mike FLEX'!$A$6:$N$278,10,FALSE),"")</x:f>
        <x:v>88</x:v>
      </x:c>
      <x:c r="K30" s="111" t="n">
        <x:f>IFERROR(VLOOKUP($A30,'Mike FLEX'!$A$6:$N$278,11,FALSE),"")</x:f>
        <x:v>1192</x:v>
      </x:c>
      <x:c r="L30" s="111" t="n">
        <x:f>IFERROR(VLOOKUP($A30,'Mike FLEX'!$A$6:$N$278,12,FALSE),"")</x:f>
        <x:v>7</x:v>
      </x:c>
      <x:c r="M30" s="111" t="n">
        <x:f>IFERROR(VLOOKUP($A30,'Mike FLEX'!$A$6:$N$278,13,FALSE),"")</x:f>
        <x:v>0</x:v>
      </x:c>
      <x:c r="N30" s="109" t="n">
        <x:f>IFERROR(VLOOKUP($A30,'Andy FLEX'!$A$6:$N$278,5,FALSE),"")</x:f>
        <x:v>29</x:v>
      </x:c>
      <x:c r="O30" s="110" t="n">
        <x:f>IFERROR(VLOOKUP($A30,'Andy FLEX'!$A$6:$N$278,6,FALSE),"")</x:f>
        <x:v>14.1</x:v>
      </x:c>
      <x:c r="P30" s="111" t="n">
        <x:f>IFERROR(VLOOKUP($A30,'Andy FLEX'!$A$6:$N$278,7,FALSE),"")</x:f>
        <x:v>10</x:v>
      </x:c>
      <x:c r="Q30" s="111" t="n">
        <x:f>IFERROR(VLOOKUP($A30,'Andy FLEX'!$A$6:$N$278,8,FALSE),"")</x:f>
        <x:v>45</x:v>
      </x:c>
      <x:c r="R30" s="111" t="n">
        <x:f>IFERROR(VLOOKUP($A30,'Andy FLEX'!$A$6:$N$278,9,FALSE),"")</x:f>
        <x:v>0</x:v>
      </x:c>
      <x:c r="S30" s="111" t="n">
        <x:f>IFERROR(VLOOKUP($A30,'Andy FLEX'!$A$6:$N$278,10,FALSE),"")</x:f>
        <x:v>83</x:v>
      </x:c>
      <x:c r="T30" s="111" t="n">
        <x:f>IFERROR(VLOOKUP($A30,'Andy FLEX'!$A$6:$N$278,11,FALSE),"")</x:f>
        <x:v>1131</x:v>
      </x:c>
      <x:c r="U30" s="111" t="n">
        <x:f>IFERROR(VLOOKUP($A30,'Andy FLEX'!$A$6:$N$278,12,FALSE),"")</x:f>
        <x:v>7</x:v>
      </x:c>
      <x:c r="V30" s="111" t="n">
        <x:f>IFERROR(VLOOKUP($A30,'Andy FLEX'!$A$6:$N$278,13,FALSE),"")</x:f>
        <x:v>1</x:v>
      </x:c>
      <x:c r="W30" s="109" t="n">
        <x:f>IFERROR(VLOOKUP($A30,'Jason FLEX'!$A$6:$N$268,5,FALSE),"")</x:f>
        <x:v>23</x:v>
      </x:c>
      <x:c r="X30" s="110" t="n">
        <x:f>IFERROR(VLOOKUP($A30,'Jason FLEX'!$A$6:$N$268,6,FALSE),"")</x:f>
        <x:v>15.1</x:v>
      </x:c>
      <x:c r="Y30" s="111" t="n">
        <x:f>IFERROR(VLOOKUP($A30,'Jason FLEX'!$A$6:$N$268,7,FALSE),"")</x:f>
        <x:v>3</x:v>
      </x:c>
      <x:c r="Z30" s="111" t="n">
        <x:f>IFERROR(VLOOKUP($A30,'Jason FLEX'!$A$6:$N$268,8,FALSE),"")</x:f>
        <x:v>13</x:v>
      </x:c>
      <x:c r="AA30" s="111" t="n">
        <x:f>IFERROR(VLOOKUP($A30,'Jason FLEX'!$A$6:$N$268,9,FALSE),"")</x:f>
        <x:v>0</x:v>
      </x:c>
      <x:c r="AB30" s="111" t="n">
        <x:f>IFERROR(VLOOKUP($A30,'Jason FLEX'!$A$6:$N$268,10,FALSE),"")</x:f>
        <x:v>88</x:v>
      </x:c>
      <x:c r="AC30" s="111" t="n">
        <x:f>IFERROR(VLOOKUP($A30,'Jason FLEX'!$A$6:$N$268,11,FALSE),"")</x:f>
        <x:v>1250</x:v>
      </x:c>
      <x:c r="AD30" s="111" t="n">
        <x:f>IFERROR(VLOOKUP($A30,'Jason FLEX'!$A$6:$N$268,12,FALSE),"")</x:f>
        <x:v>8</x:v>
      </x:c>
      <x:c r="AE30" s="111" t="n">
        <x:f>IFERROR(VLOOKUP($A30,'Jason FLEX'!$A$6:$N$268,13,FALSE),"")</x:f>
        <x:v>2</x:v>
      </x:c>
      <x:c r="AF30" s="110" t="n">
        <x:f>IF(COUNT(E30,N30,W30)=0,"",AVERAGE(E30,N30,W30))</x:f>
        <x:v>24.666666666666668</x:v>
      </x:c>
      <x:c r="AG30" s="110" t="n">
        <x:f>IF(COUNT(E30,N30,W30)=0,"",MAX(E30,N30,W30)-MIN(E30,N30,W30))</x:f>
        <x:v>7</x:v>
      </x:c>
      <x:c r="AH30" s="110" t="n">
        <x:f>IF(COUNT(F30,O30,X30)=0,"",AVERAGE(F30,O30,X30))</x:f>
        <x:v>14.633333333333333</x:v>
      </x:c>
      <x:c r="AI30" s="112" t="n">
        <x:f>IF(COUNT(G30,P30,Y30)=0,"",AVERAGE(G30,P30,Y30))</x:f>
        <x:v>4.333333333333333</x:v>
      </x:c>
      <x:c r="AJ30" s="112" t="n">
        <x:f>IF(COUNT(H30,Q30,Z30)=0,"",AVERAGE(H30,Q30,Z30))</x:f>
        <x:v>19.333333333333332</x:v>
      </x:c>
      <x:c r="AK30" s="112" t="n">
        <x:f>IF(COUNT(I30,R30,AA30)=0,"",AVERAGE(I30,R30,AA30))</x:f>
        <x:v>0</x:v>
      </x:c>
      <x:c r="AL30" s="112" t="n">
        <x:f>IF(COUNT(J30,S30,AB30)=0,"",AVERAGE(J30,S30,AB30))</x:f>
        <x:v>86.33333333333333</x:v>
      </x:c>
      <x:c r="AM30" s="112" t="n">
        <x:f>IF(COUNT(K30,T30,AC30)=0,"",AVERAGE(K30,T30,AC30))</x:f>
        <x:v>1191</x:v>
      </x:c>
      <x:c r="AN30" s="112" t="n">
        <x:f>IF(COUNT(L30,U30,AD30)=0,"",AVERAGE(L30,U30,AD30))</x:f>
        <x:v>7.333333333333333</x:v>
      </x:c>
      <x:c r="AO30" s="112" t="n">
        <x:f>IF(COUNT(M30,V30,AE30)=0,"",AVERAGE(M30,V30,AE30))</x:f>
        <x:v>1</x:v>
      </x:c>
    </x:row>
    <x:row r="31">
      <x:c r="A31" s="107" t="str">
        <x:v>Ashton Jeanty</x:v>
      </x:c>
      <x:c r="B31" s="108" t="str">
        <x:v>RB</x:v>
      </x:c>
      <x:c r="C31" s="108" t="str">
        <x:v>LV</x:v>
      </x:c>
      <x:c r="D31" s="109" t="n">
        <x:v>13</x:v>
      </x:c>
      <x:c r="E31" s="109" t="n">
        <x:f>IFERROR(VLOOKUP($A31,'Mike FLEX'!$A$6:$N$278,5,FALSE),"")</x:f>
        <x:v>29</x:v>
      </x:c>
      <x:c r="F31" s="110" t="n">
        <x:f>IFERROR(VLOOKUP($A31,'Mike FLEX'!$A$6:$N$278,6,FALSE),"")</x:f>
        <x:v>14.6</x:v>
      </x:c>
      <x:c r="G31" s="111" t="n">
        <x:f>IFERROR(VLOOKUP($A31,'Mike FLEX'!$A$6:$N$278,7,FALSE),"")</x:f>
        <x:v>265</x:v>
      </x:c>
      <x:c r="H31" s="111" t="n">
        <x:f>IFERROR(VLOOKUP($A31,'Mike FLEX'!$A$6:$N$278,8,FALSE),"")</x:f>
        <x:v>1112</x:v>
      </x:c>
      <x:c r="I31" s="111" t="n">
        <x:f>IFERROR(VLOOKUP($A31,'Mike FLEX'!$A$6:$N$278,9,FALSE),"")</x:f>
        <x:v>7</x:v>
      </x:c>
      <x:c r="J31" s="111" t="n">
        <x:f>IFERROR(VLOOKUP($A31,'Mike FLEX'!$A$6:$N$278,10,FALSE),"")</x:f>
        <x:v>53</x:v>
      </x:c>
      <x:c r="K31" s="111" t="n">
        <x:f>IFERROR(VLOOKUP($A31,'Mike FLEX'!$A$6:$N$278,11,FALSE),"")</x:f>
        <x:v>334</x:v>
      </x:c>
      <x:c r="L31" s="111" t="n">
        <x:f>IFERROR(VLOOKUP($A31,'Mike FLEX'!$A$6:$N$278,12,FALSE),"")</x:f>
        <x:v>2</x:v>
      </x:c>
      <x:c r="M31" s="111" t="n">
        <x:f>IFERROR(VLOOKUP($A31,'Mike FLEX'!$A$6:$N$278,13,FALSE),"")</x:f>
        <x:v>2</x:v>
      </x:c>
      <x:c r="N31" s="109" t="n">
        <x:f>IFERROR(VLOOKUP($A31,'Andy FLEX'!$A$6:$N$278,5,FALSE),"")</x:f>
        <x:v>33</x:v>
      </x:c>
      <x:c r="O31" s="110" t="n">
        <x:f>IFERROR(VLOOKUP($A31,'Andy FLEX'!$A$6:$N$278,6,FALSE),"")</x:f>
        <x:v>13.9</x:v>
      </x:c>
      <x:c r="P31" s="111" t="n">
        <x:f>IFERROR(VLOOKUP($A31,'Andy FLEX'!$A$6:$N$278,7,FALSE),"")</x:f>
        <x:v>253</x:v>
      </x:c>
      <x:c r="Q31" s="111" t="n">
        <x:f>IFERROR(VLOOKUP($A31,'Andy FLEX'!$A$6:$N$278,8,FALSE),"")</x:f>
        <x:v>1047</x:v>
      </x:c>
      <x:c r="R31" s="111" t="n">
        <x:f>IFERROR(VLOOKUP($A31,'Andy FLEX'!$A$6:$N$278,9,FALSE),"")</x:f>
        <x:v>8</x:v>
      </x:c>
      <x:c r="S31" s="111" t="n">
        <x:f>IFERROR(VLOOKUP($A31,'Andy FLEX'!$A$6:$N$278,10,FALSE),"")</x:f>
        <x:v>42</x:v>
      </x:c>
      <x:c r="T31" s="111" t="n">
        <x:f>IFERROR(VLOOKUP($A31,'Andy FLEX'!$A$6:$N$278,11,FALSE),"")</x:f>
        <x:v>350</x:v>
      </x:c>
      <x:c r="U31" s="111" t="n">
        <x:f>IFERROR(VLOOKUP($A31,'Andy FLEX'!$A$6:$N$278,12,FALSE),"")</x:f>
        <x:v>3</x:v>
      </x:c>
      <x:c r="V31" s="111" t="n">
        <x:f>IFERROR(VLOOKUP($A31,'Andy FLEX'!$A$6:$N$278,13,FALSE),"")</x:f>
        <x:v>3</x:v>
      </x:c>
      <x:c r="W31" s="109" t="n">
        <x:f>IFERROR(VLOOKUP($A31,'Jason FLEX'!$A$6:$N$268,5,FALSE),"")</x:f>
        <x:v>14</x:v>
      </x:c>
      <x:c r="X31" s="110" t="n">
        <x:f>IFERROR(VLOOKUP($A31,'Jason FLEX'!$A$6:$N$268,6,FALSE),"")</x:f>
        <x:v>15.6</x:v>
      </x:c>
      <x:c r="Y31" s="111" t="n">
        <x:f>IFERROR(VLOOKUP($A31,'Jason FLEX'!$A$6:$N$268,7,FALSE),"")</x:f>
        <x:v>250</x:v>
      </x:c>
      <x:c r="Z31" s="111" t="n">
        <x:f>IFERROR(VLOOKUP($A31,'Jason FLEX'!$A$6:$N$268,8,FALSE),"")</x:f>
        <x:v>1100</x:v>
      </x:c>
      <x:c r="AA31" s="111" t="n">
        <x:f>IFERROR(VLOOKUP($A31,'Jason FLEX'!$A$6:$N$268,9,FALSE),"")</x:f>
        <x:v>7</x:v>
      </x:c>
      <x:c r="AB31" s="111" t="n">
        <x:f>IFERROR(VLOOKUP($A31,'Jason FLEX'!$A$6:$N$268,10,FALSE),"")</x:f>
        <x:v>58</x:v>
      </x:c>
      <x:c r="AC31" s="111" t="n">
        <x:f>IFERROR(VLOOKUP($A31,'Jason FLEX'!$A$6:$N$268,11,FALSE),"")</x:f>
        <x:v>435</x:v>
      </x:c>
      <x:c r="AD31" s="111" t="n">
        <x:f>IFERROR(VLOOKUP($A31,'Jason FLEX'!$A$6:$N$268,12,FALSE),"")</x:f>
        <x:v>3</x:v>
      </x:c>
      <x:c r="AE31" s="111" t="n">
        <x:f>IFERROR(VLOOKUP($A31,'Jason FLEX'!$A$6:$N$268,13,FALSE),"")</x:f>
        <x:v>3</x:v>
      </x:c>
      <x:c r="AF31" s="110" t="n">
        <x:f>IF(COUNT(E31,N31,W31)=0,"",AVERAGE(E31,N31,W31))</x:f>
        <x:v>25.333333333333332</x:v>
      </x:c>
      <x:c r="AG31" s="110" t="n">
        <x:f>IF(COUNT(E31,N31,W31)=0,"",MAX(E31,N31,W31)-MIN(E31,N31,W31))</x:f>
        <x:v>19</x:v>
      </x:c>
      <x:c r="AH31" s="110" t="n">
        <x:f>IF(COUNT(F31,O31,X31)=0,"",AVERAGE(F31,O31,X31))</x:f>
        <x:v>14.700000000000001</x:v>
      </x:c>
      <x:c r="AI31" s="112" t="n">
        <x:f>IF(COUNT(G31,P31,Y31)=0,"",AVERAGE(G31,P31,Y31))</x:f>
        <x:v>256</x:v>
      </x:c>
      <x:c r="AJ31" s="112" t="n">
        <x:f>IF(COUNT(H31,Q31,Z31)=0,"",AVERAGE(H31,Q31,Z31))</x:f>
        <x:v>1086.3333333333333</x:v>
      </x:c>
      <x:c r="AK31" s="112" t="n">
        <x:f>IF(COUNT(I31,R31,AA31)=0,"",AVERAGE(I31,R31,AA31))</x:f>
        <x:v>7.333333333333333</x:v>
      </x:c>
      <x:c r="AL31" s="112" t="n">
        <x:f>IF(COUNT(J31,S31,AB31)=0,"",AVERAGE(J31,S31,AB31))</x:f>
        <x:v>51</x:v>
      </x:c>
      <x:c r="AM31" s="112" t="n">
        <x:f>IF(COUNT(K31,T31,AC31)=0,"",AVERAGE(K31,T31,AC31))</x:f>
        <x:v>373</x:v>
      </x:c>
      <x:c r="AN31" s="112" t="n">
        <x:f>IF(COUNT(L31,U31,AD31)=0,"",AVERAGE(L31,U31,AD31))</x:f>
        <x:v>2.6666666666666665</x:v>
      </x:c>
      <x:c r="AO31" s="112" t="n">
        <x:f>IF(COUNT(M31,V31,AE31)=0,"",AVERAGE(M31,V31,AE31))</x:f>
        <x:v>2.6666666666666665</x:v>
      </x:c>
    </x:row>
    <x:row r="32">
      <x:c r="A32" s="107" t="str">
        <x:v>DeVonta Smith</x:v>
      </x:c>
      <x:c r="B32" s="108" t="str">
        <x:v>WR</x:v>
      </x:c>
      <x:c r="C32" s="108" t="str">
        <x:v>PHI</x:v>
      </x:c>
      <x:c r="D32" s="109" t="n">
        <x:v>10</x:v>
      </x:c>
      <x:c r="E32" s="109" t="n">
        <x:f>IFERROR(VLOOKUP($A32,'Mike FLEX'!$A$6:$N$278,5,FALSE),"")</x:f>
        <x:v>33</x:v>
      </x:c>
      <x:c r="F32" s="110" t="n">
        <x:f>IFERROR(VLOOKUP($A32,'Mike FLEX'!$A$6:$N$278,6,FALSE),"")</x:f>
        <x:v>13.8</x:v>
      </x:c>
      <x:c r="G32" s="111" t="n">
        <x:f>IFERROR(VLOOKUP($A32,'Mike FLEX'!$A$6:$N$278,7,FALSE),"")</x:f>
        <x:v>0</x:v>
      </x:c>
      <x:c r="H32" s="111" t="n">
        <x:f>IFERROR(VLOOKUP($A32,'Mike FLEX'!$A$6:$N$278,8,FALSE),"")</x:f>
        <x:v>0</x:v>
      </x:c>
      <x:c r="I32" s="111" t="n">
        <x:f>IFERROR(VLOOKUP($A32,'Mike FLEX'!$A$6:$N$278,9,FALSE),"")</x:f>
        <x:v>0</x:v>
      </x:c>
      <x:c r="J32" s="111" t="n">
        <x:f>IFERROR(VLOOKUP($A32,'Mike FLEX'!$A$6:$N$278,10,FALSE),"")</x:f>
        <x:v>85</x:v>
      </x:c>
      <x:c r="K32" s="111" t="n">
        <x:f>IFERROR(VLOOKUP($A32,'Mike FLEX'!$A$6:$N$278,11,FALSE),"")</x:f>
        <x:v>1092</x:v>
      </x:c>
      <x:c r="L32" s="111" t="n">
        <x:f>IFERROR(VLOOKUP($A32,'Mike FLEX'!$A$6:$N$278,12,FALSE),"")</x:f>
        <x:v>7</x:v>
      </x:c>
      <x:c r="M32" s="111" t="n">
        <x:f>IFERROR(VLOOKUP($A32,'Mike FLEX'!$A$6:$N$278,13,FALSE),"")</x:f>
        <x:v>0</x:v>
      </x:c>
      <x:c r="N32" s="109" t="n">
        <x:f>IFERROR(VLOOKUP($A32,'Andy FLEX'!$A$6:$N$278,5,FALSE),"")</x:f>
        <x:v>26</x:v>
      </x:c>
      <x:c r="O32" s="110" t="n">
        <x:f>IFERROR(VLOOKUP($A32,'Andy FLEX'!$A$6:$N$278,6,FALSE),"")</x:f>
        <x:v>14.1</x:v>
      </x:c>
      <x:c r="P32" s="111" t="n">
        <x:f>IFERROR(VLOOKUP($A32,'Andy FLEX'!$A$6:$N$278,7,FALSE),"")</x:f>
        <x:v>2</x:v>
      </x:c>
      <x:c r="Q32" s="111" t="n">
        <x:f>IFERROR(VLOOKUP($A32,'Andy FLEX'!$A$6:$N$278,8,FALSE),"")</x:f>
        <x:v>8</x:v>
      </x:c>
      <x:c r="R32" s="111" t="n">
        <x:f>IFERROR(VLOOKUP($A32,'Andy FLEX'!$A$6:$N$278,9,FALSE),"")</x:f>
        <x:v>0</x:v>
      </x:c>
      <x:c r="S32" s="111" t="n">
        <x:f>IFERROR(VLOOKUP($A32,'Andy FLEX'!$A$6:$N$278,10,FALSE),"")</x:f>
        <x:v>91</x:v>
      </x:c>
      <x:c r="T32" s="111" t="n">
        <x:f>IFERROR(VLOOKUP($A32,'Andy FLEX'!$A$6:$N$278,11,FALSE),"")</x:f>
        <x:v>1104</x:v>
      </x:c>
      <x:c r="U32" s="111" t="n">
        <x:f>IFERROR(VLOOKUP($A32,'Andy FLEX'!$A$6:$N$278,12,FALSE),"")</x:f>
        <x:v>6</x:v>
      </x:c>
      <x:c r="V32" s="111" t="n">
        <x:f>IFERROR(VLOOKUP($A32,'Andy FLEX'!$A$6:$N$278,13,FALSE),"")</x:f>
        <x:v>0</x:v>
      </x:c>
      <x:c r="W32" s="109" t="n">
        <x:f>IFERROR(VLOOKUP($A32,'Jason FLEX'!$A$6:$N$268,5,FALSE),"")</x:f>
        <x:v>26</x:v>
      </x:c>
      <x:c r="X32" s="110" t="n">
        <x:f>IFERROR(VLOOKUP($A32,'Jason FLEX'!$A$6:$N$268,6,FALSE),"")</x:f>
        <x:v>14.9</x:v>
      </x:c>
      <x:c r="Y32" s="111" t="n">
        <x:f>IFERROR(VLOOKUP($A32,'Jason FLEX'!$A$6:$N$268,7,FALSE),"")</x:f>
        <x:v>1</x:v>
      </x:c>
      <x:c r="Z32" s="111" t="n">
        <x:f>IFERROR(VLOOKUP($A32,'Jason FLEX'!$A$6:$N$268,8,FALSE),"")</x:f>
        <x:v>4</x:v>
      </x:c>
      <x:c r="AA32" s="111" t="n">
        <x:f>IFERROR(VLOOKUP($A32,'Jason FLEX'!$A$6:$N$268,9,FALSE),"")</x:f>
        <x:v>0</x:v>
      </x:c>
      <x:c r="AB32" s="111" t="n">
        <x:f>IFERROR(VLOOKUP($A32,'Jason FLEX'!$A$6:$N$268,10,FALSE),"")</x:f>
        <x:v>91</x:v>
      </x:c>
      <x:c r="AC32" s="111" t="n">
        <x:f>IFERROR(VLOOKUP($A32,'Jason FLEX'!$A$6:$N$268,11,FALSE),"")</x:f>
        <x:v>1192</x:v>
      </x:c>
      <x:c r="AD32" s="111" t="n">
        <x:f>IFERROR(VLOOKUP($A32,'Jason FLEX'!$A$6:$N$268,12,FALSE),"")</x:f>
        <x:v>7</x:v>
      </x:c>
      <x:c r="AE32" s="111" t="n">
        <x:f>IFERROR(VLOOKUP($A32,'Jason FLEX'!$A$6:$N$268,13,FALSE),"")</x:f>
        <x:v>0</x:v>
      </x:c>
      <x:c r="AF32" s="110" t="n">
        <x:f>IF(COUNT(E32,N32,W32)=0,"",AVERAGE(E32,N32,W32))</x:f>
        <x:v>28.333333333333332</x:v>
      </x:c>
      <x:c r="AG32" s="110" t="n">
        <x:f>IF(COUNT(E32,N32,W32)=0,"",MAX(E32,N32,W32)-MIN(E32,N32,W32))</x:f>
        <x:v>7</x:v>
      </x:c>
      <x:c r="AH32" s="110" t="n">
        <x:f>IF(COUNT(F32,O32,X32)=0,"",AVERAGE(F32,O32,X32))</x:f>
        <x:v>14.266666666666666</x:v>
      </x:c>
      <x:c r="AI32" s="112" t="n">
        <x:f>IF(COUNT(G32,P32,Y32)=0,"",AVERAGE(G32,P32,Y32))</x:f>
        <x:v>1</x:v>
      </x:c>
      <x:c r="AJ32" s="112" t="n">
        <x:f>IF(COUNT(H32,Q32,Z32)=0,"",AVERAGE(H32,Q32,Z32))</x:f>
        <x:v>4</x:v>
      </x:c>
      <x:c r="AK32" s="112" t="n">
        <x:f>IF(COUNT(I32,R32,AA32)=0,"",AVERAGE(I32,R32,AA32))</x:f>
        <x:v>0</x:v>
      </x:c>
      <x:c r="AL32" s="112" t="n">
        <x:f>IF(COUNT(J32,S32,AB32)=0,"",AVERAGE(J32,S32,AB32))</x:f>
        <x:v>89</x:v>
      </x:c>
      <x:c r="AM32" s="112" t="n">
        <x:f>IF(COUNT(K32,T32,AC32)=0,"",AVERAGE(K32,T32,AC32))</x:f>
        <x:v>1129.3333333333333</x:v>
      </x:c>
      <x:c r="AN32" s="112" t="n">
        <x:f>IF(COUNT(L32,U32,AD32)=0,"",AVERAGE(L32,U32,AD32))</x:f>
        <x:v>6.666666666666667</x:v>
      </x:c>
      <x:c r="AO32" s="112" t="n">
        <x:f>IF(COUNT(M32,V32,AE32)=0,"",AVERAGE(M32,V32,AE32))</x:f>
        <x:v>0</x:v>
      </x:c>
    </x:row>
    <x:row r="33">
      <x:c r="A33" s="107" t="str">
        <x:v>Saquon Barkley</x:v>
      </x:c>
      <x:c r="B33" s="108" t="str">
        <x:v>RB</x:v>
      </x:c>
      <x:c r="C33" s="108" t="str">
        <x:v>PHI</x:v>
      </x:c>
      <x:c r="D33" s="109" t="n">
        <x:v>10</x:v>
      </x:c>
      <x:c r="E33" s="109" t="n">
        <x:f>IFERROR(VLOOKUP($A33,'Mike FLEX'!$A$6:$N$278,5,FALSE),"")</x:f>
        <x:v>25</x:v>
      </x:c>
      <x:c r="F33" s="110" t="n">
        <x:f>IFERROR(VLOOKUP($A33,'Mike FLEX'!$A$6:$N$278,6,FALSE),"")</x:f>
        <x:v>14.7</x:v>
      </x:c>
      <x:c r="G33" s="111" t="n">
        <x:f>IFERROR(VLOOKUP($A33,'Mike FLEX'!$A$6:$N$278,7,FALSE),"")</x:f>
        <x:v>268</x:v>
      </x:c>
      <x:c r="H33" s="111" t="n">
        <x:f>IFERROR(VLOOKUP($A33,'Mike FLEX'!$A$6:$N$278,8,FALSE),"")</x:f>
        <x:v>1233</x:v>
      </x:c>
      <x:c r="I33" s="111" t="n">
        <x:f>IFERROR(VLOOKUP($A33,'Mike FLEX'!$A$6:$N$278,9,FALSE),"")</x:f>
        <x:v>11</x:v>
      </x:c>
      <x:c r="J33" s="111" t="n">
        <x:f>IFERROR(VLOOKUP($A33,'Mike FLEX'!$A$6:$N$278,10,FALSE),"")</x:f>
        <x:v>32</x:v>
      </x:c>
      <x:c r="K33" s="111" t="n">
        <x:f>IFERROR(VLOOKUP($A33,'Mike FLEX'!$A$6:$N$278,11,FALSE),"")</x:f>
        <x:v>240</x:v>
      </x:c>
      <x:c r="L33" s="111" t="n">
        <x:f>IFERROR(VLOOKUP($A33,'Mike FLEX'!$A$6:$N$278,12,FALSE),"")</x:f>
        <x:v>1</x:v>
      </x:c>
      <x:c r="M33" s="111" t="n">
        <x:f>IFERROR(VLOOKUP($A33,'Mike FLEX'!$A$6:$N$278,13,FALSE),"")</x:f>
        <x:v>1</x:v>
      </x:c>
      <x:c r="N33" s="109" t="n">
        <x:f>IFERROR(VLOOKUP($A33,'Andy FLEX'!$A$6:$N$278,5,FALSE),"")</x:f>
        <x:v>23</x:v>
      </x:c>
      <x:c r="O33" s="110" t="n">
        <x:f>IFERROR(VLOOKUP($A33,'Andy FLEX'!$A$6:$N$278,6,FALSE),"")</x:f>
        <x:v>14.3</x:v>
      </x:c>
      <x:c r="P33" s="111" t="n">
        <x:f>IFERROR(VLOOKUP($A33,'Andy FLEX'!$A$6:$N$278,7,FALSE),"")</x:f>
        <x:v>275</x:v>
      </x:c>
      <x:c r="Q33" s="111" t="n">
        <x:f>IFERROR(VLOOKUP($A33,'Andy FLEX'!$A$6:$N$278,8,FALSE),"")</x:f>
        <x:v>1095</x:v>
      </x:c>
      <x:c r="R33" s="111" t="n">
        <x:f>IFERROR(VLOOKUP($A33,'Andy FLEX'!$A$6:$N$278,9,FALSE),"")</x:f>
        <x:v>9</x:v>
      </x:c>
      <x:c r="S33" s="111" t="n">
        <x:f>IFERROR(VLOOKUP($A33,'Andy FLEX'!$A$6:$N$278,10,FALSE),"")</x:f>
        <x:v>39</x:v>
      </x:c>
      <x:c r="T33" s="111" t="n">
        <x:f>IFERROR(VLOOKUP($A33,'Andy FLEX'!$A$6:$N$278,11,FALSE),"")</x:f>
        <x:v>317</x:v>
      </x:c>
      <x:c r="U33" s="111" t="n">
        <x:f>IFERROR(VLOOKUP($A33,'Andy FLEX'!$A$6:$N$278,12,FALSE),"")</x:f>
        <x:v>2</x:v>
      </x:c>
      <x:c r="V33" s="111" t="n">
        <x:f>IFERROR(VLOOKUP($A33,'Andy FLEX'!$A$6:$N$278,13,FALSE),"")</x:f>
        <x:v>2</x:v>
      </x:c>
      <x:c r="W33" s="109" t="n">
        <x:f>IFERROR(VLOOKUP($A33,'Jason FLEX'!$A$6:$N$268,5,FALSE),"")</x:f>
        <x:v>39</x:v>
      </x:c>
      <x:c r="X33" s="110" t="n">
        <x:f>IFERROR(VLOOKUP($A33,'Jason FLEX'!$A$6:$N$268,6,FALSE),"")</x:f>
        <x:v>14</x:v>
      </x:c>
      <x:c r="Y33" s="111" t="n">
        <x:f>IFERROR(VLOOKUP($A33,'Jason FLEX'!$A$6:$N$268,7,FALSE),"")</x:f>
        <x:v>245</x:v>
      </x:c>
      <x:c r="Z33" s="111" t="n">
        <x:f>IFERROR(VLOOKUP($A33,'Jason FLEX'!$A$6:$N$268,8,FALSE),"")</x:f>
        <x:v>1127</x:v>
      </x:c>
      <x:c r="AA33" s="111" t="n">
        <x:f>IFERROR(VLOOKUP($A33,'Jason FLEX'!$A$6:$N$268,9,FALSE),"")</x:f>
        <x:v>10</x:v>
      </x:c>
      <x:c r="AB33" s="111" t="n">
        <x:f>IFERROR(VLOOKUP($A33,'Jason FLEX'!$A$6:$N$268,10,FALSE),"")</x:f>
        <x:v>37</x:v>
      </x:c>
      <x:c r="AC33" s="111" t="n">
        <x:f>IFERROR(VLOOKUP($A33,'Jason FLEX'!$A$6:$N$268,11,FALSE),"")</x:f>
        <x:v>259</x:v>
      </x:c>
      <x:c r="AD33" s="111" t="n">
        <x:f>IFERROR(VLOOKUP($A33,'Jason FLEX'!$A$6:$N$268,12,FALSE),"")</x:f>
        <x:v>2</x:v>
      </x:c>
      <x:c r="AE33" s="111" t="n">
        <x:f>IFERROR(VLOOKUP($A33,'Jason FLEX'!$A$6:$N$268,13,FALSE),"")</x:f>
        <x:v>3</x:v>
      </x:c>
      <x:c r="AF33" s="110" t="n">
        <x:f>IF(COUNT(E33,N33,W33)=0,"",AVERAGE(E33,N33,W33))</x:f>
        <x:v>29</x:v>
      </x:c>
      <x:c r="AG33" s="110" t="n">
        <x:f>IF(COUNT(E33,N33,W33)=0,"",MAX(E33,N33,W33)-MIN(E33,N33,W33))</x:f>
        <x:v>16</x:v>
      </x:c>
      <x:c r="AH33" s="110" t="n">
        <x:f>IF(COUNT(F33,O33,X33)=0,"",AVERAGE(F33,O33,X33))</x:f>
        <x:v>14.333333333333334</x:v>
      </x:c>
      <x:c r="AI33" s="112" t="n">
        <x:f>IF(COUNT(G33,P33,Y33)=0,"",AVERAGE(G33,P33,Y33))</x:f>
        <x:v>262.6666666666667</x:v>
      </x:c>
      <x:c r="AJ33" s="112" t="n">
        <x:f>IF(COUNT(H33,Q33,Z33)=0,"",AVERAGE(H33,Q33,Z33))</x:f>
        <x:v>1151.6666666666667</x:v>
      </x:c>
      <x:c r="AK33" s="112" t="n">
        <x:f>IF(COUNT(I33,R33,AA33)=0,"",AVERAGE(I33,R33,AA33))</x:f>
        <x:v>10</x:v>
      </x:c>
      <x:c r="AL33" s="112" t="n">
        <x:f>IF(COUNT(J33,S33,AB33)=0,"",AVERAGE(J33,S33,AB33))</x:f>
        <x:v>36</x:v>
      </x:c>
      <x:c r="AM33" s="112" t="n">
        <x:f>IF(COUNT(K33,T33,AC33)=0,"",AVERAGE(K33,T33,AC33))</x:f>
        <x:v>272</x:v>
      </x:c>
      <x:c r="AN33" s="112" t="n">
        <x:f>IF(COUNT(L33,U33,AD33)=0,"",AVERAGE(L33,U33,AD33))</x:f>
        <x:v>1.6666666666666667</x:v>
      </x:c>
      <x:c r="AO33" s="112" t="n">
        <x:f>IF(COUNT(M33,V33,AE33)=0,"",AVERAGE(M33,V33,AE33))</x:f>
        <x:v>2</x:v>
      </x:c>
    </x:row>
    <x:row r="34">
      <x:c r="A34" s="107" t="str">
        <x:v>Zay Flowers</x:v>
      </x:c>
      <x:c r="B34" s="108" t="str">
        <x:v>WR</x:v>
      </x:c>
      <x:c r="C34" s="108" t="str">
        <x:v>BAL</x:v>
      </x:c>
      <x:c r="D34" s="109" t="n">
        <x:v>13</x:v>
      </x:c>
      <x:c r="E34" s="109" t="n">
        <x:f>IFERROR(VLOOKUP($A34,'Mike FLEX'!$A$6:$N$278,5,FALSE),"")</x:f>
        <x:v>30</x:v>
      </x:c>
      <x:c r="F34" s="110" t="n">
        <x:f>IFERROR(VLOOKUP($A34,'Mike FLEX'!$A$6:$N$278,6,FALSE),"")</x:f>
        <x:v>14.2</x:v>
      </x:c>
      <x:c r="G34" s="111" t="n">
        <x:f>IFERROR(VLOOKUP($A34,'Mike FLEX'!$A$6:$N$278,7,FALSE),"")</x:f>
        <x:v>9</x:v>
      </x:c>
      <x:c r="H34" s="111" t="n">
        <x:f>IFERROR(VLOOKUP($A34,'Mike FLEX'!$A$6:$N$278,8,FALSE),"")</x:f>
        <x:v>57</x:v>
      </x:c>
      <x:c r="I34" s="111" t="n">
        <x:f>IFERROR(VLOOKUP($A34,'Mike FLEX'!$A$6:$N$278,9,FALSE),"")</x:f>
        <x:v>1</x:v>
      </x:c>
      <x:c r="J34" s="111" t="n">
        <x:f>IFERROR(VLOOKUP($A34,'Mike FLEX'!$A$6:$N$278,10,FALSE),"")</x:f>
        <x:v>84</x:v>
      </x:c>
      <x:c r="K34" s="111" t="n">
        <x:f>IFERROR(VLOOKUP($A34,'Mike FLEX'!$A$6:$N$278,11,FALSE),"")</x:f>
        <x:v>1122</x:v>
      </x:c>
      <x:c r="L34" s="111" t="n">
        <x:f>IFERROR(VLOOKUP($A34,'Mike FLEX'!$A$6:$N$278,12,FALSE),"")</x:f>
        <x:v>7</x:v>
      </x:c>
      <x:c r="M34" s="111" t="n">
        <x:f>IFERROR(VLOOKUP($A34,'Mike FLEX'!$A$6:$N$278,13,FALSE),"")</x:f>
        <x:v>2</x:v>
      </x:c>
      <x:c r="N34" s="109" t="n">
        <x:f>IFERROR(VLOOKUP($A34,'Andy FLEX'!$A$6:$N$278,5,FALSE),"")</x:f>
        <x:v>30</x:v>
      </x:c>
      <x:c r="O34" s="110" t="n">
        <x:f>IFERROR(VLOOKUP($A34,'Andy FLEX'!$A$6:$N$278,6,FALSE),"")</x:f>
        <x:v>14</x:v>
      </x:c>
      <x:c r="P34" s="111" t="n">
        <x:f>IFERROR(VLOOKUP($A34,'Andy FLEX'!$A$6:$N$278,7,FALSE),"")</x:f>
        <x:v>8</x:v>
      </x:c>
      <x:c r="Q34" s="111" t="n">
        <x:f>IFERROR(VLOOKUP($A34,'Andy FLEX'!$A$6:$N$278,8,FALSE),"")</x:f>
        <x:v>43</x:v>
      </x:c>
      <x:c r="R34" s="111" t="n">
        <x:f>IFERROR(VLOOKUP($A34,'Andy FLEX'!$A$6:$N$278,9,FALSE),"")</x:f>
        <x:v>1</x:v>
      </x:c>
      <x:c r="S34" s="111" t="n">
        <x:f>IFERROR(VLOOKUP($A34,'Andy FLEX'!$A$6:$N$278,10,FALSE),"")</x:f>
        <x:v>83</x:v>
      </x:c>
      <x:c r="T34" s="111" t="n">
        <x:f>IFERROR(VLOOKUP($A34,'Andy FLEX'!$A$6:$N$278,11,FALSE),"")</x:f>
        <x:v>1144</x:v>
      </x:c>
      <x:c r="U34" s="111" t="n">
        <x:f>IFERROR(VLOOKUP($A34,'Andy FLEX'!$A$6:$N$278,12,FALSE),"")</x:f>
        <x:v>6</x:v>
      </x:c>
      <x:c r="V34" s="111" t="n">
        <x:f>IFERROR(VLOOKUP($A34,'Andy FLEX'!$A$6:$N$278,13,FALSE),"")</x:f>
        <x:v>2</x:v>
      </x:c>
      <x:c r="W34" s="109" t="n">
        <x:f>IFERROR(VLOOKUP($A34,'Jason FLEX'!$A$6:$N$268,5,FALSE),"")</x:f>
        <x:v>29</x:v>
      </x:c>
      <x:c r="X34" s="110" t="n">
        <x:f>IFERROR(VLOOKUP($A34,'Jason FLEX'!$A$6:$N$268,6,FALSE),"")</x:f>
        <x:v>14.9</x:v>
      </x:c>
      <x:c r="Y34" s="111" t="n">
        <x:f>IFERROR(VLOOKUP($A34,'Jason FLEX'!$A$6:$N$268,7,FALSE),"")</x:f>
        <x:v>12</x:v>
      </x:c>
      <x:c r="Z34" s="111" t="n">
        <x:f>IFERROR(VLOOKUP($A34,'Jason FLEX'!$A$6:$N$268,8,FALSE),"")</x:f>
        <x:v>73</x:v>
      </x:c>
      <x:c r="AA34" s="111" t="n">
        <x:f>IFERROR(VLOOKUP($A34,'Jason FLEX'!$A$6:$N$268,9,FALSE),"")</x:f>
        <x:v>0</x:v>
      </x:c>
      <x:c r="AB34" s="111" t="n">
        <x:f>IFERROR(VLOOKUP($A34,'Jason FLEX'!$A$6:$N$268,10,FALSE),"")</x:f>
        <x:v>90</x:v>
      </x:c>
      <x:c r="AC34" s="111" t="n">
        <x:f>IFERROR(VLOOKUP($A34,'Jason FLEX'!$A$6:$N$268,11,FALSE),"")</x:f>
        <x:v>1197</x:v>
      </x:c>
      <x:c r="AD34" s="111" t="n">
        <x:f>IFERROR(VLOOKUP($A34,'Jason FLEX'!$A$6:$N$268,12,FALSE),"")</x:f>
        <x:v>7</x:v>
      </x:c>
      <x:c r="AE34" s="111" t="n">
        <x:f>IFERROR(VLOOKUP($A34,'Jason FLEX'!$A$6:$N$268,13,FALSE),"")</x:f>
        <x:v>2</x:v>
      </x:c>
      <x:c r="AF34" s="110" t="n">
        <x:f>IF(COUNT(E34,N34,W34)=0,"",AVERAGE(E34,N34,W34))</x:f>
        <x:v>29.666666666666668</x:v>
      </x:c>
      <x:c r="AG34" s="110" t="n">
        <x:f>IF(COUNT(E34,N34,W34)=0,"",MAX(E34,N34,W34)-MIN(E34,N34,W34))</x:f>
        <x:v>1</x:v>
      </x:c>
      <x:c r="AH34" s="110" t="n">
        <x:f>IF(COUNT(F34,O34,X34)=0,"",AVERAGE(F34,O34,X34))</x:f>
        <x:v>14.366666666666667</x:v>
      </x:c>
      <x:c r="AI34" s="112" t="n">
        <x:f>IF(COUNT(G34,P34,Y34)=0,"",AVERAGE(G34,P34,Y34))</x:f>
        <x:v>9.666666666666666</x:v>
      </x:c>
      <x:c r="AJ34" s="112" t="n">
        <x:f>IF(COUNT(H34,Q34,Z34)=0,"",AVERAGE(H34,Q34,Z34))</x:f>
        <x:v>57.666666666666664</x:v>
      </x:c>
      <x:c r="AK34" s="112" t="n">
        <x:f>IF(COUNT(I34,R34,AA34)=0,"",AVERAGE(I34,R34,AA34))</x:f>
        <x:v>0.6666666666666666</x:v>
      </x:c>
      <x:c r="AL34" s="112" t="n">
        <x:f>IF(COUNT(J34,S34,AB34)=0,"",AVERAGE(J34,S34,AB34))</x:f>
        <x:v>85.66666666666667</x:v>
      </x:c>
      <x:c r="AM34" s="112" t="n">
        <x:f>IF(COUNT(K34,T34,AC34)=0,"",AVERAGE(K34,T34,AC34))</x:f>
        <x:v>1154.3333333333333</x:v>
      </x:c>
      <x:c r="AN34" s="112" t="n">
        <x:f>IF(COUNT(L34,U34,AD34)=0,"",AVERAGE(L34,U34,AD34))</x:f>
        <x:v>6.666666666666667</x:v>
      </x:c>
      <x:c r="AO34" s="112" t="n">
        <x:f>IF(COUNT(M34,V34,AE34)=0,"",AVERAGE(M34,V34,AE34))</x:f>
        <x:v>2</x:v>
      </x:c>
    </x:row>
    <x:row r="35">
      <x:c r="A35" s="107" t="str">
        <x:v>Jaylen Waddle</x:v>
      </x:c>
      <x:c r="B35" s="108" t="str">
        <x:v>WR</x:v>
      </x:c>
      <x:c r="C35" s="108" t="str">
        <x:v>DEN</x:v>
      </x:c>
      <x:c r="D35" s="109" t="n">
        <x:v>10</x:v>
      </x:c>
      <x:c r="E35" s="109" t="n">
        <x:f>IFERROR(VLOOKUP($A35,'Mike FLEX'!$A$6:$N$278,5,FALSE),"")</x:f>
        <x:v>34</x:v>
      </x:c>
      <x:c r="F35" s="110" t="n">
        <x:f>IFERROR(VLOOKUP($A35,'Mike FLEX'!$A$6:$N$278,6,FALSE),"")</x:f>
        <x:v>13.7</x:v>
      </x:c>
      <x:c r="G35" s="111" t="n">
        <x:f>IFERROR(VLOOKUP($A35,'Mike FLEX'!$A$6:$N$278,7,FALSE),"")</x:f>
        <x:v>3</x:v>
      </x:c>
      <x:c r="H35" s="111" t="n">
        <x:f>IFERROR(VLOOKUP($A35,'Mike FLEX'!$A$6:$N$278,8,FALSE),"")</x:f>
        <x:v>21</x:v>
      </x:c>
      <x:c r="I35" s="111" t="n">
        <x:f>IFERROR(VLOOKUP($A35,'Mike FLEX'!$A$6:$N$278,9,FALSE),"")</x:f>
        <x:v>0</x:v>
      </x:c>
      <x:c r="J35" s="111" t="n">
        <x:f>IFERROR(VLOOKUP($A35,'Mike FLEX'!$A$6:$N$278,10,FALSE),"")</x:f>
        <x:v>84</x:v>
      </x:c>
      <x:c r="K35" s="111" t="n">
        <x:f>IFERROR(VLOOKUP($A35,'Mike FLEX'!$A$6:$N$278,11,FALSE),"")</x:f>
        <x:v>1127</x:v>
      </x:c>
      <x:c r="L35" s="111" t="n">
        <x:f>IFERROR(VLOOKUP($A35,'Mike FLEX'!$A$6:$N$278,12,FALSE),"")</x:f>
        <x:v>6</x:v>
      </x:c>
      <x:c r="M35" s="111" t="n">
        <x:f>IFERROR(VLOOKUP($A35,'Mike FLEX'!$A$6:$N$278,13,FALSE),"")</x:f>
        <x:v>1</x:v>
      </x:c>
      <x:c r="N35" s="109" t="n">
        <x:f>IFERROR(VLOOKUP($A35,'Andy FLEX'!$A$6:$N$278,5,FALSE),"")</x:f>
        <x:v>28</x:v>
      </x:c>
      <x:c r="O35" s="110" t="n">
        <x:f>IFERROR(VLOOKUP($A35,'Andy FLEX'!$A$6:$N$278,6,FALSE),"")</x:f>
        <x:v>14.1</x:v>
      </x:c>
      <x:c r="P35" s="111" t="n">
        <x:f>IFERROR(VLOOKUP($A35,'Andy FLEX'!$A$6:$N$278,7,FALSE),"")</x:f>
        <x:v>9</x:v>
      </x:c>
      <x:c r="Q35" s="111" t="n">
        <x:f>IFERROR(VLOOKUP($A35,'Andy FLEX'!$A$6:$N$278,8,FALSE),"")</x:f>
        <x:v>35</x:v>
      </x:c>
      <x:c r="R35" s="111" t="n">
        <x:f>IFERROR(VLOOKUP($A35,'Andy FLEX'!$A$6:$N$278,9,FALSE),"")</x:f>
        <x:v>0</x:v>
      </x:c>
      <x:c r="S35" s="111" t="n">
        <x:f>IFERROR(VLOOKUP($A35,'Andy FLEX'!$A$6:$N$278,10,FALSE),"")</x:f>
        <x:v>84</x:v>
      </x:c>
      <x:c r="T35" s="111" t="n">
        <x:f>IFERROR(VLOOKUP($A35,'Andy FLEX'!$A$6:$N$278,11,FALSE),"")</x:f>
        <x:v>1129</x:v>
      </x:c>
      <x:c r="U35" s="111" t="n">
        <x:f>IFERROR(VLOOKUP($A35,'Andy FLEX'!$A$6:$N$278,12,FALSE),"")</x:f>
        <x:v>7</x:v>
      </x:c>
      <x:c r="V35" s="111" t="n">
        <x:f>IFERROR(VLOOKUP($A35,'Andy FLEX'!$A$6:$N$278,13,FALSE),"")</x:f>
        <x:v>1</x:v>
      </x:c>
      <x:c r="W35" s="109" t="n">
        <x:f>IFERROR(VLOOKUP($A35,'Jason FLEX'!$A$6:$N$268,5,FALSE),"")</x:f>
        <x:v>28</x:v>
      </x:c>
      <x:c r="X35" s="110" t="n">
        <x:f>IFERROR(VLOOKUP($A35,'Jason FLEX'!$A$6:$N$268,6,FALSE),"")</x:f>
        <x:v>14.9</x:v>
      </x:c>
      <x:c r="Y35" s="111" t="n">
        <x:f>IFERROR(VLOOKUP($A35,'Jason FLEX'!$A$6:$N$268,7,FALSE),"")</x:f>
        <x:v>0</x:v>
      </x:c>
      <x:c r="Z35" s="111" t="n">
        <x:f>IFERROR(VLOOKUP($A35,'Jason FLEX'!$A$6:$N$268,8,FALSE),"")</x:f>
        <x:v>0</x:v>
      </x:c>
      <x:c r="AA35" s="111" t="n">
        <x:f>IFERROR(VLOOKUP($A35,'Jason FLEX'!$A$6:$N$268,9,FALSE),"")</x:f>
        <x:v>0</x:v>
      </x:c>
      <x:c r="AB35" s="111" t="n">
        <x:f>IFERROR(VLOOKUP($A35,'Jason FLEX'!$A$6:$N$268,10,FALSE),"")</x:f>
        <x:v>90</x:v>
      </x:c>
      <x:c r="AC35" s="111" t="n">
        <x:f>IFERROR(VLOOKUP($A35,'Jason FLEX'!$A$6:$N$268,11,FALSE),"")</x:f>
        <x:v>1208</x:v>
      </x:c>
      <x:c r="AD35" s="111" t="n">
        <x:f>IFERROR(VLOOKUP($A35,'Jason FLEX'!$A$6:$N$268,12,FALSE),"")</x:f>
        <x:v>7</x:v>
      </x:c>
      <x:c r="AE35" s="111" t="n">
        <x:f>IFERROR(VLOOKUP($A35,'Jason FLEX'!$A$6:$N$268,13,FALSE),"")</x:f>
        <x:v>0</x:v>
      </x:c>
      <x:c r="AF35" s="110" t="n">
        <x:f>IF(COUNT(E35,N35,W35)=0,"",AVERAGE(E35,N35,W35))</x:f>
        <x:v>30</x:v>
      </x:c>
      <x:c r="AG35" s="110" t="n">
        <x:f>IF(COUNT(E35,N35,W35)=0,"",MAX(E35,N35,W35)-MIN(E35,N35,W35))</x:f>
        <x:v>6</x:v>
      </x:c>
      <x:c r="AH35" s="110" t="n">
        <x:f>IF(COUNT(F35,O35,X35)=0,"",AVERAGE(F35,O35,X35))</x:f>
        <x:v>14.233333333333333</x:v>
      </x:c>
      <x:c r="AI35" s="112" t="n">
        <x:f>IF(COUNT(G35,P35,Y35)=0,"",AVERAGE(G35,P35,Y35))</x:f>
        <x:v>4</x:v>
      </x:c>
      <x:c r="AJ35" s="112" t="n">
        <x:f>IF(COUNT(H35,Q35,Z35)=0,"",AVERAGE(H35,Q35,Z35))</x:f>
        <x:v>18.666666666666668</x:v>
      </x:c>
      <x:c r="AK35" s="112" t="n">
        <x:f>IF(COUNT(I35,R35,AA35)=0,"",AVERAGE(I35,R35,AA35))</x:f>
        <x:v>0</x:v>
      </x:c>
      <x:c r="AL35" s="112" t="n">
        <x:f>IF(COUNT(J35,S35,AB35)=0,"",AVERAGE(J35,S35,AB35))</x:f>
        <x:v>86</x:v>
      </x:c>
      <x:c r="AM35" s="112" t="n">
        <x:f>IF(COUNT(K35,T35,AC35)=0,"",AVERAGE(K35,T35,AC35))</x:f>
        <x:v>1154.6666666666667</x:v>
      </x:c>
      <x:c r="AN35" s="112" t="n">
        <x:f>IF(COUNT(L35,U35,AD35)=0,"",AVERAGE(L35,U35,AD35))</x:f>
        <x:v>6.666666666666667</x:v>
      </x:c>
      <x:c r="AO35" s="112" t="n">
        <x:f>IF(COUNT(M35,V35,AE35)=0,"",AVERAGE(M35,V35,AE35))</x:f>
        <x:v>0.6666666666666666</x:v>
      </x:c>
    </x:row>
    <x:row r="36">
      <x:c r="A36" s="107" t="str">
        <x:v>Ladd McConkey</x:v>
      </x:c>
      <x:c r="B36" s="108" t="str">
        <x:v>WR</x:v>
      </x:c>
      <x:c r="C36" s="108" t="str">
        <x:v>LAC</x:v>
      </x:c>
      <x:c r="D36" s="109" t="n">
        <x:v>7</x:v>
      </x:c>
      <x:c r="E36" s="109" t="n">
        <x:f>IFERROR(VLOOKUP($A36,'Mike FLEX'!$A$6:$N$278,5,FALSE),"")</x:f>
        <x:v>42</x:v>
      </x:c>
      <x:c r="F36" s="110" t="n">
        <x:f>IFERROR(VLOOKUP($A36,'Mike FLEX'!$A$6:$N$278,6,FALSE),"")</x:f>
        <x:v>13.1</x:v>
      </x:c>
      <x:c r="G36" s="111" t="n">
        <x:f>IFERROR(VLOOKUP($A36,'Mike FLEX'!$A$6:$N$278,7,FALSE),"")</x:f>
        <x:v>0</x:v>
      </x:c>
      <x:c r="H36" s="111" t="n">
        <x:f>IFERROR(VLOOKUP($A36,'Mike FLEX'!$A$6:$N$278,8,FALSE),"")</x:f>
        <x:v>0</x:v>
      </x:c>
      <x:c r="I36" s="111" t="n">
        <x:f>IFERROR(VLOOKUP($A36,'Mike FLEX'!$A$6:$N$278,9,FALSE),"")</x:f>
        <x:v>0</x:v>
      </x:c>
      <x:c r="J36" s="111" t="n">
        <x:f>IFERROR(VLOOKUP($A36,'Mike FLEX'!$A$6:$N$278,10,FALSE),"")</x:f>
        <x:v>81</x:v>
      </x:c>
      <x:c r="K36" s="111" t="n">
        <x:f>IFERROR(VLOOKUP($A36,'Mike FLEX'!$A$6:$N$278,11,FALSE),"")</x:f>
        <x:v>994</x:v>
      </x:c>
      <x:c r="L36" s="111" t="n">
        <x:f>IFERROR(VLOOKUP($A36,'Mike FLEX'!$A$6:$N$278,12,FALSE),"")</x:f>
        <x:v>7</x:v>
      </x:c>
      <x:c r="M36" s="111" t="n">
        <x:f>IFERROR(VLOOKUP($A36,'Mike FLEX'!$A$6:$N$278,13,FALSE),"")</x:f>
        <x:v>1</x:v>
      </x:c>
      <x:c r="N36" s="109" t="n">
        <x:f>IFERROR(VLOOKUP($A36,'Andy FLEX'!$A$6:$N$278,5,FALSE),"")</x:f>
        <x:v>24</x:v>
      </x:c>
      <x:c r="O36" s="110" t="n">
        <x:f>IFERROR(VLOOKUP($A36,'Andy FLEX'!$A$6:$N$278,6,FALSE),"")</x:f>
        <x:v>14.2</x:v>
      </x:c>
      <x:c r="P36" s="111" t="n">
        <x:f>IFERROR(VLOOKUP($A36,'Andy FLEX'!$A$6:$N$278,7,FALSE),"")</x:f>
        <x:v>4</x:v>
      </x:c>
      <x:c r="Q36" s="111" t="n">
        <x:f>IFERROR(VLOOKUP($A36,'Andy FLEX'!$A$6:$N$278,8,FALSE),"")</x:f>
        <x:v>23</x:v>
      </x:c>
      <x:c r="R36" s="111" t="n">
        <x:f>IFERROR(VLOOKUP($A36,'Andy FLEX'!$A$6:$N$278,9,FALSE),"")</x:f>
        <x:v>0</x:v>
      </x:c>
      <x:c r="S36" s="111" t="n">
        <x:f>IFERROR(VLOOKUP($A36,'Andy FLEX'!$A$6:$N$278,10,FALSE),"")</x:f>
        <x:v>90</x:v>
      </x:c>
      <x:c r="T36" s="111" t="n">
        <x:f>IFERROR(VLOOKUP($A36,'Andy FLEX'!$A$6:$N$278,11,FALSE),"")</x:f>
        <x:v>1091</x:v>
      </x:c>
      <x:c r="U36" s="111" t="n">
        <x:f>IFERROR(VLOOKUP($A36,'Andy FLEX'!$A$6:$N$278,12,FALSE),"")</x:f>
        <x:v>7</x:v>
      </x:c>
      <x:c r="V36" s="111" t="n">
        <x:f>IFERROR(VLOOKUP($A36,'Andy FLEX'!$A$6:$N$278,13,FALSE),"")</x:f>
        <x:v>1</x:v>
      </x:c>
      <x:c r="W36" s="109" t="n">
        <x:f>IFERROR(VLOOKUP($A36,'Jason FLEX'!$A$6:$N$268,5,FALSE),"")</x:f>
        <x:v>25</x:v>
      </x:c>
      <x:c r="X36" s="110" t="n">
        <x:f>IFERROR(VLOOKUP($A36,'Jason FLEX'!$A$6:$N$268,6,FALSE),"")</x:f>
        <x:v>15</x:v>
      </x:c>
      <x:c r="Y36" s="111" t="n">
        <x:f>IFERROR(VLOOKUP($A36,'Jason FLEX'!$A$6:$N$268,7,FALSE),"")</x:f>
        <x:v>4</x:v>
      </x:c>
      <x:c r="Z36" s="111" t="n">
        <x:f>IFERROR(VLOOKUP($A36,'Jason FLEX'!$A$6:$N$268,8,FALSE),"")</x:f>
        <x:v>35</x:v>
      </x:c>
      <x:c r="AA36" s="111" t="n">
        <x:f>IFERROR(VLOOKUP($A36,'Jason FLEX'!$A$6:$N$268,9,FALSE),"")</x:f>
        <x:v>0</x:v>
      </x:c>
      <x:c r="AB36" s="111" t="n">
        <x:f>IFERROR(VLOOKUP($A36,'Jason FLEX'!$A$6:$N$268,10,FALSE),"")</x:f>
        <x:v>93</x:v>
      </x:c>
      <x:c r="AC36" s="111" t="n">
        <x:f>IFERROR(VLOOKUP($A36,'Jason FLEX'!$A$6:$N$268,11,FALSE),"")</x:f>
        <x:v>1112</x:v>
      </x:c>
      <x:c r="AD36" s="111" t="n">
        <x:f>IFERROR(VLOOKUP($A36,'Jason FLEX'!$A$6:$N$268,12,FALSE),"")</x:f>
        <x:v>8</x:v>
      </x:c>
      <x:c r="AE36" s="111" t="n">
        <x:f>IFERROR(VLOOKUP($A36,'Jason FLEX'!$A$6:$N$268,13,FALSE),"")</x:f>
        <x:v>0</x:v>
      </x:c>
      <x:c r="AF36" s="110" t="n">
        <x:f>IF(COUNT(E36,N36,W36)=0,"",AVERAGE(E36,N36,W36))</x:f>
        <x:v>30.333333333333332</x:v>
      </x:c>
      <x:c r="AG36" s="110" t="n">
        <x:f>IF(COUNT(E36,N36,W36)=0,"",MAX(E36,N36,W36)-MIN(E36,N36,W36))</x:f>
        <x:v>18</x:v>
      </x:c>
      <x:c r="AH36" s="110" t="n">
        <x:f>IF(COUNT(F36,O36,X36)=0,"",AVERAGE(F36,O36,X36))</x:f>
        <x:v>14.1</x:v>
      </x:c>
      <x:c r="AI36" s="112" t="n">
        <x:f>IF(COUNT(G36,P36,Y36)=0,"",AVERAGE(G36,P36,Y36))</x:f>
        <x:v>2.6666666666666665</x:v>
      </x:c>
      <x:c r="AJ36" s="112" t="n">
        <x:f>IF(COUNT(H36,Q36,Z36)=0,"",AVERAGE(H36,Q36,Z36))</x:f>
        <x:v>19.333333333333332</x:v>
      </x:c>
      <x:c r="AK36" s="112" t="n">
        <x:f>IF(COUNT(I36,R36,AA36)=0,"",AVERAGE(I36,R36,AA36))</x:f>
        <x:v>0</x:v>
      </x:c>
      <x:c r="AL36" s="112" t="n">
        <x:f>IF(COUNT(J36,S36,AB36)=0,"",AVERAGE(J36,S36,AB36))</x:f>
        <x:v>88</x:v>
      </x:c>
      <x:c r="AM36" s="112" t="n">
        <x:f>IF(COUNT(K36,T36,AC36)=0,"",AVERAGE(K36,T36,AC36))</x:f>
        <x:v>1065.6666666666667</x:v>
      </x:c>
      <x:c r="AN36" s="112" t="n">
        <x:f>IF(COUNT(L36,U36,AD36)=0,"",AVERAGE(L36,U36,AD36))</x:f>
        <x:v>7.333333333333333</x:v>
      </x:c>
      <x:c r="AO36" s="112" t="n">
        <x:f>IF(COUNT(M36,V36,AE36)=0,"",AVERAGE(M36,V36,AE36))</x:f>
        <x:v>0.6666666666666666</x:v>
      </x:c>
    </x:row>
    <x:row r="37">
      <x:c r="A37" s="107" t="str">
        <x:v>Derrick Henry</x:v>
      </x:c>
      <x:c r="B37" s="108" t="str">
        <x:v>RB</x:v>
      </x:c>
      <x:c r="C37" s="108" t="str">
        <x:v>BAL</x:v>
      </x:c>
      <x:c r="D37" s="109" t="n">
        <x:v>13</x:v>
      </x:c>
      <x:c r="E37" s="109" t="n">
        <x:f>IFERROR(VLOOKUP($A37,'Mike FLEX'!$A$6:$N$278,5,FALSE),"")</x:f>
        <x:v>20</x:v>
      </x:c>
      <x:c r="F37" s="110" t="n">
        <x:f>IFERROR(VLOOKUP($A37,'Mike FLEX'!$A$6:$N$278,6,FALSE),"")</x:f>
        <x:v>14.9</x:v>
      </x:c>
      <x:c r="G37" s="111" t="n">
        <x:f>IFERROR(VLOOKUP($A37,'Mike FLEX'!$A$6:$N$278,7,FALSE),"")</x:f>
        <x:v>278</x:v>
      </x:c>
      <x:c r="H37" s="111" t="n">
        <x:f>IFERROR(VLOOKUP($A37,'Mike FLEX'!$A$6:$N$278,8,FALSE),"")</x:f>
        <x:v>1392</x:v>
      </x:c>
      <x:c r="I37" s="111" t="n">
        <x:f>IFERROR(VLOOKUP($A37,'Mike FLEX'!$A$6:$N$278,9,FALSE),"")</x:f>
        <x:v>13</x:v>
      </x:c>
      <x:c r="J37" s="111" t="n">
        <x:f>IFERROR(VLOOKUP($A37,'Mike FLEX'!$A$6:$N$278,10,FALSE),"")</x:f>
        <x:v>20</x:v>
      </x:c>
      <x:c r="K37" s="111" t="n">
        <x:f>IFERROR(VLOOKUP($A37,'Mike FLEX'!$A$6:$N$278,11,FALSE),"")</x:f>
        <x:v>191</x:v>
      </x:c>
      <x:c r="L37" s="111" t="n">
        <x:f>IFERROR(VLOOKUP($A37,'Mike FLEX'!$A$6:$N$278,12,FALSE),"")</x:f>
        <x:v>1</x:v>
      </x:c>
      <x:c r="M37" s="111" t="n">
        <x:f>IFERROR(VLOOKUP($A37,'Mike FLEX'!$A$6:$N$278,13,FALSE),"")</x:f>
        <x:v>3</x:v>
      </x:c>
      <x:c r="N37" s="109" t="n">
        <x:f>IFERROR(VLOOKUP($A37,'Andy FLEX'!$A$6:$N$278,5,FALSE),"")</x:f>
        <x:v>44</x:v>
      </x:c>
      <x:c r="O37" s="110" t="n">
        <x:f>IFERROR(VLOOKUP($A37,'Andy FLEX'!$A$6:$N$278,6,FALSE),"")</x:f>
        <x:v>13.2</x:v>
      </x:c>
      <x:c r="P37" s="111" t="n">
        <x:f>IFERROR(VLOOKUP($A37,'Andy FLEX'!$A$6:$N$278,7,FALSE),"")</x:f>
        <x:v>260</x:v>
      </x:c>
      <x:c r="Q37" s="111" t="n">
        <x:f>IFERROR(VLOOKUP($A37,'Andy FLEX'!$A$6:$N$278,8,FALSE),"")</x:f>
        <x:v>1254</x:v>
      </x:c>
      <x:c r="R37" s="111" t="n">
        <x:f>IFERROR(VLOOKUP($A37,'Andy FLEX'!$A$6:$N$278,9,FALSE),"")</x:f>
        <x:v>11</x:v>
      </x:c>
      <x:c r="S37" s="111" t="n">
        <x:f>IFERROR(VLOOKUP($A37,'Andy FLEX'!$A$6:$N$278,10,FALSE),"")</x:f>
        <x:v>15</x:v>
      </x:c>
      <x:c r="T37" s="111" t="n">
        <x:f>IFERROR(VLOOKUP($A37,'Andy FLEX'!$A$6:$N$278,11,FALSE),"")</x:f>
        <x:v>155</x:v>
      </x:c>
      <x:c r="U37" s="111" t="n">
        <x:f>IFERROR(VLOOKUP($A37,'Andy FLEX'!$A$6:$N$278,12,FALSE),"")</x:f>
        <x:v>1</x:v>
      </x:c>
      <x:c r="V37" s="111" t="n">
        <x:f>IFERROR(VLOOKUP($A37,'Andy FLEX'!$A$6:$N$278,13,FALSE),"")</x:f>
        <x:v>2</x:v>
      </x:c>
      <x:c r="W37" s="109" t="n">
        <x:f>IFERROR(VLOOKUP($A37,'Jason FLEX'!$A$6:$N$268,5,FALSE),"")</x:f>
        <x:v>36</x:v>
      </x:c>
      <x:c r="X37" s="110" t="n">
        <x:f>IFERROR(VLOOKUP($A37,'Jason FLEX'!$A$6:$N$268,6,FALSE),"")</x:f>
        <x:v>14.1</x:v>
      </x:c>
      <x:c r="Y37" s="111" t="n">
        <x:f>IFERROR(VLOOKUP($A37,'Jason FLEX'!$A$6:$N$268,7,FALSE),"")</x:f>
        <x:v>299</x:v>
      </x:c>
      <x:c r="Z37" s="111" t="n">
        <x:f>IFERROR(VLOOKUP($A37,'Jason FLEX'!$A$6:$N$268,8,FALSE),"")</x:f>
        <x:v>1405</x:v>
      </x:c>
      <x:c r="AA37" s="111" t="n">
        <x:f>IFERROR(VLOOKUP($A37,'Jason FLEX'!$A$6:$N$268,9,FALSE),"")</x:f>
        <x:v>13</x:v>
      </x:c>
      <x:c r="AB37" s="111" t="n">
        <x:f>IFERROR(VLOOKUP($A37,'Jason FLEX'!$A$6:$N$268,10,FALSE),"")</x:f>
        <x:v>13</x:v>
      </x:c>
      <x:c r="AC37" s="111" t="n">
        <x:f>IFERROR(VLOOKUP($A37,'Jason FLEX'!$A$6:$N$268,11,FALSE),"")</x:f>
        <x:v>125</x:v>
      </x:c>
      <x:c r="AD37" s="111" t="n">
        <x:f>IFERROR(VLOOKUP($A37,'Jason FLEX'!$A$6:$N$268,12,FALSE),"")</x:f>
        <x:v>0</x:v>
      </x:c>
      <x:c r="AE37" s="111" t="n">
        <x:f>IFERROR(VLOOKUP($A37,'Jason FLEX'!$A$6:$N$268,13,FALSE),"")</x:f>
        <x:v>2</x:v>
      </x:c>
      <x:c r="AF37" s="110" t="n">
        <x:f>IF(COUNT(E37,N37,W37)=0,"",AVERAGE(E37,N37,W37))</x:f>
        <x:v>33.333333333333336</x:v>
      </x:c>
      <x:c r="AG37" s="110" t="n">
        <x:f>IF(COUNT(E37,N37,W37)=0,"",MAX(E37,N37,W37)-MIN(E37,N37,W37))</x:f>
        <x:v>24</x:v>
      </x:c>
      <x:c r="AH37" s="110" t="n">
        <x:f>IF(COUNT(F37,O37,X37)=0,"",AVERAGE(F37,O37,X37))</x:f>
        <x:v>14.066666666666668</x:v>
      </x:c>
      <x:c r="AI37" s="112" t="n">
        <x:f>IF(COUNT(G37,P37,Y37)=0,"",AVERAGE(G37,P37,Y37))</x:f>
        <x:v>279</x:v>
      </x:c>
      <x:c r="AJ37" s="112" t="n">
        <x:f>IF(COUNT(H37,Q37,Z37)=0,"",AVERAGE(H37,Q37,Z37))</x:f>
        <x:v>1350.3333333333333</x:v>
      </x:c>
      <x:c r="AK37" s="112" t="n">
        <x:f>IF(COUNT(I37,R37,AA37)=0,"",AVERAGE(I37,R37,AA37))</x:f>
        <x:v>12.333333333333334</x:v>
      </x:c>
      <x:c r="AL37" s="112" t="n">
        <x:f>IF(COUNT(J37,S37,AB37)=0,"",AVERAGE(J37,S37,AB37))</x:f>
        <x:v>16</x:v>
      </x:c>
      <x:c r="AM37" s="112" t="n">
        <x:f>IF(COUNT(K37,T37,AC37)=0,"",AVERAGE(K37,T37,AC37))</x:f>
        <x:v>157</x:v>
      </x:c>
      <x:c r="AN37" s="112" t="n">
        <x:f>IF(COUNT(L37,U37,AD37)=0,"",AVERAGE(L37,U37,AD37))</x:f>
        <x:v>0.6666666666666666</x:v>
      </x:c>
      <x:c r="AO37" s="112" t="n">
        <x:f>IF(COUNT(M37,V37,AE37)=0,"",AVERAGE(M37,V37,AE37))</x:f>
        <x:v>2.3333333333333335</x:v>
      </x:c>
    </x:row>
    <x:row r="38">
      <x:c r="A38" s="107" t="str">
        <x:v>Emeka Egbuka</x:v>
      </x:c>
      <x:c r="B38" s="108" t="str">
        <x:v>WR</x:v>
      </x:c>
      <x:c r="C38" s="108" t="str">
        <x:v>TB</x:v>
      </x:c>
      <x:c r="D38" s="109" t="n">
        <x:v>10</x:v>
      </x:c>
      <x:c r="E38" s="109" t="n">
        <x:f>IFERROR(VLOOKUP($A38,'Mike FLEX'!$A$6:$N$278,5,FALSE),"")</x:f>
        <x:v>36</x:v>
      </x:c>
      <x:c r="F38" s="110" t="n">
        <x:f>IFERROR(VLOOKUP($A38,'Mike FLEX'!$A$6:$N$278,6,FALSE),"")</x:f>
        <x:v>13.6</x:v>
      </x:c>
      <x:c r="G38" s="111" t="n">
        <x:f>IFERROR(VLOOKUP($A38,'Mike FLEX'!$A$6:$N$278,7,FALSE),"")</x:f>
        <x:v>2</x:v>
      </x:c>
      <x:c r="H38" s="111" t="n">
        <x:f>IFERROR(VLOOKUP($A38,'Mike FLEX'!$A$6:$N$278,8,FALSE),"")</x:f>
        <x:v>9</x:v>
      </x:c>
      <x:c r="I38" s="111" t="n">
        <x:f>IFERROR(VLOOKUP($A38,'Mike FLEX'!$A$6:$N$278,9,FALSE),"")</x:f>
        <x:v>0</x:v>
      </x:c>
      <x:c r="J38" s="111" t="n">
        <x:f>IFERROR(VLOOKUP($A38,'Mike FLEX'!$A$6:$N$278,10,FALSE),"")</x:f>
        <x:v>79</x:v>
      </x:c>
      <x:c r="K38" s="111" t="n">
        <x:f>IFERROR(VLOOKUP($A38,'Mike FLEX'!$A$6:$N$278,11,FALSE),"")</x:f>
        <x:v>1103</x:v>
      </x:c>
      <x:c r="L38" s="111" t="n">
        <x:f>IFERROR(VLOOKUP($A38,'Mike FLEX'!$A$6:$N$278,12,FALSE),"")</x:f>
        <x:v>7</x:v>
      </x:c>
      <x:c r="M38" s="111" t="n">
        <x:f>IFERROR(VLOOKUP($A38,'Mike FLEX'!$A$6:$N$278,13,FALSE),"")</x:f>
        <x:v>0</x:v>
      </x:c>
      <x:c r="N38" s="109" t="n">
        <x:f>IFERROR(VLOOKUP($A38,'Andy FLEX'!$A$6:$N$278,5,FALSE),"")</x:f>
        <x:v>34</x:v>
      </x:c>
      <x:c r="O38" s="110" t="n">
        <x:f>IFERROR(VLOOKUP($A38,'Andy FLEX'!$A$6:$N$278,6,FALSE),"")</x:f>
        <x:v>13.9</x:v>
      </x:c>
      <x:c r="P38" s="111" t="n">
        <x:f>IFERROR(VLOOKUP($A38,'Andy FLEX'!$A$6:$N$278,7,FALSE),"")</x:f>
        <x:v>7</x:v>
      </x:c>
      <x:c r="Q38" s="111" t="n">
        <x:f>IFERROR(VLOOKUP($A38,'Andy FLEX'!$A$6:$N$278,8,FALSE),"")</x:f>
        <x:v>47</x:v>
      </x:c>
      <x:c r="R38" s="111" t="n">
        <x:f>IFERROR(VLOOKUP($A38,'Andy FLEX'!$A$6:$N$278,9,FALSE),"")</x:f>
        <x:v>0</x:v>
      </x:c>
      <x:c r="S38" s="111" t="n">
        <x:f>IFERROR(VLOOKUP($A38,'Andy FLEX'!$A$6:$N$278,10,FALSE),"")</x:f>
        <x:v>78</x:v>
      </x:c>
      <x:c r="T38" s="111" t="n">
        <x:f>IFERROR(VLOOKUP($A38,'Andy FLEX'!$A$6:$N$278,11,FALSE),"")</x:f>
        <x:v>1188</x:v>
      </x:c>
      <x:c r="U38" s="111" t="n">
        <x:f>IFERROR(VLOOKUP($A38,'Andy FLEX'!$A$6:$N$278,12,FALSE),"")</x:f>
        <x:v>6</x:v>
      </x:c>
      <x:c r="V38" s="111" t="n">
        <x:f>IFERROR(VLOOKUP($A38,'Andy FLEX'!$A$6:$N$278,13,FALSE),"")</x:f>
        <x:v>1</x:v>
      </x:c>
      <x:c r="W38" s="109" t="n">
        <x:f>IFERROR(VLOOKUP($A38,'Jason FLEX'!$A$6:$N$268,5,FALSE),"")</x:f>
        <x:v>34</x:v>
      </x:c>
      <x:c r="X38" s="110" t="n">
        <x:f>IFERROR(VLOOKUP($A38,'Jason FLEX'!$A$6:$N$268,6,FALSE),"")</x:f>
        <x:v>14.2</x:v>
      </x:c>
      <x:c r="Y38" s="111" t="n">
        <x:f>IFERROR(VLOOKUP($A38,'Jason FLEX'!$A$6:$N$268,7,FALSE),"")</x:f>
        <x:v>3</x:v>
      </x:c>
      <x:c r="Z38" s="111" t="n">
        <x:f>IFERROR(VLOOKUP($A38,'Jason FLEX'!$A$6:$N$268,8,FALSE),"")</x:f>
        <x:v>12</x:v>
      </x:c>
      <x:c r="AA38" s="111" t="n">
        <x:f>IFERROR(VLOOKUP($A38,'Jason FLEX'!$A$6:$N$268,9,FALSE),"")</x:f>
        <x:v>0</x:v>
      </x:c>
      <x:c r="AB38" s="111" t="n">
        <x:f>IFERROR(VLOOKUP($A38,'Jason FLEX'!$A$6:$N$268,10,FALSE),"")</x:f>
        <x:v>81</x:v>
      </x:c>
      <x:c r="AC38" s="111" t="n">
        <x:f>IFERROR(VLOOKUP($A38,'Jason FLEX'!$A$6:$N$268,11,FALSE),"")</x:f>
        <x:v>1118</x:v>
      </x:c>
      <x:c r="AD38" s="111" t="n">
        <x:f>IFERROR(VLOOKUP($A38,'Jason FLEX'!$A$6:$N$268,12,FALSE),"")</x:f>
        <x:v>8</x:v>
      </x:c>
      <x:c r="AE38" s="111" t="n">
        <x:f>IFERROR(VLOOKUP($A38,'Jason FLEX'!$A$6:$N$268,13,FALSE),"")</x:f>
        <x:v>0</x:v>
      </x:c>
      <x:c r="AF38" s="110" t="n">
        <x:f>IF(COUNT(E38,N38,W38)=0,"",AVERAGE(E38,N38,W38))</x:f>
        <x:v>34.666666666666664</x:v>
      </x:c>
      <x:c r="AG38" s="110" t="n">
        <x:f>IF(COUNT(E38,N38,W38)=0,"",MAX(E38,N38,W38)-MIN(E38,N38,W38))</x:f>
        <x:v>2</x:v>
      </x:c>
      <x:c r="AH38" s="110" t="n">
        <x:f>IF(COUNT(F38,O38,X38)=0,"",AVERAGE(F38,O38,X38))</x:f>
        <x:v>13.9</x:v>
      </x:c>
      <x:c r="AI38" s="112" t="n">
        <x:f>IF(COUNT(G38,P38,Y38)=0,"",AVERAGE(G38,P38,Y38))</x:f>
        <x:v>4</x:v>
      </x:c>
      <x:c r="AJ38" s="112" t="n">
        <x:f>IF(COUNT(H38,Q38,Z38)=0,"",AVERAGE(H38,Q38,Z38))</x:f>
        <x:v>22.666666666666668</x:v>
      </x:c>
      <x:c r="AK38" s="112" t="n">
        <x:f>IF(COUNT(I38,R38,AA38)=0,"",AVERAGE(I38,R38,AA38))</x:f>
        <x:v>0</x:v>
      </x:c>
      <x:c r="AL38" s="112" t="n">
        <x:f>IF(COUNT(J38,S38,AB38)=0,"",AVERAGE(J38,S38,AB38))</x:f>
        <x:v>79.33333333333333</x:v>
      </x:c>
      <x:c r="AM38" s="112" t="n">
        <x:f>IF(COUNT(K38,T38,AC38)=0,"",AVERAGE(K38,T38,AC38))</x:f>
        <x:v>1136.3333333333333</x:v>
      </x:c>
      <x:c r="AN38" s="112" t="n">
        <x:f>IF(COUNT(L38,U38,AD38)=0,"",AVERAGE(L38,U38,AD38))</x:f>
        <x:v>7</x:v>
      </x:c>
      <x:c r="AO38" s="112" t="n">
        <x:f>IF(COUNT(M38,V38,AE38)=0,"",AVERAGE(M38,V38,AE38))</x:f>
        <x:v>0.3333333333333333</x:v>
      </x:c>
    </x:row>
    <x:row r="39">
      <x:c r="A39" s="107" t="str">
        <x:v>Tetairoa McMillan</x:v>
      </x:c>
      <x:c r="B39" s="108" t="str">
        <x:v>WR</x:v>
      </x:c>
      <x:c r="C39" s="108" t="str">
        <x:v>CAR</x:v>
      </x:c>
      <x:c r="D39" s="109" t="n">
        <x:v>5</x:v>
      </x:c>
      <x:c r="E39" s="109" t="n">
        <x:f>IFERROR(VLOOKUP($A39,'Mike FLEX'!$A$6:$N$278,5,FALSE),"")</x:f>
        <x:v>35</x:v>
      </x:c>
      <x:c r="F39" s="110" t="n">
        <x:f>IFERROR(VLOOKUP($A39,'Mike FLEX'!$A$6:$N$278,6,FALSE),"")</x:f>
        <x:v>13.7</x:v>
      </x:c>
      <x:c r="G39" s="111" t="n">
        <x:f>IFERROR(VLOOKUP($A39,'Mike FLEX'!$A$6:$N$278,7,FALSE),"")</x:f>
        <x:v>0</x:v>
      </x:c>
      <x:c r="H39" s="111" t="n">
        <x:f>IFERROR(VLOOKUP($A39,'Mike FLEX'!$A$6:$N$278,8,FALSE),"")</x:f>
        <x:v>0</x:v>
      </x:c>
      <x:c r="I39" s="111" t="n">
        <x:f>IFERROR(VLOOKUP($A39,'Mike FLEX'!$A$6:$N$278,9,FALSE),"")</x:f>
        <x:v>0</x:v>
      </x:c>
      <x:c r="J39" s="111" t="n">
        <x:f>IFERROR(VLOOKUP($A39,'Mike FLEX'!$A$6:$N$278,10,FALSE),"")</x:f>
        <x:v>78</x:v>
      </x:c>
      <x:c r="K39" s="111" t="n">
        <x:f>IFERROR(VLOOKUP($A39,'Mike FLEX'!$A$6:$N$278,11,FALSE),"")</x:f>
        <x:v>1113</x:v>
      </x:c>
      <x:c r="L39" s="111" t="n">
        <x:f>IFERROR(VLOOKUP($A39,'Mike FLEX'!$A$6:$N$278,12,FALSE),"")</x:f>
        <x:v>7</x:v>
      </x:c>
      <x:c r="M39" s="111" t="n">
        <x:f>IFERROR(VLOOKUP($A39,'Mike FLEX'!$A$6:$N$278,13,FALSE),"")</x:f>
        <x:v>0</x:v>
      </x:c>
      <x:c r="N39" s="109" t="n">
        <x:f>IFERROR(VLOOKUP($A39,'Andy FLEX'!$A$6:$N$278,5,FALSE),"")</x:f>
        <x:v>41</x:v>
      </x:c>
      <x:c r="O39" s="110" t="n">
        <x:f>IFERROR(VLOOKUP($A39,'Andy FLEX'!$A$6:$N$278,6,FALSE),"")</x:f>
        <x:v>13.5</x:v>
      </x:c>
      <x:c r="P39" s="111" t="n">
        <x:f>IFERROR(VLOOKUP($A39,'Andy FLEX'!$A$6:$N$278,7,FALSE),"")</x:f>
        <x:v>0</x:v>
      </x:c>
      <x:c r="Q39" s="111" t="n">
        <x:f>IFERROR(VLOOKUP($A39,'Andy FLEX'!$A$6:$N$278,8,FALSE),"")</x:f>
        <x:v>0</x:v>
      </x:c>
      <x:c r="R39" s="111" t="n">
        <x:f>IFERROR(VLOOKUP($A39,'Andy FLEX'!$A$6:$N$278,9,FALSE),"")</x:f>
        <x:v>0</x:v>
      </x:c>
      <x:c r="S39" s="111" t="n">
        <x:f>IFERROR(VLOOKUP($A39,'Andy FLEX'!$A$6:$N$278,10,FALSE),"")</x:f>
        <x:v>73</x:v>
      </x:c>
      <x:c r="T39" s="111" t="n">
        <x:f>IFERROR(VLOOKUP($A39,'Andy FLEX'!$A$6:$N$278,11,FALSE),"")</x:f>
        <x:v>1066</x:v>
      </x:c>
      <x:c r="U39" s="111" t="n">
        <x:f>IFERROR(VLOOKUP($A39,'Andy FLEX'!$A$6:$N$278,12,FALSE),"")</x:f>
        <x:v>8</x:v>
      </x:c>
      <x:c r="V39" s="111" t="n">
        <x:f>IFERROR(VLOOKUP($A39,'Andy FLEX'!$A$6:$N$278,13,FALSE),"")</x:f>
        <x:v>0</x:v>
      </x:c>
      <x:c r="W39" s="109" t="n">
        <x:f>IFERROR(VLOOKUP($A39,'Jason FLEX'!$A$6:$N$268,5,FALSE),"")</x:f>
        <x:v>32</x:v>
      </x:c>
      <x:c r="X39" s="110" t="n">
        <x:f>IFERROR(VLOOKUP($A39,'Jason FLEX'!$A$6:$N$268,6,FALSE),"")</x:f>
        <x:v>14.4</x:v>
      </x:c>
      <x:c r="Y39" s="111" t="n">
        <x:f>IFERROR(VLOOKUP($A39,'Jason FLEX'!$A$6:$N$268,7,FALSE),"")</x:f>
        <x:v>1</x:v>
      </x:c>
      <x:c r="Z39" s="111" t="n">
        <x:f>IFERROR(VLOOKUP($A39,'Jason FLEX'!$A$6:$N$268,8,FALSE),"")</x:f>
        <x:v>4</x:v>
      </x:c>
      <x:c r="AA39" s="111" t="n">
        <x:f>IFERROR(VLOOKUP($A39,'Jason FLEX'!$A$6:$N$268,9,FALSE),"")</x:f>
        <x:v>0</x:v>
      </x:c>
      <x:c r="AB39" s="111" t="n">
        <x:f>IFERROR(VLOOKUP($A39,'Jason FLEX'!$A$6:$N$268,10,FALSE),"")</x:f>
        <x:v>85</x:v>
      </x:c>
      <x:c r="AC39" s="111" t="n">
        <x:f>IFERROR(VLOOKUP($A39,'Jason FLEX'!$A$6:$N$268,11,FALSE),"")</x:f>
        <x:v>1095</x:v>
      </x:c>
      <x:c r="AD39" s="111" t="n">
        <x:f>IFERROR(VLOOKUP($A39,'Jason FLEX'!$A$6:$N$268,12,FALSE),"")</x:f>
        <x:v>9</x:v>
      </x:c>
      <x:c r="AE39" s="111" t="n">
        <x:f>IFERROR(VLOOKUP($A39,'Jason FLEX'!$A$6:$N$268,13,FALSE),"")</x:f>
        <x:v>1</x:v>
      </x:c>
      <x:c r="AF39" s="110" t="n">
        <x:f>IF(COUNT(E39,N39,W39)=0,"",AVERAGE(E39,N39,W39))</x:f>
        <x:v>36</x:v>
      </x:c>
      <x:c r="AG39" s="110" t="n">
        <x:f>IF(COUNT(E39,N39,W39)=0,"",MAX(E39,N39,W39)-MIN(E39,N39,W39))</x:f>
        <x:v>9</x:v>
      </x:c>
      <x:c r="AH39" s="110" t="n">
        <x:f>IF(COUNT(F39,O39,X39)=0,"",AVERAGE(F39,O39,X39))</x:f>
        <x:v>13.866666666666667</x:v>
      </x:c>
      <x:c r="AI39" s="112" t="n">
        <x:f>IF(COUNT(G39,P39,Y39)=0,"",AVERAGE(G39,P39,Y39))</x:f>
        <x:v>0.3333333333333333</x:v>
      </x:c>
      <x:c r="AJ39" s="112" t="n">
        <x:f>IF(COUNT(H39,Q39,Z39)=0,"",AVERAGE(H39,Q39,Z39))</x:f>
        <x:v>1.3333333333333333</x:v>
      </x:c>
      <x:c r="AK39" s="112" t="n">
        <x:f>IF(COUNT(I39,R39,AA39)=0,"",AVERAGE(I39,R39,AA39))</x:f>
        <x:v>0</x:v>
      </x:c>
      <x:c r="AL39" s="112" t="n">
        <x:f>IF(COUNT(J39,S39,AB39)=0,"",AVERAGE(J39,S39,AB39))</x:f>
        <x:v>78.66666666666667</x:v>
      </x:c>
      <x:c r="AM39" s="112" t="n">
        <x:f>IF(COUNT(K39,T39,AC39)=0,"",AVERAGE(K39,T39,AC39))</x:f>
        <x:v>1091.3333333333333</x:v>
      </x:c>
      <x:c r="AN39" s="112" t="n">
        <x:f>IF(COUNT(L39,U39,AD39)=0,"",AVERAGE(L39,U39,AD39))</x:f>
        <x:v>8</x:v>
      </x:c>
      <x:c r="AO39" s="112" t="n">
        <x:f>IF(COUNT(M39,V39,AE39)=0,"",AVERAGE(M39,V39,AE39))</x:f>
        <x:v>0.3333333333333333</x:v>
      </x:c>
    </x:row>
    <x:row r="40">
      <x:c r="A40" s="107" t="str">
        <x:v>Tee Higgins</x:v>
      </x:c>
      <x:c r="B40" s="108" t="str">
        <x:v>WR</x:v>
      </x:c>
      <x:c r="C40" s="108" t="str">
        <x:v>CIN</x:v>
      </x:c>
      <x:c r="D40" s="109" t="n">
        <x:v>6</x:v>
      </x:c>
      <x:c r="E40" s="109" t="n">
        <x:f>IFERROR(VLOOKUP($A40,'Mike FLEX'!$A$6:$N$278,5,FALSE),"")</x:f>
        <x:v>37</x:v>
      </x:c>
      <x:c r="F40" s="110" t="n">
        <x:f>IFERROR(VLOOKUP($A40,'Mike FLEX'!$A$6:$N$278,6,FALSE),"")</x:f>
        <x:v>13.4</x:v>
      </x:c>
      <x:c r="G40" s="111" t="n">
        <x:f>IFERROR(VLOOKUP($A40,'Mike FLEX'!$A$6:$N$278,7,FALSE),"")</x:f>
        <x:v>0</x:v>
      </x:c>
      <x:c r="H40" s="111" t="n">
        <x:f>IFERROR(VLOOKUP($A40,'Mike FLEX'!$A$6:$N$278,8,FALSE),"")</x:f>
        <x:v>0</x:v>
      </x:c>
      <x:c r="I40" s="111" t="n">
        <x:f>IFERROR(VLOOKUP($A40,'Mike FLEX'!$A$6:$N$278,9,FALSE),"")</x:f>
        <x:v>0</x:v>
      </x:c>
      <x:c r="J40" s="111" t="n">
        <x:f>IFERROR(VLOOKUP($A40,'Mike FLEX'!$A$6:$N$278,10,FALSE),"")</x:f>
        <x:v>75</x:v>
      </x:c>
      <x:c r="K40" s="111" t="n">
        <x:f>IFERROR(VLOOKUP($A40,'Mike FLEX'!$A$6:$N$278,11,FALSE),"")</x:f>
        <x:v>1042</x:v>
      </x:c>
      <x:c r="L40" s="111" t="n">
        <x:f>IFERROR(VLOOKUP($A40,'Mike FLEX'!$A$6:$N$278,12,FALSE),"")</x:f>
        <x:v>8</x:v>
      </x:c>
      <x:c r="M40" s="111" t="n">
        <x:f>IFERROR(VLOOKUP($A40,'Mike FLEX'!$A$6:$N$278,13,FALSE),"")</x:f>
        <x:v>0</x:v>
      </x:c>
      <x:c r="N40" s="109" t="n">
        <x:f>IFERROR(VLOOKUP($A40,'Andy FLEX'!$A$6:$N$278,5,FALSE),"")</x:f>
        <x:v>36</x:v>
      </x:c>
      <x:c r="O40" s="110" t="n">
        <x:f>IFERROR(VLOOKUP($A40,'Andy FLEX'!$A$6:$N$278,6,FALSE),"")</x:f>
        <x:v>13.8</x:v>
      </x:c>
      <x:c r="P40" s="111" t="n">
        <x:f>IFERROR(VLOOKUP($A40,'Andy FLEX'!$A$6:$N$278,7,FALSE),"")</x:f>
        <x:v>0</x:v>
      </x:c>
      <x:c r="Q40" s="111" t="n">
        <x:f>IFERROR(VLOOKUP($A40,'Andy FLEX'!$A$6:$N$278,8,FALSE),"")</x:f>
        <x:v>5</x:v>
      </x:c>
      <x:c r="R40" s="111" t="n">
        <x:f>IFERROR(VLOOKUP($A40,'Andy FLEX'!$A$6:$N$278,9,FALSE),"")</x:f>
        <x:v>0</x:v>
      </x:c>
      <x:c r="S40" s="111" t="n">
        <x:f>IFERROR(VLOOKUP($A40,'Andy FLEX'!$A$6:$N$278,10,FALSE),"")</x:f>
        <x:v>74</x:v>
      </x:c>
      <x:c r="T40" s="111" t="n">
        <x:f>IFERROR(VLOOKUP($A40,'Andy FLEX'!$A$6:$N$278,11,FALSE),"")</x:f>
        <x:v>1115</x:v>
      </x:c>
      <x:c r="U40" s="111" t="n">
        <x:f>IFERROR(VLOOKUP($A40,'Andy FLEX'!$A$6:$N$278,12,FALSE),"")</x:f>
        <x:v>8</x:v>
      </x:c>
      <x:c r="V40" s="111" t="n">
        <x:f>IFERROR(VLOOKUP($A40,'Andy FLEX'!$A$6:$N$278,13,FALSE),"")</x:f>
        <x:v>0</x:v>
      </x:c>
      <x:c r="W40" s="109" t="n">
        <x:f>IFERROR(VLOOKUP($A40,'Jason FLEX'!$A$6:$N$268,5,FALSE),"")</x:f>
        <x:v>37</x:v>
      </x:c>
      <x:c r="X40" s="110" t="n">
        <x:f>IFERROR(VLOOKUP($A40,'Jason FLEX'!$A$6:$N$268,6,FALSE),"")</x:f>
        <x:v>14.1</x:v>
      </x:c>
      <x:c r="Y40" s="111" t="n">
        <x:f>IFERROR(VLOOKUP($A40,'Jason FLEX'!$A$6:$N$268,7,FALSE),"")</x:f>
        <x:v>0</x:v>
      </x:c>
      <x:c r="Z40" s="111" t="n">
        <x:f>IFERROR(VLOOKUP($A40,'Jason FLEX'!$A$6:$N$268,8,FALSE),"")</x:f>
        <x:v>0</x:v>
      </x:c>
      <x:c r="AA40" s="111" t="n">
        <x:f>IFERROR(VLOOKUP($A40,'Jason FLEX'!$A$6:$N$268,9,FALSE),"")</x:f>
        <x:v>0</x:v>
      </x:c>
      <x:c r="AB40" s="111" t="n">
        <x:f>IFERROR(VLOOKUP($A40,'Jason FLEX'!$A$6:$N$268,10,FALSE),"")</x:f>
        <x:v>78</x:v>
      </x:c>
      <x:c r="AC40" s="111" t="n">
        <x:f>IFERROR(VLOOKUP($A40,'Jason FLEX'!$A$6:$N$268,11,FALSE),"")</x:f>
        <x:v>1075</x:v>
      </x:c>
      <x:c r="AD40" s="111" t="n">
        <x:f>IFERROR(VLOOKUP($A40,'Jason FLEX'!$A$6:$N$268,12,FALSE),"")</x:f>
        <x:v>9</x:v>
      </x:c>
      <x:c r="AE40" s="111" t="n">
        <x:f>IFERROR(VLOOKUP($A40,'Jason FLEX'!$A$6:$N$268,13,FALSE),"")</x:f>
        <x:v>0</x:v>
      </x:c>
      <x:c r="AF40" s="110" t="n">
        <x:f>IF(COUNT(E40,N40,W40)=0,"",AVERAGE(E40,N40,W40))</x:f>
        <x:v>36.666666666666664</x:v>
      </x:c>
      <x:c r="AG40" s="110" t="n">
        <x:f>IF(COUNT(E40,N40,W40)=0,"",MAX(E40,N40,W40)-MIN(E40,N40,W40))</x:f>
        <x:v>1</x:v>
      </x:c>
      <x:c r="AH40" s="110" t="n">
        <x:f>IF(COUNT(F40,O40,X40)=0,"",AVERAGE(F40,O40,X40))</x:f>
        <x:v>13.766666666666667</x:v>
      </x:c>
      <x:c r="AI40" s="112" t="n">
        <x:f>IF(COUNT(G40,P40,Y40)=0,"",AVERAGE(G40,P40,Y40))</x:f>
        <x:v>0</x:v>
      </x:c>
      <x:c r="AJ40" s="112" t="n">
        <x:f>IF(COUNT(H40,Q40,Z40)=0,"",AVERAGE(H40,Q40,Z40))</x:f>
        <x:v>1.6666666666666667</x:v>
      </x:c>
      <x:c r="AK40" s="112" t="n">
        <x:f>IF(COUNT(I40,R40,AA40)=0,"",AVERAGE(I40,R40,AA40))</x:f>
        <x:v>0</x:v>
      </x:c>
      <x:c r="AL40" s="112" t="n">
        <x:f>IF(COUNT(J40,S40,AB40)=0,"",AVERAGE(J40,S40,AB40))</x:f>
        <x:v>75.66666666666667</x:v>
      </x:c>
      <x:c r="AM40" s="112" t="n">
        <x:f>IF(COUNT(K40,T40,AC40)=0,"",AVERAGE(K40,T40,AC40))</x:f>
        <x:v>1077.3333333333333</x:v>
      </x:c>
      <x:c r="AN40" s="112" t="n">
        <x:f>IF(COUNT(L40,U40,AD40)=0,"",AVERAGE(L40,U40,AD40))</x:f>
        <x:v>8.333333333333334</x:v>
      </x:c>
      <x:c r="AO40" s="112" t="n">
        <x:f>IF(COUNT(M40,V40,AE40)=0,"",AVERAGE(M40,V40,AE40))</x:f>
        <x:v>0</x:v>
      </x:c>
    </x:row>
    <x:row r="41">
      <x:c r="A41" s="107" t="str">
        <x:v>Jeremiyah Love</x:v>
      </x:c>
      <x:c r="B41" s="108" t="str">
        <x:v>RB</x:v>
      </x:c>
      <x:c r="C41" s="108" t="str">
        <x:v>ARI</x:v>
      </x:c>
      <x:c r="D41" s="109" t="n">
        <x:v>14</x:v>
      </x:c>
      <x:c r="E41" s="109" t="n">
        <x:f>IFERROR(VLOOKUP($A41,'Mike FLEX'!$A$6:$N$278,5,FALSE),"")</x:f>
        <x:v>21</x:v>
      </x:c>
      <x:c r="F41" s="110" t="n">
        <x:f>IFERROR(VLOOKUP($A41,'Mike FLEX'!$A$6:$N$278,6,FALSE),"")</x:f>
        <x:v>14.7</x:v>
      </x:c>
      <x:c r="G41" s="111" t="n">
        <x:f>IFERROR(VLOOKUP($A41,'Mike FLEX'!$A$6:$N$278,7,FALSE),"")</x:f>
        <x:v>237</x:v>
      </x:c>
      <x:c r="H41" s="111" t="n">
        <x:f>IFERROR(VLOOKUP($A41,'Mike FLEX'!$A$6:$N$278,8,FALSE),"")</x:f>
        <x:v>1090</x:v>
      </x:c>
      <x:c r="I41" s="111" t="n">
        <x:f>IFERROR(VLOOKUP($A41,'Mike FLEX'!$A$6:$N$278,9,FALSE),"")</x:f>
        <x:v>8</x:v>
      </x:c>
      <x:c r="J41" s="111" t="n">
        <x:f>IFERROR(VLOOKUP($A41,'Mike FLEX'!$A$6:$N$278,10,FALSE),"")</x:f>
        <x:v>50</x:v>
      </x:c>
      <x:c r="K41" s="111" t="n">
        <x:f>IFERROR(VLOOKUP($A41,'Mike FLEX'!$A$6:$N$278,11,FALSE),"")</x:f>
        <x:v>353</x:v>
      </x:c>
      <x:c r="L41" s="111" t="n">
        <x:f>IFERROR(VLOOKUP($A41,'Mike FLEX'!$A$6:$N$278,12,FALSE),"")</x:f>
        <x:v>2</x:v>
      </x:c>
      <x:c r="M41" s="111" t="n">
        <x:f>IFERROR(VLOOKUP($A41,'Mike FLEX'!$A$6:$N$278,13,FALSE),"")</x:f>
        <x:v>0</x:v>
      </x:c>
      <x:c r="N41" s="109" t="n">
        <x:f>IFERROR(VLOOKUP($A41,'Andy FLEX'!$A$6:$N$278,5,FALSE),"")</x:f>
        <x:v>51</x:v>
      </x:c>
      <x:c r="O41" s="110" t="n">
        <x:f>IFERROR(VLOOKUP($A41,'Andy FLEX'!$A$6:$N$278,6,FALSE),"")</x:f>
        <x:v>12.8</x:v>
      </x:c>
      <x:c r="P41" s="111" t="n">
        <x:f>IFERROR(VLOOKUP($A41,'Andy FLEX'!$A$6:$N$278,7,FALSE),"")</x:f>
        <x:v>211</x:v>
      </x:c>
      <x:c r="Q41" s="111" t="n">
        <x:f>IFERROR(VLOOKUP($A41,'Andy FLEX'!$A$6:$N$278,8,FALSE),"")</x:f>
        <x:v>1022</x:v>
      </x:c>
      <x:c r="R41" s="111" t="n">
        <x:f>IFERROR(VLOOKUP($A41,'Andy FLEX'!$A$6:$N$278,9,FALSE),"")</x:f>
        <x:v>6</x:v>
      </x:c>
      <x:c r="S41" s="111" t="n">
        <x:f>IFERROR(VLOOKUP($A41,'Andy FLEX'!$A$6:$N$278,10,FALSE),"")</x:f>
        <x:v>38</x:v>
      </x:c>
      <x:c r="T41" s="111" t="n">
        <x:f>IFERROR(VLOOKUP($A41,'Andy FLEX'!$A$6:$N$278,11,FALSE),"")</x:f>
        <x:v>318</x:v>
      </x:c>
      <x:c r="U41" s="111" t="n">
        <x:f>IFERROR(VLOOKUP($A41,'Andy FLEX'!$A$6:$N$278,12,FALSE),"")</x:f>
        <x:v>2</x:v>
      </x:c>
      <x:c r="V41" s="111" t="n">
        <x:f>IFERROR(VLOOKUP($A41,'Andy FLEX'!$A$6:$N$278,13,FALSE),"")</x:f>
        <x:v>1</x:v>
      </x:c>
      <x:c r="W41" s="109" t="n">
        <x:f>IFERROR(VLOOKUP($A41,'Jason FLEX'!$A$6:$N$268,5,FALSE),"")</x:f>
        <x:v>41</x:v>
      </x:c>
      <x:c r="X41" s="110" t="n">
        <x:f>IFERROR(VLOOKUP($A41,'Jason FLEX'!$A$6:$N$268,6,FALSE),"")</x:f>
        <x:v>13.6</x:v>
      </x:c>
      <x:c r="Y41" s="111" t="n">
        <x:f>IFERROR(VLOOKUP($A41,'Jason FLEX'!$A$6:$N$268,7,FALSE),"")</x:f>
        <x:v>205</x:v>
      </x:c>
      <x:c r="Z41" s="111" t="n">
        <x:f>IFERROR(VLOOKUP($A41,'Jason FLEX'!$A$6:$N$268,8,FALSE),"")</x:f>
        <x:v>974</x:v>
      </x:c>
      <x:c r="AA41" s="111" t="n">
        <x:f>IFERROR(VLOOKUP($A41,'Jason FLEX'!$A$6:$N$268,9,FALSE),"")</x:f>
        <x:v>7</x:v>
      </x:c>
      <x:c r="AB41" s="111" t="n">
        <x:f>IFERROR(VLOOKUP($A41,'Jason FLEX'!$A$6:$N$268,10,FALSE),"")</x:f>
        <x:v>44</x:v>
      </x:c>
      <x:c r="AC41" s="111" t="n">
        <x:f>IFERROR(VLOOKUP($A41,'Jason FLEX'!$A$6:$N$268,11,FALSE),"")</x:f>
        <x:v>365</x:v>
      </x:c>
      <x:c r="AD41" s="111" t="n">
        <x:f>IFERROR(VLOOKUP($A41,'Jason FLEX'!$A$6:$N$268,12,FALSE),"")</x:f>
        <x:v>2</x:v>
      </x:c>
      <x:c r="AE41" s="111" t="n">
        <x:f>IFERROR(VLOOKUP($A41,'Jason FLEX'!$A$6:$N$268,13,FALSE),"")</x:f>
        <x:v>0</x:v>
      </x:c>
      <x:c r="AF41" s="110" t="n">
        <x:f>IF(COUNT(E41,N41,W41)=0,"",AVERAGE(E41,N41,W41))</x:f>
        <x:v>37.666666666666664</x:v>
      </x:c>
      <x:c r="AG41" s="110" t="n">
        <x:f>IF(COUNT(E41,N41,W41)=0,"",MAX(E41,N41,W41)-MIN(E41,N41,W41))</x:f>
        <x:v>30</x:v>
      </x:c>
      <x:c r="AH41" s="110" t="n">
        <x:f>IF(COUNT(F41,O41,X41)=0,"",AVERAGE(F41,O41,X41))</x:f>
        <x:v>13.700000000000001</x:v>
      </x:c>
      <x:c r="AI41" s="112" t="n">
        <x:f>IF(COUNT(G41,P41,Y41)=0,"",AVERAGE(G41,P41,Y41))</x:f>
        <x:v>217.66666666666666</x:v>
      </x:c>
      <x:c r="AJ41" s="112" t="n">
        <x:f>IF(COUNT(H41,Q41,Z41)=0,"",AVERAGE(H41,Q41,Z41))</x:f>
        <x:v>1028.6666666666667</x:v>
      </x:c>
      <x:c r="AK41" s="112" t="n">
        <x:f>IF(COUNT(I41,R41,AA41)=0,"",AVERAGE(I41,R41,AA41))</x:f>
        <x:v>7</x:v>
      </x:c>
      <x:c r="AL41" s="112" t="n">
        <x:f>IF(COUNT(J41,S41,AB41)=0,"",AVERAGE(J41,S41,AB41))</x:f>
        <x:v>44</x:v>
      </x:c>
      <x:c r="AM41" s="112" t="n">
        <x:f>IF(COUNT(K41,T41,AC41)=0,"",AVERAGE(K41,T41,AC41))</x:f>
        <x:v>345.3333333333333</x:v>
      </x:c>
      <x:c r="AN41" s="112" t="n">
        <x:f>IF(COUNT(L41,U41,AD41)=0,"",AVERAGE(L41,U41,AD41))</x:f>
        <x:v>2</x:v>
      </x:c>
      <x:c r="AO41" s="112" t="n">
        <x:f>IF(COUNT(M41,V41,AE41)=0,"",AVERAGE(M41,V41,AE41))</x:f>
        <x:v>0.3333333333333333</x:v>
      </x:c>
    </x:row>
    <x:row r="42">
      <x:c r="A42" s="107" t="str">
        <x:v>Carnell Tate</x:v>
      </x:c>
      <x:c r="B42" s="108" t="str">
        <x:v>WR</x:v>
      </x:c>
      <x:c r="C42" s="108" t="str">
        <x:v>TEN</x:v>
      </x:c>
      <x:c r="D42" s="109" t="n">
        <x:v>9</x:v>
      </x:c>
      <x:c r="E42" s="109" t="n">
        <x:f>IFERROR(VLOOKUP($A42,'Mike FLEX'!$A$6:$N$278,5,FALSE),"")</x:f>
        <x:v>44</x:v>
      </x:c>
      <x:c r="F42" s="110" t="n">
        <x:f>IFERROR(VLOOKUP($A42,'Mike FLEX'!$A$6:$N$278,6,FALSE),"")</x:f>
        <x:v>13</x:v>
      </x:c>
      <x:c r="G42" s="111" t="n">
        <x:f>IFERROR(VLOOKUP($A42,'Mike FLEX'!$A$6:$N$278,7,FALSE),"")</x:f>
        <x:v>0</x:v>
      </x:c>
      <x:c r="H42" s="111" t="n">
        <x:f>IFERROR(VLOOKUP($A42,'Mike FLEX'!$A$6:$N$278,8,FALSE),"")</x:f>
        <x:v>0</x:v>
      </x:c>
      <x:c r="I42" s="111" t="n">
        <x:f>IFERROR(VLOOKUP($A42,'Mike FLEX'!$A$6:$N$278,9,FALSE),"")</x:f>
        <x:v>0</x:v>
      </x:c>
      <x:c r="J42" s="111" t="n">
        <x:f>IFERROR(VLOOKUP($A42,'Mike FLEX'!$A$6:$N$278,10,FALSE),"")</x:f>
        <x:v>80</x:v>
      </x:c>
      <x:c r="K42" s="111" t="n">
        <x:f>IFERROR(VLOOKUP($A42,'Mike FLEX'!$A$6:$N$278,11,FALSE),"")</x:f>
        <x:v>976</x:v>
      </x:c>
      <x:c r="L42" s="111" t="n">
        <x:f>IFERROR(VLOOKUP($A42,'Mike FLEX'!$A$6:$N$278,12,FALSE),"")</x:f>
        <x:v>7</x:v>
      </x:c>
      <x:c r="M42" s="111" t="n">
        <x:f>IFERROR(VLOOKUP($A42,'Mike FLEX'!$A$6:$N$278,13,FALSE),"")</x:f>
        <x:v>0</x:v>
      </x:c>
      <x:c r="N42" s="109" t="n">
        <x:f>IFERROR(VLOOKUP($A42,'Andy FLEX'!$A$6:$N$278,5,FALSE),"")</x:f>
        <x:v>40</x:v>
      </x:c>
      <x:c r="O42" s="110" t="n">
        <x:f>IFERROR(VLOOKUP($A42,'Andy FLEX'!$A$6:$N$278,6,FALSE),"")</x:f>
        <x:v>13.6</x:v>
      </x:c>
      <x:c r="P42" s="111" t="n">
        <x:f>IFERROR(VLOOKUP($A42,'Andy FLEX'!$A$6:$N$278,7,FALSE),"")</x:f>
        <x:v>10</x:v>
      </x:c>
      <x:c r="Q42" s="111" t="n">
        <x:f>IFERROR(VLOOKUP($A42,'Andy FLEX'!$A$6:$N$278,8,FALSE),"")</x:f>
        <x:v>61</x:v>
      </x:c>
      <x:c r="R42" s="111" t="n">
        <x:f>IFERROR(VLOOKUP($A42,'Andy FLEX'!$A$6:$N$278,9,FALSE),"")</x:f>
        <x:v>0</x:v>
      </x:c>
      <x:c r="S42" s="111" t="n">
        <x:f>IFERROR(VLOOKUP($A42,'Andy FLEX'!$A$6:$N$278,10,FALSE),"")</x:f>
        <x:v>75</x:v>
      </x:c>
      <x:c r="T42" s="111" t="n">
        <x:f>IFERROR(VLOOKUP($A42,'Andy FLEX'!$A$6:$N$278,11,FALSE),"")</x:f>
        <x:v>1056</x:v>
      </x:c>
      <x:c r="U42" s="111" t="n">
        <x:f>IFERROR(VLOOKUP($A42,'Andy FLEX'!$A$6:$N$278,12,FALSE),"")</x:f>
        <x:v>8</x:v>
      </x:c>
      <x:c r="V42" s="111" t="n">
        <x:f>IFERROR(VLOOKUP($A42,'Andy FLEX'!$A$6:$N$278,13,FALSE),"")</x:f>
        <x:v>1</x:v>
      </x:c>
      <x:c r="W42" s="109" t="n">
        <x:f>IFERROR(VLOOKUP($A42,'Jason FLEX'!$A$6:$N$268,5,FALSE),"")</x:f>
        <x:v>33</x:v>
      </x:c>
      <x:c r="X42" s="110" t="n">
        <x:f>IFERROR(VLOOKUP($A42,'Jason FLEX'!$A$6:$N$268,6,FALSE),"")</x:f>
        <x:v>14.3</x:v>
      </x:c>
      <x:c r="Y42" s="111" t="n">
        <x:f>IFERROR(VLOOKUP($A42,'Jason FLEX'!$A$6:$N$268,7,FALSE),"")</x:f>
        <x:v>2</x:v>
      </x:c>
      <x:c r="Z42" s="111" t="n">
        <x:f>IFERROR(VLOOKUP($A42,'Jason FLEX'!$A$6:$N$268,8,FALSE),"")</x:f>
        <x:v>8</x:v>
      </x:c>
      <x:c r="AA42" s="111" t="n">
        <x:f>IFERROR(VLOOKUP($A42,'Jason FLEX'!$A$6:$N$268,9,FALSE),"")</x:f>
        <x:v>0</x:v>
      </x:c>
      <x:c r="AB42" s="111" t="n">
        <x:f>IFERROR(VLOOKUP($A42,'Jason FLEX'!$A$6:$N$268,10,FALSE),"")</x:f>
        <x:v>87</x:v>
      </x:c>
      <x:c r="AC42" s="111" t="n">
        <x:f>IFERROR(VLOOKUP($A42,'Jason FLEX'!$A$6:$N$268,11,FALSE),"")</x:f>
        <x:v>1131</x:v>
      </x:c>
      <x:c r="AD42" s="111" t="n">
        <x:f>IFERROR(VLOOKUP($A42,'Jason FLEX'!$A$6:$N$268,12,FALSE),"")</x:f>
        <x:v>7</x:v>
      </x:c>
      <x:c r="AE42" s="111" t="n">
        <x:f>IFERROR(VLOOKUP($A42,'Jason FLEX'!$A$6:$N$268,13,FALSE),"")</x:f>
        <x:v>0</x:v>
      </x:c>
      <x:c r="AF42" s="110" t="n">
        <x:f>IF(COUNT(E42,N42,W42)=0,"",AVERAGE(E42,N42,W42))</x:f>
        <x:v>39</x:v>
      </x:c>
      <x:c r="AG42" s="110" t="n">
        <x:f>IF(COUNT(E42,N42,W42)=0,"",MAX(E42,N42,W42)-MIN(E42,N42,W42))</x:f>
        <x:v>11</x:v>
      </x:c>
      <x:c r="AH42" s="110" t="n">
        <x:f>IF(COUNT(F42,O42,X42)=0,"",AVERAGE(F42,O42,X42))</x:f>
        <x:v>13.633333333333335</x:v>
      </x:c>
      <x:c r="AI42" s="112" t="n">
        <x:f>IF(COUNT(G42,P42,Y42)=0,"",AVERAGE(G42,P42,Y42))</x:f>
        <x:v>4</x:v>
      </x:c>
      <x:c r="AJ42" s="112" t="n">
        <x:f>IF(COUNT(H42,Q42,Z42)=0,"",AVERAGE(H42,Q42,Z42))</x:f>
        <x:v>23</x:v>
      </x:c>
      <x:c r="AK42" s="112" t="n">
        <x:f>IF(COUNT(I42,R42,AA42)=0,"",AVERAGE(I42,R42,AA42))</x:f>
        <x:v>0</x:v>
      </x:c>
      <x:c r="AL42" s="112" t="n">
        <x:f>IF(COUNT(J42,S42,AB42)=0,"",AVERAGE(J42,S42,AB42))</x:f>
        <x:v>80.66666666666667</x:v>
      </x:c>
      <x:c r="AM42" s="112" t="n">
        <x:f>IF(COUNT(K42,T42,AC42)=0,"",AVERAGE(K42,T42,AC42))</x:f>
        <x:v>1054.3333333333333</x:v>
      </x:c>
      <x:c r="AN42" s="112" t="n">
        <x:f>IF(COUNT(L42,U42,AD42)=0,"",AVERAGE(L42,U42,AD42))</x:f>
        <x:v>7.333333333333333</x:v>
      </x:c>
      <x:c r="AO42" s="112" t="n">
        <x:f>IF(COUNT(M42,V42,AE42)=0,"",AVERAGE(M42,V42,AE42))</x:f>
        <x:v>0.3333333333333333</x:v>
      </x:c>
    </x:row>
    <x:row r="43">
      <x:c r="A43" s="107" t="str">
        <x:v>Breece Hall</x:v>
      </x:c>
      <x:c r="B43" s="108" t="str">
        <x:v>RB</x:v>
      </x:c>
      <x:c r="C43" s="108" t="str">
        <x:v>NYJ</x:v>
      </x:c>
      <x:c r="D43" s="109" t="n">
        <x:v>13</x:v>
      </x:c>
      <x:c r="E43" s="109" t="n">
        <x:f>IFERROR(VLOOKUP($A43,'Mike FLEX'!$A$6:$N$278,5,FALSE),"")</x:f>
        <x:v>41</x:v>
      </x:c>
      <x:c r="F43" s="110" t="n">
        <x:f>IFERROR(VLOOKUP($A43,'Mike FLEX'!$A$6:$N$278,6,FALSE),"")</x:f>
        <x:v>13.2</x:v>
      </x:c>
      <x:c r="G43" s="111" t="n">
        <x:f>IFERROR(VLOOKUP($A43,'Mike FLEX'!$A$6:$N$278,7,FALSE),"")</x:f>
        <x:v>219</x:v>
      </x:c>
      <x:c r="H43" s="111" t="n">
        <x:f>IFERROR(VLOOKUP($A43,'Mike FLEX'!$A$6:$N$278,8,FALSE),"")</x:f>
        <x:v>965</x:v>
      </x:c>
      <x:c r="I43" s="111" t="n">
        <x:f>IFERROR(VLOOKUP($A43,'Mike FLEX'!$A$6:$N$278,9,FALSE),"")</x:f>
        <x:v>5</x:v>
      </x:c>
      <x:c r="J43" s="111" t="n">
        <x:f>IFERROR(VLOOKUP($A43,'Mike FLEX'!$A$6:$N$278,10,FALSE),"")</x:f>
        <x:v>47</x:v>
      </x:c>
      <x:c r="K43" s="111" t="n">
        <x:f>IFERROR(VLOOKUP($A43,'Mike FLEX'!$A$6:$N$278,11,FALSE),"")</x:f>
        <x:v>409</x:v>
      </x:c>
      <x:c r="L43" s="111" t="n">
        <x:f>IFERROR(VLOOKUP($A43,'Mike FLEX'!$A$6:$N$278,12,FALSE),"")</x:f>
        <x:v>2</x:v>
      </x:c>
      <x:c r="M43" s="111" t="n">
        <x:f>IFERROR(VLOOKUP($A43,'Mike FLEX'!$A$6:$N$278,13,FALSE),"")</x:f>
        <x:v>3</x:v>
      </x:c>
      <x:c r="N43" s="109" t="n">
        <x:f>IFERROR(VLOOKUP($A43,'Andy FLEX'!$A$6:$N$278,5,FALSE),"")</x:f>
        <x:v>35</x:v>
      </x:c>
      <x:c r="O43" s="110" t="n">
        <x:f>IFERROR(VLOOKUP($A43,'Andy FLEX'!$A$6:$N$278,6,FALSE),"")</x:f>
        <x:v>13.8</x:v>
      </x:c>
      <x:c r="P43" s="111" t="n">
        <x:f>IFERROR(VLOOKUP($A43,'Andy FLEX'!$A$6:$N$278,7,FALSE),"")</x:f>
        <x:v>243</x:v>
      </x:c>
      <x:c r="Q43" s="111" t="n">
        <x:f>IFERROR(VLOOKUP($A43,'Andy FLEX'!$A$6:$N$278,8,FALSE),"")</x:f>
        <x:v>1069</x:v>
      </x:c>
      <x:c r="R43" s="111" t="n">
        <x:f>IFERROR(VLOOKUP($A43,'Andy FLEX'!$A$6:$N$278,9,FALSE),"")</x:f>
        <x:v>6</x:v>
      </x:c>
      <x:c r="S43" s="111" t="n">
        <x:f>IFERROR(VLOOKUP($A43,'Andy FLEX'!$A$6:$N$278,10,FALSE),"")</x:f>
        <x:v>41</x:v>
      </x:c>
      <x:c r="T43" s="111" t="n">
        <x:f>IFERROR(VLOOKUP($A43,'Andy FLEX'!$A$6:$N$278,11,FALSE),"")</x:f>
        <x:v>392</x:v>
      </x:c>
      <x:c r="U43" s="111" t="n">
        <x:f>IFERROR(VLOOKUP($A43,'Andy FLEX'!$A$6:$N$278,12,FALSE),"")</x:f>
        <x:v>2</x:v>
      </x:c>
      <x:c r="V43" s="111" t="n">
        <x:f>IFERROR(VLOOKUP($A43,'Andy FLEX'!$A$6:$N$278,13,FALSE),"")</x:f>
        <x:v>2</x:v>
      </x:c>
      <x:c r="W43" s="109" t="n">
        <x:f>IFERROR(VLOOKUP($A43,'Jason FLEX'!$A$6:$N$268,5,FALSE),"")</x:f>
        <x:v>43</x:v>
      </x:c>
      <x:c r="X43" s="110" t="n">
        <x:f>IFERROR(VLOOKUP($A43,'Jason FLEX'!$A$6:$N$268,6,FALSE),"")</x:f>
        <x:v>13.4</x:v>
      </x:c>
      <x:c r="Y43" s="111" t="n">
        <x:f>IFERROR(VLOOKUP($A43,'Jason FLEX'!$A$6:$N$268,7,FALSE),"")</x:f>
        <x:v>240</x:v>
      </x:c>
      <x:c r="Z43" s="111" t="n">
        <x:f>IFERROR(VLOOKUP($A43,'Jason FLEX'!$A$6:$N$268,8,FALSE),"")</x:f>
        <x:v>1056</x:v>
      </x:c>
      <x:c r="AA43" s="111" t="n">
        <x:f>IFERROR(VLOOKUP($A43,'Jason FLEX'!$A$6:$N$268,9,FALSE),"")</x:f>
        <x:v>7</x:v>
      </x:c>
      <x:c r="AB43" s="111" t="n">
        <x:f>IFERROR(VLOOKUP($A43,'Jason FLEX'!$A$6:$N$268,10,FALSE),"")</x:f>
        <x:v>42</x:v>
      </x:c>
      <x:c r="AC43" s="111" t="n">
        <x:f>IFERROR(VLOOKUP($A43,'Jason FLEX'!$A$6:$N$268,11,FALSE),"")</x:f>
        <x:v>315</x:v>
      </x:c>
      <x:c r="AD43" s="111" t="n">
        <x:f>IFERROR(VLOOKUP($A43,'Jason FLEX'!$A$6:$N$268,12,FALSE),"")</x:f>
        <x:v>2</x:v>
      </x:c>
      <x:c r="AE43" s="111" t="n">
        <x:f>IFERROR(VLOOKUP($A43,'Jason FLEX'!$A$6:$N$268,13,FALSE),"")</x:f>
        <x:v>3</x:v>
      </x:c>
      <x:c r="AF43" s="110" t="n">
        <x:f>IF(COUNT(E43,N43,W43)=0,"",AVERAGE(E43,N43,W43))</x:f>
        <x:v>39.666666666666664</x:v>
      </x:c>
      <x:c r="AG43" s="110" t="n">
        <x:f>IF(COUNT(E43,N43,W43)=0,"",MAX(E43,N43,W43)-MIN(E43,N43,W43))</x:f>
        <x:v>8</x:v>
      </x:c>
      <x:c r="AH43" s="110" t="n">
        <x:f>IF(COUNT(F43,O43,X43)=0,"",AVERAGE(F43,O43,X43))</x:f>
        <x:v>13.466666666666667</x:v>
      </x:c>
      <x:c r="AI43" s="112" t="n">
        <x:f>IF(COUNT(G43,P43,Y43)=0,"",AVERAGE(G43,P43,Y43))</x:f>
        <x:v>234</x:v>
      </x:c>
      <x:c r="AJ43" s="112" t="n">
        <x:f>IF(COUNT(H43,Q43,Z43)=0,"",AVERAGE(H43,Q43,Z43))</x:f>
        <x:v>1030</x:v>
      </x:c>
      <x:c r="AK43" s="112" t="n">
        <x:f>IF(COUNT(I43,R43,AA43)=0,"",AVERAGE(I43,R43,AA43))</x:f>
        <x:v>6</x:v>
      </x:c>
      <x:c r="AL43" s="112" t="n">
        <x:f>IF(COUNT(J43,S43,AB43)=0,"",AVERAGE(J43,S43,AB43))</x:f>
        <x:v>43.333333333333336</x:v>
      </x:c>
      <x:c r="AM43" s="112" t="n">
        <x:f>IF(COUNT(K43,T43,AC43)=0,"",AVERAGE(K43,T43,AC43))</x:f>
        <x:v>372</x:v>
      </x:c>
      <x:c r="AN43" s="112" t="n">
        <x:f>IF(COUNT(L43,U43,AD43)=0,"",AVERAGE(L43,U43,AD43))</x:f>
        <x:v>2</x:v>
      </x:c>
      <x:c r="AO43" s="112" t="n">
        <x:f>IF(COUNT(M43,V43,AE43)=0,"",AVERAGE(M43,V43,AE43))</x:f>
        <x:v>2.6666666666666665</x:v>
      </x:c>
    </x:row>
    <x:row r="44">
      <x:c r="A44" s="107" t="str">
        <x:v>Kyren Williams</x:v>
      </x:c>
      <x:c r="B44" s="108" t="str">
        <x:v>RB</x:v>
      </x:c>
      <x:c r="C44" s="108" t="str">
        <x:v>LAR</x:v>
      </x:c>
      <x:c r="D44" s="109" t="n">
        <x:v>11</x:v>
      </x:c>
      <x:c r="E44" s="109" t="n">
        <x:f>IFERROR(VLOOKUP($A44,'Mike FLEX'!$A$6:$N$278,5,FALSE),"")</x:f>
        <x:v>32</x:v>
      </x:c>
      <x:c r="F44" s="110" t="n">
        <x:f>IFERROR(VLOOKUP($A44,'Mike FLEX'!$A$6:$N$278,6,FALSE),"")</x:f>
        <x:v>13.9</x:v>
      </x:c>
      <x:c r="G44" s="111" t="n">
        <x:f>IFERROR(VLOOKUP($A44,'Mike FLEX'!$A$6:$N$278,7,FALSE),"")</x:f>
        <x:v>228</x:v>
      </x:c>
      <x:c r="H44" s="111" t="n">
        <x:f>IFERROR(VLOOKUP($A44,'Mike FLEX'!$A$6:$N$278,8,FALSE),"")</x:f>
        <x:v>1051</x:v>
      </x:c>
      <x:c r="I44" s="111" t="n">
        <x:f>IFERROR(VLOOKUP($A44,'Mike FLEX'!$A$6:$N$278,9,FALSE),"")</x:f>
        <x:v>9</x:v>
      </x:c>
      <x:c r="J44" s="111" t="n">
        <x:f>IFERROR(VLOOKUP($A44,'Mike FLEX'!$A$6:$N$278,10,FALSE),"")</x:f>
        <x:v>41</x:v>
      </x:c>
      <x:c r="K44" s="111" t="n">
        <x:f>IFERROR(VLOOKUP($A44,'Mike FLEX'!$A$6:$N$278,11,FALSE),"")</x:f>
        <x:v>276</x:v>
      </x:c>
      <x:c r="L44" s="111" t="n">
        <x:f>IFERROR(VLOOKUP($A44,'Mike FLEX'!$A$6:$N$278,12,FALSE),"")</x:f>
        <x:v>2</x:v>
      </x:c>
      <x:c r="M44" s="111" t="n">
        <x:f>IFERROR(VLOOKUP($A44,'Mike FLEX'!$A$6:$N$278,13,FALSE),"")</x:f>
        <x:v>3</x:v>
      </x:c>
      <x:c r="N44" s="109" t="n">
        <x:f>IFERROR(VLOOKUP($A44,'Andy FLEX'!$A$6:$N$278,5,FALSE),"")</x:f>
        <x:v>56</x:v>
      </x:c>
      <x:c r="O44" s="110" t="n">
        <x:f>IFERROR(VLOOKUP($A44,'Andy FLEX'!$A$6:$N$278,6,FALSE),"")</x:f>
        <x:v>12.4</x:v>
      </x:c>
      <x:c r="P44" s="111" t="n">
        <x:f>IFERROR(VLOOKUP($A44,'Andy FLEX'!$A$6:$N$278,7,FALSE),"")</x:f>
        <x:v>208</x:v>
      </x:c>
      <x:c r="Q44" s="111" t="n">
        <x:f>IFERROR(VLOOKUP($A44,'Andy FLEX'!$A$6:$N$278,8,FALSE),"")</x:f>
        <x:v>1005</x:v>
      </x:c>
      <x:c r="R44" s="111" t="n">
        <x:f>IFERROR(VLOOKUP($A44,'Andy FLEX'!$A$6:$N$278,9,FALSE),"")</x:f>
        <x:v>8</x:v>
      </x:c>
      <x:c r="S44" s="111" t="n">
        <x:f>IFERROR(VLOOKUP($A44,'Andy FLEX'!$A$6:$N$278,10,FALSE),"")</x:f>
        <x:v>29</x:v>
      </x:c>
      <x:c r="T44" s="111" t="n">
        <x:f>IFERROR(VLOOKUP($A44,'Andy FLEX'!$A$6:$N$278,11,FALSE),"")</x:f>
        <x:v>228</x:v>
      </x:c>
      <x:c r="U44" s="111" t="n">
        <x:f>IFERROR(VLOOKUP($A44,'Andy FLEX'!$A$6:$N$278,12,FALSE),"")</x:f>
        <x:v>2</x:v>
      </x:c>
      <x:c r="V44" s="111" t="n">
        <x:f>IFERROR(VLOOKUP($A44,'Andy FLEX'!$A$6:$N$278,13,FALSE),"")</x:f>
        <x:v>2</x:v>
      </x:c>
      <x:c r="W44" s="109" t="n">
        <x:f>IFERROR(VLOOKUP($A44,'Jason FLEX'!$A$6:$N$268,5,FALSE),"")</x:f>
        <x:v>31</x:v>
      </x:c>
      <x:c r="X44" s="110" t="n">
        <x:f>IFERROR(VLOOKUP($A44,'Jason FLEX'!$A$6:$N$268,6,FALSE),"")</x:f>
        <x:v>14.8</x:v>
      </x:c>
      <x:c r="Y44" s="111" t="n">
        <x:f>IFERROR(VLOOKUP($A44,'Jason FLEX'!$A$6:$N$268,7,FALSE),"")</x:f>
        <x:v>240</x:v>
      </x:c>
      <x:c r="Z44" s="111" t="n">
        <x:f>IFERROR(VLOOKUP($A44,'Jason FLEX'!$A$6:$N$268,8,FALSE),"")</x:f>
        <x:v>1135</x:v>
      </x:c>
      <x:c r="AA44" s="111" t="n">
        <x:f>IFERROR(VLOOKUP($A44,'Jason FLEX'!$A$6:$N$268,9,FALSE),"")</x:f>
        <x:v>10</x:v>
      </x:c>
      <x:c r="AB44" s="111" t="n">
        <x:f>IFERROR(VLOOKUP($A44,'Jason FLEX'!$A$6:$N$268,10,FALSE),"")</x:f>
        <x:v>36</x:v>
      </x:c>
      <x:c r="AC44" s="111" t="n">
        <x:f>IFERROR(VLOOKUP($A44,'Jason FLEX'!$A$6:$N$268,11,FALSE),"")</x:f>
        <x:v>275</x:v>
      </x:c>
      <x:c r="AD44" s="111" t="n">
        <x:f>IFERROR(VLOOKUP($A44,'Jason FLEX'!$A$6:$N$268,12,FALSE),"")</x:f>
        <x:v>3</x:v>
      </x:c>
      <x:c r="AE44" s="111" t="n">
        <x:f>IFERROR(VLOOKUP($A44,'Jason FLEX'!$A$6:$N$268,13,FALSE),"")</x:f>
        <x:v>2</x:v>
      </x:c>
      <x:c r="AF44" s="110" t="n">
        <x:f>IF(COUNT(E44,N44,W44)=0,"",AVERAGE(E44,N44,W44))</x:f>
        <x:v>39.666666666666664</x:v>
      </x:c>
      <x:c r="AG44" s="110" t="n">
        <x:f>IF(COUNT(E44,N44,W44)=0,"",MAX(E44,N44,W44)-MIN(E44,N44,W44))</x:f>
        <x:v>25</x:v>
      </x:c>
      <x:c r="AH44" s="110" t="n">
        <x:f>IF(COUNT(F44,O44,X44)=0,"",AVERAGE(F44,O44,X44))</x:f>
        <x:v>13.700000000000001</x:v>
      </x:c>
      <x:c r="AI44" s="112" t="n">
        <x:f>IF(COUNT(G44,P44,Y44)=0,"",AVERAGE(G44,P44,Y44))</x:f>
        <x:v>225.33333333333334</x:v>
      </x:c>
      <x:c r="AJ44" s="112" t="n">
        <x:f>IF(COUNT(H44,Q44,Z44)=0,"",AVERAGE(H44,Q44,Z44))</x:f>
        <x:v>1063.6666666666667</x:v>
      </x:c>
      <x:c r="AK44" s="112" t="n">
        <x:f>IF(COUNT(I44,R44,AA44)=0,"",AVERAGE(I44,R44,AA44))</x:f>
        <x:v>9</x:v>
      </x:c>
      <x:c r="AL44" s="112" t="n">
        <x:f>IF(COUNT(J44,S44,AB44)=0,"",AVERAGE(J44,S44,AB44))</x:f>
        <x:v>35.333333333333336</x:v>
      </x:c>
      <x:c r="AM44" s="112" t="n">
        <x:f>IF(COUNT(K44,T44,AC44)=0,"",AVERAGE(K44,T44,AC44))</x:f>
        <x:v>259.6666666666667</x:v>
      </x:c>
      <x:c r="AN44" s="112" t="n">
        <x:f>IF(COUNT(L44,U44,AD44)=0,"",AVERAGE(L44,U44,AD44))</x:f>
        <x:v>2.3333333333333335</x:v>
      </x:c>
      <x:c r="AO44" s="112" t="n">
        <x:f>IF(COUNT(M44,V44,AE44)=0,"",AVERAGE(M44,V44,AE44))</x:f>
        <x:v>2.3333333333333335</x:v>
      </x:c>
    </x:row>
    <x:row r="45">
      <x:c r="A45" s="107" t="str">
        <x:v>Luther Burden III</x:v>
      </x:c>
      <x:c r="B45" s="108" t="str">
        <x:v>WR</x:v>
      </x:c>
      <x:c r="C45" s="108" t="str">
        <x:v>CHI</x:v>
      </x:c>
      <x:c r="D45" s="109" t="n">
        <x:v>10</x:v>
      </x:c>
      <x:c r="E45" s="109" t="n">
        <x:f>IFERROR(VLOOKUP($A45,'Mike FLEX'!$A$6:$N$278,5,FALSE),"")</x:f>
        <x:v>46</x:v>
      </x:c>
      <x:c r="F45" s="110" t="n">
        <x:f>IFERROR(VLOOKUP($A45,'Mike FLEX'!$A$6:$N$278,6,FALSE),"")</x:f>
        <x:v>12.9</x:v>
      </x:c>
      <x:c r="G45" s="111" t="n">
        <x:f>IFERROR(VLOOKUP($A45,'Mike FLEX'!$A$6:$N$278,7,FALSE),"")</x:f>
        <x:v>6</x:v>
      </x:c>
      <x:c r="H45" s="111" t="n">
        <x:f>IFERROR(VLOOKUP($A45,'Mike FLEX'!$A$6:$N$278,8,FALSE),"")</x:f>
        <x:v>37</x:v>
      </x:c>
      <x:c r="I45" s="111" t="n">
        <x:f>IFERROR(VLOOKUP($A45,'Mike FLEX'!$A$6:$N$278,9,FALSE),"")</x:f>
        <x:v>0</x:v>
      </x:c>
      <x:c r="J45" s="111" t="n">
        <x:f>IFERROR(VLOOKUP($A45,'Mike FLEX'!$A$6:$N$278,10,FALSE),"")</x:f>
        <x:v>77</x:v>
      </x:c>
      <x:c r="K45" s="111" t="n">
        <x:f>IFERROR(VLOOKUP($A45,'Mike FLEX'!$A$6:$N$278,11,FALSE),"")</x:f>
        <x:v>1061</x:v>
      </x:c>
      <x:c r="L45" s="111" t="n">
        <x:f>IFERROR(VLOOKUP($A45,'Mike FLEX'!$A$6:$N$278,12,FALSE),"")</x:f>
        <x:v>5</x:v>
      </x:c>
      <x:c r="M45" s="111" t="n">
        <x:f>IFERROR(VLOOKUP($A45,'Mike FLEX'!$A$6:$N$278,13,FALSE),"")</x:f>
        <x:v>0</x:v>
      </x:c>
      <x:c r="N45" s="109" t="n">
        <x:f>IFERROR(VLOOKUP($A45,'Andy FLEX'!$A$6:$N$278,5,FALSE),"")</x:f>
        <x:v>27</x:v>
      </x:c>
      <x:c r="O45" s="110" t="n">
        <x:f>IFERROR(VLOOKUP($A45,'Andy FLEX'!$A$6:$N$278,6,FALSE),"")</x:f>
        <x:v>14.1</x:v>
      </x:c>
      <x:c r="P45" s="111" t="n">
        <x:f>IFERROR(VLOOKUP($A45,'Andy FLEX'!$A$6:$N$278,7,FALSE),"")</x:f>
        <x:v>8</x:v>
      </x:c>
      <x:c r="Q45" s="111" t="n">
        <x:f>IFERROR(VLOOKUP($A45,'Andy FLEX'!$A$6:$N$278,8,FALSE),"")</x:f>
        <x:v>64</x:v>
      </x:c>
      <x:c r="R45" s="111" t="n">
        <x:f>IFERROR(VLOOKUP($A45,'Andy FLEX'!$A$6:$N$278,9,FALSE),"")</x:f>
        <x:v>0</x:v>
      </x:c>
      <x:c r="S45" s="111" t="n">
        <x:f>IFERROR(VLOOKUP($A45,'Andy FLEX'!$A$6:$N$278,10,FALSE),"")</x:f>
        <x:v>86</x:v>
      </x:c>
      <x:c r="T45" s="111" t="n">
        <x:f>IFERROR(VLOOKUP($A45,'Andy FLEX'!$A$6:$N$278,11,FALSE),"")</x:f>
        <x:v>1189</x:v>
      </x:c>
      <x:c r="U45" s="111" t="n">
        <x:f>IFERROR(VLOOKUP($A45,'Andy FLEX'!$A$6:$N$278,12,FALSE),"")</x:f>
        <x:v>5</x:v>
      </x:c>
      <x:c r="V45" s="111" t="n">
        <x:f>IFERROR(VLOOKUP($A45,'Andy FLEX'!$A$6:$N$278,13,FALSE),"")</x:f>
        <x:v>0</x:v>
      </x:c>
      <x:c r="W45" s="109" t="n">
        <x:f>IFERROR(VLOOKUP($A45,'Jason FLEX'!$A$6:$N$268,5,FALSE),"")</x:f>
        <x:v>46</x:v>
      </x:c>
      <x:c r="X45" s="110" t="n">
        <x:f>IFERROR(VLOOKUP($A45,'Jason FLEX'!$A$6:$N$268,6,FALSE),"")</x:f>
        <x:v>13.3</x:v>
      </x:c>
      <x:c r="Y45" s="111" t="n">
        <x:f>IFERROR(VLOOKUP($A45,'Jason FLEX'!$A$6:$N$268,7,FALSE),"")</x:f>
        <x:v>8</x:v>
      </x:c>
      <x:c r="Z45" s="111" t="n">
        <x:f>IFERROR(VLOOKUP($A45,'Jason FLEX'!$A$6:$N$268,8,FALSE),"")</x:f>
        <x:v>55</x:v>
      </x:c>
      <x:c r="AA45" s="111" t="n">
        <x:f>IFERROR(VLOOKUP($A45,'Jason FLEX'!$A$6:$N$268,9,FALSE),"")</x:f>
        <x:v>0</x:v>
      </x:c>
      <x:c r="AB45" s="111" t="n">
        <x:f>IFERROR(VLOOKUP($A45,'Jason FLEX'!$A$6:$N$268,10,FALSE),"")</x:f>
        <x:v>81</x:v>
      </x:c>
      <x:c r="AC45" s="111" t="n">
        <x:f>IFERROR(VLOOKUP($A45,'Jason FLEX'!$A$6:$N$268,11,FALSE),"")</x:f>
        <x:v>1034</x:v>
      </x:c>
      <x:c r="AD45" s="111" t="n">
        <x:f>IFERROR(VLOOKUP($A45,'Jason FLEX'!$A$6:$N$268,12,FALSE),"")</x:f>
        <x:v>7</x:v>
      </x:c>
      <x:c r="AE45" s="111" t="n">
        <x:f>IFERROR(VLOOKUP($A45,'Jason FLEX'!$A$6:$N$268,13,FALSE),"")</x:f>
        <x:v>2</x:v>
      </x:c>
      <x:c r="AF45" s="110" t="n">
        <x:f>IF(COUNT(E45,N45,W45)=0,"",AVERAGE(E45,N45,W45))</x:f>
        <x:v>39.666666666666664</x:v>
      </x:c>
      <x:c r="AG45" s="110" t="n">
        <x:f>IF(COUNT(E45,N45,W45)=0,"",MAX(E45,N45,W45)-MIN(E45,N45,W45))</x:f>
        <x:v>19</x:v>
      </x:c>
      <x:c r="AH45" s="110" t="n">
        <x:f>IF(COUNT(F45,O45,X45)=0,"",AVERAGE(F45,O45,X45))</x:f>
        <x:v>13.433333333333332</x:v>
      </x:c>
      <x:c r="AI45" s="112" t="n">
        <x:f>IF(COUNT(G45,P45,Y45)=0,"",AVERAGE(G45,P45,Y45))</x:f>
        <x:v>7.333333333333333</x:v>
      </x:c>
      <x:c r="AJ45" s="112" t="n">
        <x:f>IF(COUNT(H45,Q45,Z45)=0,"",AVERAGE(H45,Q45,Z45))</x:f>
        <x:v>52</x:v>
      </x:c>
      <x:c r="AK45" s="112" t="n">
        <x:f>IF(COUNT(I45,R45,AA45)=0,"",AVERAGE(I45,R45,AA45))</x:f>
        <x:v>0</x:v>
      </x:c>
      <x:c r="AL45" s="112" t="n">
        <x:f>IF(COUNT(J45,S45,AB45)=0,"",AVERAGE(J45,S45,AB45))</x:f>
        <x:v>81.33333333333333</x:v>
      </x:c>
      <x:c r="AM45" s="112" t="n">
        <x:f>IF(COUNT(K45,T45,AC45)=0,"",AVERAGE(K45,T45,AC45))</x:f>
        <x:v>1094.6666666666667</x:v>
      </x:c>
      <x:c r="AN45" s="112" t="n">
        <x:f>IF(COUNT(L45,U45,AD45)=0,"",AVERAGE(L45,U45,AD45))</x:f>
        <x:v>5.666666666666667</x:v>
      </x:c>
      <x:c r="AO45" s="112" t="n">
        <x:f>IF(COUNT(M45,V45,AE45)=0,"",AVERAGE(M45,V45,AE45))</x:f>
        <x:v>0.6666666666666666</x:v>
      </x:c>
    </x:row>
    <x:row r="46">
      <x:c r="A46" s="107" t="str">
        <x:v>D'Andre Swift</x:v>
      </x:c>
      <x:c r="B46" s="108" t="str">
        <x:v>RB</x:v>
      </x:c>
      <x:c r="C46" s="108" t="str">
        <x:v>CHI</x:v>
      </x:c>
      <x:c r="D46" s="109" t="n">
        <x:v>10</x:v>
      </x:c>
      <x:c r="E46" s="109" t="n">
        <x:f>IFERROR(VLOOKUP($A46,'Mike FLEX'!$A$6:$N$278,5,FALSE),"")</x:f>
        <x:v>31</x:v>
      </x:c>
      <x:c r="F46" s="110" t="n">
        <x:f>IFERROR(VLOOKUP($A46,'Mike FLEX'!$A$6:$N$278,6,FALSE),"")</x:f>
        <x:v>14.1</x:v>
      </x:c>
      <x:c r="G46" s="111" t="n">
        <x:f>IFERROR(VLOOKUP($A46,'Mike FLEX'!$A$6:$N$278,7,FALSE),"")</x:f>
        <x:v>245</x:v>
      </x:c>
      <x:c r="H46" s="111" t="n">
        <x:f>IFERROR(VLOOKUP($A46,'Mike FLEX'!$A$6:$N$278,8,FALSE),"")</x:f>
        <x:v>1153</x:v>
      </x:c>
      <x:c r="I46" s="111" t="n">
        <x:f>IFERROR(VLOOKUP($A46,'Mike FLEX'!$A$6:$N$278,9,FALSE),"")</x:f>
        <x:v>9</x:v>
      </x:c>
      <x:c r="J46" s="111" t="n">
        <x:f>IFERROR(VLOOKUP($A46,'Mike FLEX'!$A$6:$N$278,10,FALSE),"")</x:f>
        <x:v>36</x:v>
      </x:c>
      <x:c r="K46" s="111" t="n">
        <x:f>IFERROR(VLOOKUP($A46,'Mike FLEX'!$A$6:$N$278,11,FALSE),"")</x:f>
        <x:v>308</x:v>
      </x:c>
      <x:c r="L46" s="111" t="n">
        <x:f>IFERROR(VLOOKUP($A46,'Mike FLEX'!$A$6:$N$278,12,FALSE),"")</x:f>
        <x:v>1</x:v>
      </x:c>
      <x:c r="M46" s="111" t="n">
        <x:f>IFERROR(VLOOKUP($A46,'Mike FLEX'!$A$6:$N$278,13,FALSE),"")</x:f>
        <x:v>2</x:v>
      </x:c>
      <x:c r="N46" s="109" t="n">
        <x:f>IFERROR(VLOOKUP($A46,'Andy FLEX'!$A$6:$N$278,5,FALSE),"")</x:f>
        <x:v>46</x:v>
      </x:c>
      <x:c r="O46" s="110" t="n">
        <x:f>IFERROR(VLOOKUP($A46,'Andy FLEX'!$A$6:$N$278,6,FALSE),"")</x:f>
        <x:v>13.2</x:v>
      </x:c>
      <x:c r="P46" s="111" t="n">
        <x:f>IFERROR(VLOOKUP($A46,'Andy FLEX'!$A$6:$N$278,7,FALSE),"")</x:f>
        <x:v>194</x:v>
      </x:c>
      <x:c r="Q46" s="111" t="n">
        <x:f>IFERROR(VLOOKUP($A46,'Andy FLEX'!$A$6:$N$278,8,FALSE),"")</x:f>
        <x:v>952</x:v>
      </x:c>
      <x:c r="R46" s="111" t="n">
        <x:f>IFERROR(VLOOKUP($A46,'Andy FLEX'!$A$6:$N$278,9,FALSE),"")</x:f>
        <x:v>7</x:v>
      </x:c>
      <x:c r="S46" s="111" t="n">
        <x:f>IFERROR(VLOOKUP($A46,'Andy FLEX'!$A$6:$N$278,10,FALSE),"")</x:f>
        <x:v>44</x:v>
      </x:c>
      <x:c r="T46" s="111" t="n">
        <x:f>IFERROR(VLOOKUP($A46,'Andy FLEX'!$A$6:$N$278,11,FALSE),"")</x:f>
        <x:v>368</x:v>
      </x:c>
      <x:c r="U46" s="111" t="n">
        <x:f>IFERROR(VLOOKUP($A46,'Andy FLEX'!$A$6:$N$278,12,FALSE),"")</x:f>
        <x:v>1</x:v>
      </x:c>
      <x:c r="V46" s="111" t="n">
        <x:f>IFERROR(VLOOKUP($A46,'Andy FLEX'!$A$6:$N$278,13,FALSE),"")</x:f>
        <x:v>2</x:v>
      </x:c>
      <x:c r="W46" s="109" t="n">
        <x:f>IFERROR(VLOOKUP($A46,'Jason FLEX'!$A$6:$N$268,5,FALSE),"")</x:f>
        <x:v>51</x:v>
      </x:c>
      <x:c r="X46" s="110" t="n">
        <x:f>IFERROR(VLOOKUP($A46,'Jason FLEX'!$A$6:$N$268,6,FALSE),"")</x:f>
        <x:v>13</x:v>
      </x:c>
      <x:c r="Y46" s="111" t="n">
        <x:f>IFERROR(VLOOKUP($A46,'Jason FLEX'!$A$6:$N$268,7,FALSE),"")</x:f>
        <x:v>215</x:v>
      </x:c>
      <x:c r="Z46" s="111" t="n">
        <x:f>IFERROR(VLOOKUP($A46,'Jason FLEX'!$A$6:$N$268,8,FALSE),"")</x:f>
        <x:v>1030</x:v>
      </x:c>
      <x:c r="AA46" s="111" t="n">
        <x:f>IFERROR(VLOOKUP($A46,'Jason FLEX'!$A$6:$N$268,9,FALSE),"")</x:f>
        <x:v>8</x:v>
      </x:c>
      <x:c r="AB46" s="111" t="n">
        <x:f>IFERROR(VLOOKUP($A46,'Jason FLEX'!$A$6:$N$268,10,FALSE),"")</x:f>
        <x:v>35</x:v>
      </x:c>
      <x:c r="AC46" s="111" t="n">
        <x:f>IFERROR(VLOOKUP($A46,'Jason FLEX'!$A$6:$N$268,11,FALSE),"")</x:f>
        <x:v>300</x:v>
      </x:c>
      <x:c r="AD46" s="111" t="n">
        <x:f>IFERROR(VLOOKUP($A46,'Jason FLEX'!$A$6:$N$268,12,FALSE),"")</x:f>
        <x:v>2</x:v>
      </x:c>
      <x:c r="AE46" s="111" t="n">
        <x:f>IFERROR(VLOOKUP($A46,'Jason FLEX'!$A$6:$N$268,13,FALSE),"")</x:f>
        <x:v>2</x:v>
      </x:c>
      <x:c r="AF46" s="110" t="n">
        <x:f>IF(COUNT(E46,N46,W46)=0,"",AVERAGE(E46,N46,W46))</x:f>
        <x:v>42.666666666666664</x:v>
      </x:c>
      <x:c r="AG46" s="110" t="n">
        <x:f>IF(COUNT(E46,N46,W46)=0,"",MAX(E46,N46,W46)-MIN(E46,N46,W46))</x:f>
        <x:v>20</x:v>
      </x:c>
      <x:c r="AH46" s="110" t="n">
        <x:f>IF(COUNT(F46,O46,X46)=0,"",AVERAGE(F46,O46,X46))</x:f>
        <x:v>13.433333333333332</x:v>
      </x:c>
      <x:c r="AI46" s="112" t="n">
        <x:f>IF(COUNT(G46,P46,Y46)=0,"",AVERAGE(G46,P46,Y46))</x:f>
        <x:v>218</x:v>
      </x:c>
      <x:c r="AJ46" s="112" t="n">
        <x:f>IF(COUNT(H46,Q46,Z46)=0,"",AVERAGE(H46,Q46,Z46))</x:f>
        <x:v>1045</x:v>
      </x:c>
      <x:c r="AK46" s="112" t="n">
        <x:f>IF(COUNT(I46,R46,AA46)=0,"",AVERAGE(I46,R46,AA46))</x:f>
        <x:v>8</x:v>
      </x:c>
      <x:c r="AL46" s="112" t="n">
        <x:f>IF(COUNT(J46,S46,AB46)=0,"",AVERAGE(J46,S46,AB46))</x:f>
        <x:v>38.333333333333336</x:v>
      </x:c>
      <x:c r="AM46" s="112" t="n">
        <x:f>IF(COUNT(K46,T46,AC46)=0,"",AVERAGE(K46,T46,AC46))</x:f>
        <x:v>325.3333333333333</x:v>
      </x:c>
      <x:c r="AN46" s="112" t="n">
        <x:f>IF(COUNT(L46,U46,AD46)=0,"",AVERAGE(L46,U46,AD46))</x:f>
        <x:v>1.3333333333333333</x:v>
      </x:c>
      <x:c r="AO46" s="112" t="n">
        <x:f>IF(COUNT(M46,V46,AE46)=0,"",AVERAGE(M46,V46,AE46))</x:f>
        <x:v>2</x:v>
      </x:c>
    </x:row>
    <x:row r="47">
      <x:c r="A47" s="107" t="str">
        <x:v>Christian Watson</x:v>
      </x:c>
      <x:c r="B47" s="108" t="str">
        <x:v>WR</x:v>
      </x:c>
      <x:c r="C47" s="108" t="str">
        <x:v>GB</x:v>
      </x:c>
      <x:c r="D47" s="109" t="n">
        <x:v>11</x:v>
      </x:c>
      <x:c r="E47" s="109" t="n">
        <x:f>IFERROR(VLOOKUP($A47,'Mike FLEX'!$A$6:$N$278,5,FALSE),"")</x:f>
        <x:v>39</x:v>
      </x:c>
      <x:c r="F47" s="110" t="n">
        <x:f>IFERROR(VLOOKUP($A47,'Mike FLEX'!$A$6:$N$278,6,FALSE),"")</x:f>
        <x:v>13.2</x:v>
      </x:c>
      <x:c r="G47" s="111" t="n">
        <x:f>IFERROR(VLOOKUP($A47,'Mike FLEX'!$A$6:$N$278,7,FALSE),"")</x:f>
        <x:v>3</x:v>
      </x:c>
      <x:c r="H47" s="111" t="n">
        <x:f>IFERROR(VLOOKUP($A47,'Mike FLEX'!$A$6:$N$278,8,FALSE),"")</x:f>
        <x:v>17</x:v>
      </x:c>
      <x:c r="I47" s="111" t="n">
        <x:f>IFERROR(VLOOKUP($A47,'Mike FLEX'!$A$6:$N$278,9,FALSE),"")</x:f>
        <x:v>0</x:v>
      </x:c>
      <x:c r="J47" s="111" t="n">
        <x:f>IFERROR(VLOOKUP($A47,'Mike FLEX'!$A$6:$N$278,10,FALSE),"")</x:f>
        <x:v>65</x:v>
      </x:c>
      <x:c r="K47" s="111" t="n">
        <x:f>IFERROR(VLOOKUP($A47,'Mike FLEX'!$A$6:$N$278,11,FALSE),"")</x:f>
        <x:v>1110</x:v>
      </x:c>
      <x:c r="L47" s="111" t="n">
        <x:f>IFERROR(VLOOKUP($A47,'Mike FLEX'!$A$6:$N$278,12,FALSE),"")</x:f>
        <x:v>8</x:v>
      </x:c>
      <x:c r="M47" s="111" t="n">
        <x:f>IFERROR(VLOOKUP($A47,'Mike FLEX'!$A$6:$N$278,13,FALSE),"")</x:f>
        <x:v>0</x:v>
      </x:c>
      <x:c r="N47" s="109" t="n">
        <x:f>IFERROR(VLOOKUP($A47,'Andy FLEX'!$A$6:$N$278,5,FALSE),"")</x:f>
        <x:v>45</x:v>
      </x:c>
      <x:c r="O47" s="110" t="n">
        <x:f>IFERROR(VLOOKUP($A47,'Andy FLEX'!$A$6:$N$278,6,FALSE),"")</x:f>
        <x:v>13.2</x:v>
      </x:c>
      <x:c r="P47" s="111" t="n">
        <x:f>IFERROR(VLOOKUP($A47,'Andy FLEX'!$A$6:$N$278,7,FALSE),"")</x:f>
        <x:v>8</x:v>
      </x:c>
      <x:c r="Q47" s="111" t="n">
        <x:f>IFERROR(VLOOKUP($A47,'Andy FLEX'!$A$6:$N$278,8,FALSE),"")</x:f>
        <x:v>35</x:v>
      </x:c>
      <x:c r="R47" s="111" t="n">
        <x:f>IFERROR(VLOOKUP($A47,'Andy FLEX'!$A$6:$N$278,9,FALSE),"")</x:f>
        <x:v>0</x:v>
      </x:c>
      <x:c r="S47" s="111" t="n">
        <x:f>IFERROR(VLOOKUP($A47,'Andy FLEX'!$A$6:$N$278,10,FALSE),"")</x:f>
        <x:v>67</x:v>
      </x:c>
      <x:c r="T47" s="111" t="n">
        <x:f>IFERROR(VLOOKUP($A47,'Andy FLEX'!$A$6:$N$278,11,FALSE),"")</x:f>
        <x:v>1086</x:v>
      </x:c>
      <x:c r="U47" s="111" t="n">
        <x:f>IFERROR(VLOOKUP($A47,'Andy FLEX'!$A$6:$N$278,12,FALSE),"")</x:f>
        <x:v>8</x:v>
      </x:c>
      <x:c r="V47" s="111" t="n">
        <x:f>IFERROR(VLOOKUP($A47,'Andy FLEX'!$A$6:$N$278,13,FALSE),"")</x:f>
        <x:v>1</x:v>
      </x:c>
      <x:c r="W47" s="109" t="n">
        <x:f>IFERROR(VLOOKUP($A47,'Jason FLEX'!$A$6:$N$268,5,FALSE),"")</x:f>
        <x:v>45</x:v>
      </x:c>
      <x:c r="X47" s="110" t="n">
        <x:f>IFERROR(VLOOKUP($A47,'Jason FLEX'!$A$6:$N$268,6,FALSE),"")</x:f>
        <x:v>13.3</x:v>
      </x:c>
      <x:c r="Y47" s="111" t="n">
        <x:f>IFERROR(VLOOKUP($A47,'Jason FLEX'!$A$6:$N$268,7,FALSE),"")</x:f>
        <x:v>0</x:v>
      </x:c>
      <x:c r="Z47" s="111" t="n">
        <x:f>IFERROR(VLOOKUP($A47,'Jason FLEX'!$A$6:$N$268,8,FALSE),"")</x:f>
        <x:v>0</x:v>
      </x:c>
      <x:c r="AA47" s="111" t="n">
        <x:f>IFERROR(VLOOKUP($A47,'Jason FLEX'!$A$6:$N$268,9,FALSE),"")</x:f>
        <x:v>0</x:v>
      </x:c>
      <x:c r="AB47" s="111" t="n">
        <x:f>IFERROR(VLOOKUP($A47,'Jason FLEX'!$A$6:$N$268,10,FALSE),"")</x:f>
        <x:v>72</x:v>
      </x:c>
      <x:c r="AC47" s="111" t="n">
        <x:f>IFERROR(VLOOKUP($A47,'Jason FLEX'!$A$6:$N$268,11,FALSE),"")</x:f>
        <x:v>1099</x:v>
      </x:c>
      <x:c r="AD47" s="111" t="n">
        <x:f>IFERROR(VLOOKUP($A47,'Jason FLEX'!$A$6:$N$268,12,FALSE),"")</x:f>
        <x:v>8</x:v>
      </x:c>
      <x:c r="AE47" s="111" t="n">
        <x:f>IFERROR(VLOOKUP($A47,'Jason FLEX'!$A$6:$N$268,13,FALSE),"")</x:f>
        <x:v>0</x:v>
      </x:c>
      <x:c r="AF47" s="110" t="n">
        <x:f>IF(COUNT(E47,N47,W47)=0,"",AVERAGE(E47,N47,W47))</x:f>
        <x:v>43</x:v>
      </x:c>
      <x:c r="AG47" s="110" t="n">
        <x:f>IF(COUNT(E47,N47,W47)=0,"",MAX(E47,N47,W47)-MIN(E47,N47,W47))</x:f>
        <x:v>6</x:v>
      </x:c>
      <x:c r="AH47" s="110" t="n">
        <x:f>IF(COUNT(F47,O47,X47)=0,"",AVERAGE(F47,O47,X47))</x:f>
        <x:v>13.233333333333334</x:v>
      </x:c>
      <x:c r="AI47" s="112" t="n">
        <x:f>IF(COUNT(G47,P47,Y47)=0,"",AVERAGE(G47,P47,Y47))</x:f>
        <x:v>3.6666666666666665</x:v>
      </x:c>
      <x:c r="AJ47" s="112" t="n">
        <x:f>IF(COUNT(H47,Q47,Z47)=0,"",AVERAGE(H47,Q47,Z47))</x:f>
        <x:v>17.333333333333332</x:v>
      </x:c>
      <x:c r="AK47" s="112" t="n">
        <x:f>IF(COUNT(I47,R47,AA47)=0,"",AVERAGE(I47,R47,AA47))</x:f>
        <x:v>0</x:v>
      </x:c>
      <x:c r="AL47" s="112" t="n">
        <x:f>IF(COUNT(J47,S47,AB47)=0,"",AVERAGE(J47,S47,AB47))</x:f>
        <x:v>68</x:v>
      </x:c>
      <x:c r="AM47" s="112" t="n">
        <x:f>IF(COUNT(K47,T47,AC47)=0,"",AVERAGE(K47,T47,AC47))</x:f>
        <x:v>1098.3333333333333</x:v>
      </x:c>
      <x:c r="AN47" s="112" t="n">
        <x:f>IF(COUNT(L47,U47,AD47)=0,"",AVERAGE(L47,U47,AD47))</x:f>
        <x:v>8</x:v>
      </x:c>
      <x:c r="AO47" s="112" t="n">
        <x:f>IF(COUNT(M47,V47,AE47)=0,"",AVERAGE(M47,V47,AE47))</x:f>
        <x:v>0.3333333333333333</x:v>
      </x:c>
    </x:row>
    <x:row r="48">
      <x:c r="A48" s="107" t="str">
        <x:v>Parker Washington</x:v>
      </x:c>
      <x:c r="B48" s="108" t="str">
        <x:v>WR</x:v>
      </x:c>
      <x:c r="C48" s="108" t="str">
        <x:v>JAX</x:v>
      </x:c>
      <x:c r="D48" s="109" t="n">
        <x:v>7</x:v>
      </x:c>
      <x:c r="E48" s="109" t="n">
        <x:f>IFERROR(VLOOKUP($A48,'Mike FLEX'!$A$6:$N$278,5,FALSE),"")</x:f>
        <x:v>43</x:v>
      </x:c>
      <x:c r="F48" s="110" t="n">
        <x:f>IFERROR(VLOOKUP($A48,'Mike FLEX'!$A$6:$N$278,6,FALSE),"")</x:f>
        <x:v>13</x:v>
      </x:c>
      <x:c r="G48" s="111" t="n">
        <x:f>IFERROR(VLOOKUP($A48,'Mike FLEX'!$A$6:$N$278,7,FALSE),"")</x:f>
        <x:v>4</x:v>
      </x:c>
      <x:c r="H48" s="111" t="n">
        <x:f>IFERROR(VLOOKUP($A48,'Mike FLEX'!$A$6:$N$278,8,FALSE),"")</x:f>
        <x:v>0</x:v>
      </x:c>
      <x:c r="I48" s="111" t="n">
        <x:f>IFERROR(VLOOKUP($A48,'Mike FLEX'!$A$6:$N$278,9,FALSE),"")</x:f>
        <x:v>0</x:v>
      </x:c>
      <x:c r="J48" s="111" t="n">
        <x:f>IFERROR(VLOOKUP($A48,'Mike FLEX'!$A$6:$N$278,10,FALSE),"")</x:f>
        <x:v>77</x:v>
      </x:c>
      <x:c r="K48" s="111" t="n">
        <x:f>IFERROR(VLOOKUP($A48,'Mike FLEX'!$A$6:$N$278,11,FALSE),"")</x:f>
        <x:v>1027</x:v>
      </x:c>
      <x:c r="L48" s="111" t="n">
        <x:f>IFERROR(VLOOKUP($A48,'Mike FLEX'!$A$6:$N$278,12,FALSE),"")</x:f>
        <x:v>7</x:v>
      </x:c>
      <x:c r="M48" s="111" t="n">
        <x:f>IFERROR(VLOOKUP($A48,'Mike FLEX'!$A$6:$N$278,13,FALSE),"")</x:f>
        <x:v>0</x:v>
      </x:c>
      <x:c r="N48" s="109" t="n">
        <x:f>IFERROR(VLOOKUP($A48,'Andy FLEX'!$A$6:$N$278,5,FALSE),"")</x:f>
        <x:v>42</x:v>
      </x:c>
      <x:c r="O48" s="110" t="n">
        <x:f>IFERROR(VLOOKUP($A48,'Andy FLEX'!$A$6:$N$278,6,FALSE),"")</x:f>
        <x:v>13.4</x:v>
      </x:c>
      <x:c r="P48" s="111" t="n">
        <x:f>IFERROR(VLOOKUP($A48,'Andy FLEX'!$A$6:$N$278,7,FALSE),"")</x:f>
        <x:v>9</x:v>
      </x:c>
      <x:c r="Q48" s="111" t="n">
        <x:f>IFERROR(VLOOKUP($A48,'Andy FLEX'!$A$6:$N$278,8,FALSE),"")</x:f>
        <x:v>52</x:v>
      </x:c>
      <x:c r="R48" s="111" t="n">
        <x:f>IFERROR(VLOOKUP($A48,'Andy FLEX'!$A$6:$N$278,9,FALSE),"")</x:f>
        <x:v>0</x:v>
      </x:c>
      <x:c r="S48" s="111" t="n">
        <x:f>IFERROR(VLOOKUP($A48,'Andy FLEX'!$A$6:$N$278,10,FALSE),"")</x:f>
        <x:v>80</x:v>
      </x:c>
      <x:c r="T48" s="111" t="n">
        <x:f>IFERROR(VLOOKUP($A48,'Andy FLEX'!$A$6:$N$278,11,FALSE),"")</x:f>
        <x:v>1096</x:v>
      </x:c>
      <x:c r="U48" s="111" t="n">
        <x:f>IFERROR(VLOOKUP($A48,'Andy FLEX'!$A$6:$N$278,12,FALSE),"")</x:f>
        <x:v>6</x:v>
      </x:c>
      <x:c r="V48" s="111" t="n">
        <x:f>IFERROR(VLOOKUP($A48,'Andy FLEX'!$A$6:$N$278,13,FALSE),"")</x:f>
        <x:v>1</x:v>
      </x:c>
      <x:c r="W48" s="109" t="n">
        <x:f>IFERROR(VLOOKUP($A48,'Jason FLEX'!$A$6:$N$268,5,FALSE),"")</x:f>
        <x:v>50</x:v>
      </x:c>
      <x:c r="X48" s="110" t="n">
        <x:f>IFERROR(VLOOKUP($A48,'Jason FLEX'!$A$6:$N$268,6,FALSE),"")</x:f>
        <x:v>13.1</x:v>
      </x:c>
      <x:c r="Y48" s="111" t="n">
        <x:f>IFERROR(VLOOKUP($A48,'Jason FLEX'!$A$6:$N$268,7,FALSE),"")</x:f>
        <x:v>0</x:v>
      </x:c>
      <x:c r="Z48" s="111" t="n">
        <x:f>IFERROR(VLOOKUP($A48,'Jason FLEX'!$A$6:$N$268,8,FALSE),"")</x:f>
        <x:v>0</x:v>
      </x:c>
      <x:c r="AA48" s="111" t="n">
        <x:f>IFERROR(VLOOKUP($A48,'Jason FLEX'!$A$6:$N$268,9,FALSE),"")</x:f>
        <x:v>0</x:v>
      </x:c>
      <x:c r="AB48" s="111" t="n">
        <x:f>IFERROR(VLOOKUP($A48,'Jason FLEX'!$A$6:$N$268,10,FALSE),"")</x:f>
        <x:v>80</x:v>
      </x:c>
      <x:c r="AC48" s="111" t="n">
        <x:f>IFERROR(VLOOKUP($A48,'Jason FLEX'!$A$6:$N$268,11,FALSE),"")</x:f>
        <x:v>1030</x:v>
      </x:c>
      <x:c r="AD48" s="111" t="n">
        <x:f>IFERROR(VLOOKUP($A48,'Jason FLEX'!$A$6:$N$268,12,FALSE),"")</x:f>
        <x:v>7</x:v>
      </x:c>
      <x:c r="AE48" s="111" t="n">
        <x:f>IFERROR(VLOOKUP($A48,'Jason FLEX'!$A$6:$N$268,13,FALSE),"")</x:f>
        <x:v>0</x:v>
      </x:c>
      <x:c r="AF48" s="110" t="n">
        <x:f>IF(COUNT(E48,N48,W48)=0,"",AVERAGE(E48,N48,W48))</x:f>
        <x:v>45</x:v>
      </x:c>
      <x:c r="AG48" s="110" t="n">
        <x:f>IF(COUNT(E48,N48,W48)=0,"",MAX(E48,N48,W48)-MIN(E48,N48,W48))</x:f>
        <x:v>8</x:v>
      </x:c>
      <x:c r="AH48" s="110" t="n">
        <x:f>IF(COUNT(F48,O48,X48)=0,"",AVERAGE(F48,O48,X48))</x:f>
        <x:v>13.166666666666666</x:v>
      </x:c>
      <x:c r="AI48" s="112" t="n">
        <x:f>IF(COUNT(G48,P48,Y48)=0,"",AVERAGE(G48,P48,Y48))</x:f>
        <x:v>4.333333333333333</x:v>
      </x:c>
      <x:c r="AJ48" s="112" t="n">
        <x:f>IF(COUNT(H48,Q48,Z48)=0,"",AVERAGE(H48,Q48,Z48))</x:f>
        <x:v>17.333333333333332</x:v>
      </x:c>
      <x:c r="AK48" s="112" t="n">
        <x:f>IF(COUNT(I48,R48,AA48)=0,"",AVERAGE(I48,R48,AA48))</x:f>
        <x:v>0</x:v>
      </x:c>
      <x:c r="AL48" s="112" t="n">
        <x:f>IF(COUNT(J48,S48,AB48)=0,"",AVERAGE(J48,S48,AB48))</x:f>
        <x:v>79</x:v>
      </x:c>
      <x:c r="AM48" s="112" t="n">
        <x:f>IF(COUNT(K48,T48,AC48)=0,"",AVERAGE(K48,T48,AC48))</x:f>
        <x:v>1051</x:v>
      </x:c>
      <x:c r="AN48" s="112" t="n">
        <x:f>IF(COUNT(L48,U48,AD48)=0,"",AVERAGE(L48,U48,AD48))</x:f>
        <x:v>6.666666666666667</x:v>
      </x:c>
      <x:c r="AO48" s="112" t="n">
        <x:f>IF(COUNT(M48,V48,AE48)=0,"",AVERAGE(M48,V48,AE48))</x:f>
        <x:v>0.3333333333333333</x:v>
      </x:c>
    </x:row>
    <x:row r="49">
      <x:c r="A49" s="107" t="str">
        <x:v>Javonte Williams</x:v>
      </x:c>
      <x:c r="B49" s="108" t="str">
        <x:v>RB</x:v>
      </x:c>
      <x:c r="C49" s="108" t="str">
        <x:v>DAL</x:v>
      </x:c>
      <x:c r="D49" s="109" t="n">
        <x:v>14</x:v>
      </x:c>
      <x:c r="E49" s="109" t="n">
        <x:f>IFERROR(VLOOKUP($A49,'Mike FLEX'!$A$6:$N$278,5,FALSE),"")</x:f>
        <x:v>40</x:v>
      </x:c>
      <x:c r="F49" s="110" t="n">
        <x:f>IFERROR(VLOOKUP($A49,'Mike FLEX'!$A$6:$N$278,6,FALSE),"")</x:f>
        <x:v>13.2</x:v>
      </x:c>
      <x:c r="G49" s="111" t="n">
        <x:f>IFERROR(VLOOKUP($A49,'Mike FLEX'!$A$6:$N$278,7,FALSE),"")</x:f>
        <x:v>240</x:v>
      </x:c>
      <x:c r="H49" s="111" t="n">
        <x:f>IFERROR(VLOOKUP($A49,'Mike FLEX'!$A$6:$N$278,8,FALSE),"")</x:f>
        <x:v>1058</x:v>
      </x:c>
      <x:c r="I49" s="111" t="n">
        <x:f>IFERROR(VLOOKUP($A49,'Mike FLEX'!$A$6:$N$278,9,FALSE),"")</x:f>
        <x:v>9</x:v>
      </x:c>
      <x:c r="J49" s="111" t="n">
        <x:f>IFERROR(VLOOKUP($A49,'Mike FLEX'!$A$6:$N$278,10,FALSE),"")</x:f>
        <x:v>44</x:v>
      </x:c>
      <x:c r="K49" s="111" t="n">
        <x:f>IFERROR(VLOOKUP($A49,'Mike FLEX'!$A$6:$N$278,11,FALSE),"")</x:f>
        <x:v>175</x:v>
      </x:c>
      <x:c r="L49" s="111" t="n">
        <x:f>IFERROR(VLOOKUP($A49,'Mike FLEX'!$A$6:$N$278,12,FALSE),"")</x:f>
        <x:v>1</x:v>
      </x:c>
      <x:c r="M49" s="111" t="n">
        <x:f>IFERROR(VLOOKUP($A49,'Mike FLEX'!$A$6:$N$278,13,FALSE),"")</x:f>
        <x:v>2</x:v>
      </x:c>
      <x:c r="N49" s="109" t="n">
        <x:f>IFERROR(VLOOKUP($A49,'Andy FLEX'!$A$6:$N$278,5,FALSE),"")</x:f>
        <x:v>52</x:v>
      </x:c>
      <x:c r="O49" s="110" t="n">
        <x:f>IFERROR(VLOOKUP($A49,'Andy FLEX'!$A$6:$N$278,6,FALSE),"")</x:f>
        <x:v>12.8</x:v>
      </x:c>
      <x:c r="P49" s="111" t="n">
        <x:f>IFERROR(VLOOKUP($A49,'Andy FLEX'!$A$6:$N$278,7,FALSE),"")</x:f>
        <x:v>240</x:v>
      </x:c>
      <x:c r="Q49" s="111" t="n">
        <x:f>IFERROR(VLOOKUP($A49,'Andy FLEX'!$A$6:$N$278,8,FALSE),"")</x:f>
        <x:v>1098</x:v>
      </x:c>
      <x:c r="R49" s="111" t="n">
        <x:f>IFERROR(VLOOKUP($A49,'Andy FLEX'!$A$6:$N$278,9,FALSE),"")</x:f>
        <x:v>10</x:v>
      </x:c>
      <x:c r="S49" s="111" t="n">
        <x:f>IFERROR(VLOOKUP($A49,'Andy FLEX'!$A$6:$N$278,10,FALSE),"")</x:f>
        <x:v>33</x:v>
      </x:c>
      <x:c r="T49" s="111" t="n">
        <x:f>IFERROR(VLOOKUP($A49,'Andy FLEX'!$A$6:$N$278,11,FALSE),"")</x:f>
        <x:v>131</x:v>
      </x:c>
      <x:c r="U49" s="111" t="n">
        <x:f>IFERROR(VLOOKUP($A49,'Andy FLEX'!$A$6:$N$278,12,FALSE),"")</x:f>
        <x:v>1</x:v>
      </x:c>
      <x:c r="V49" s="111" t="n">
        <x:f>IFERROR(VLOOKUP($A49,'Andy FLEX'!$A$6:$N$278,13,FALSE),"")</x:f>
        <x:v>2</x:v>
      </x:c>
      <x:c r="W49" s="109" t="n">
        <x:f>IFERROR(VLOOKUP($A49,'Jason FLEX'!$A$6:$N$268,5,FALSE),"")</x:f>
        <x:v>49</x:v>
      </x:c>
      <x:c r="X49" s="110" t="n">
        <x:f>IFERROR(VLOOKUP($A49,'Jason FLEX'!$A$6:$N$268,6,FALSE),"")</x:f>
        <x:v>13.1</x:v>
      </x:c>
      <x:c r="Y49" s="111" t="n">
        <x:f>IFERROR(VLOOKUP($A49,'Jason FLEX'!$A$6:$N$268,7,FALSE),"")</x:f>
        <x:v>245</x:v>
      </x:c>
      <x:c r="Z49" s="111" t="n">
        <x:f>IFERROR(VLOOKUP($A49,'Jason FLEX'!$A$6:$N$268,8,FALSE),"")</x:f>
        <x:v>1125</x:v>
      </x:c>
      <x:c r="AA49" s="111" t="n">
        <x:f>IFERROR(VLOOKUP($A49,'Jason FLEX'!$A$6:$N$268,9,FALSE),"")</x:f>
        <x:v>10</x:v>
      </x:c>
      <x:c r="AB49" s="111" t="n">
        <x:f>IFERROR(VLOOKUP($A49,'Jason FLEX'!$A$6:$N$268,10,FALSE),"")</x:f>
        <x:v>31</x:v>
      </x:c>
      <x:c r="AC49" s="111" t="n">
        <x:f>IFERROR(VLOOKUP($A49,'Jason FLEX'!$A$6:$N$268,11,FALSE),"")</x:f>
        <x:v>171</x:v>
      </x:c>
      <x:c r="AD49" s="111" t="n">
        <x:f>IFERROR(VLOOKUP($A49,'Jason FLEX'!$A$6:$N$268,12,FALSE),"")</x:f>
        <x:v>1</x:v>
      </x:c>
      <x:c r="AE49" s="111" t="n">
        <x:f>IFERROR(VLOOKUP($A49,'Jason FLEX'!$A$6:$N$268,13,FALSE),"")</x:f>
        <x:v>2</x:v>
      </x:c>
      <x:c r="AF49" s="110" t="n">
        <x:f>IF(COUNT(E49,N49,W49)=0,"",AVERAGE(E49,N49,W49))</x:f>
        <x:v>47</x:v>
      </x:c>
      <x:c r="AG49" s="110" t="n">
        <x:f>IF(COUNT(E49,N49,W49)=0,"",MAX(E49,N49,W49)-MIN(E49,N49,W49))</x:f>
        <x:v>12</x:v>
      </x:c>
      <x:c r="AH49" s="110" t="n">
        <x:f>IF(COUNT(F49,O49,X49)=0,"",AVERAGE(F49,O49,X49))</x:f>
        <x:v>13.033333333333333</x:v>
      </x:c>
      <x:c r="AI49" s="112" t="n">
        <x:f>IF(COUNT(G49,P49,Y49)=0,"",AVERAGE(G49,P49,Y49))</x:f>
        <x:v>241.66666666666666</x:v>
      </x:c>
      <x:c r="AJ49" s="112" t="n">
        <x:f>IF(COUNT(H49,Q49,Z49)=0,"",AVERAGE(H49,Q49,Z49))</x:f>
        <x:v>1093.6666666666667</x:v>
      </x:c>
      <x:c r="AK49" s="112" t="n">
        <x:f>IF(COUNT(I49,R49,AA49)=0,"",AVERAGE(I49,R49,AA49))</x:f>
        <x:v>9.666666666666666</x:v>
      </x:c>
      <x:c r="AL49" s="112" t="n">
        <x:f>IF(COUNT(J49,S49,AB49)=0,"",AVERAGE(J49,S49,AB49))</x:f>
        <x:v>36</x:v>
      </x:c>
      <x:c r="AM49" s="112" t="n">
        <x:f>IF(COUNT(K49,T49,AC49)=0,"",AVERAGE(K49,T49,AC49))</x:f>
        <x:v>159</x:v>
      </x:c>
      <x:c r="AN49" s="112" t="n">
        <x:f>IF(COUNT(L49,U49,AD49)=0,"",AVERAGE(L49,U49,AD49))</x:f>
        <x:v>1</x:v>
      </x:c>
      <x:c r="AO49" s="112" t="n">
        <x:f>IF(COUNT(M49,V49,AE49)=0,"",AVERAGE(M49,V49,AE49))</x:f>
        <x:v>2</x:v>
      </x:c>
    </x:row>
    <x:row r="50">
      <x:c r="A50" s="107" t="str">
        <x:v>Terry McLaurin</x:v>
      </x:c>
      <x:c r="B50" s="108" t="str">
        <x:v>WR</x:v>
      </x:c>
      <x:c r="C50" s="108" t="str">
        <x:v>WAS</x:v>
      </x:c>
      <x:c r="D50" s="109" t="n">
        <x:v>7</x:v>
      </x:c>
      <x:c r="E50" s="109" t="n">
        <x:f>IFERROR(VLOOKUP($A50,'Mike FLEX'!$A$6:$N$278,5,FALSE),"")</x:f>
        <x:v>51</x:v>
      </x:c>
      <x:c r="F50" s="110" t="n">
        <x:f>IFERROR(VLOOKUP($A50,'Mike FLEX'!$A$6:$N$278,6,FALSE),"")</x:f>
        <x:v>12.7</x:v>
      </x:c>
      <x:c r="G50" s="111" t="n">
        <x:f>IFERROR(VLOOKUP($A50,'Mike FLEX'!$A$6:$N$278,7,FALSE),"")</x:f>
        <x:v>0</x:v>
      </x:c>
      <x:c r="H50" s="111" t="n">
        <x:f>IFERROR(VLOOKUP($A50,'Mike FLEX'!$A$6:$N$278,8,FALSE),"")</x:f>
        <x:v>0</x:v>
      </x:c>
      <x:c r="I50" s="111" t="n">
        <x:f>IFERROR(VLOOKUP($A50,'Mike FLEX'!$A$6:$N$278,9,FALSE),"")</x:f>
        <x:v>0</x:v>
      </x:c>
      <x:c r="J50" s="111" t="n">
        <x:f>IFERROR(VLOOKUP($A50,'Mike FLEX'!$A$6:$N$278,10,FALSE),"")</x:f>
        <x:v>72</x:v>
      </x:c>
      <x:c r="K50" s="111" t="n">
        <x:f>IFERROR(VLOOKUP($A50,'Mike FLEX'!$A$6:$N$278,11,FALSE),"")</x:f>
        <x:v>1015</x:v>
      </x:c>
      <x:c r="L50" s="111" t="n">
        <x:f>IFERROR(VLOOKUP($A50,'Mike FLEX'!$A$6:$N$278,12,FALSE),"")</x:f>
        <x:v>7</x:v>
      </x:c>
      <x:c r="M50" s="111" t="n">
        <x:f>IFERROR(VLOOKUP($A50,'Mike FLEX'!$A$6:$N$278,13,FALSE),"")</x:f>
        <x:v>0</x:v>
      </x:c>
      <x:c r="N50" s="109" t="n">
        <x:f>IFERROR(VLOOKUP($A50,'Andy FLEX'!$A$6:$N$278,5,FALSE),"")</x:f>
        <x:v>43</x:v>
      </x:c>
      <x:c r="O50" s="110" t="n">
        <x:f>IFERROR(VLOOKUP($A50,'Andy FLEX'!$A$6:$N$278,6,FALSE),"")</x:f>
        <x:v>13.3</x:v>
      </x:c>
      <x:c r="P50" s="111" t="n">
        <x:f>IFERROR(VLOOKUP($A50,'Andy FLEX'!$A$6:$N$278,7,FALSE),"")</x:f>
        <x:v>3</x:v>
      </x:c>
      <x:c r="Q50" s="111" t="n">
        <x:f>IFERROR(VLOOKUP($A50,'Andy FLEX'!$A$6:$N$278,8,FALSE),"")</x:f>
        <x:v>19</x:v>
      </x:c>
      <x:c r="R50" s="111" t="n">
        <x:f>IFERROR(VLOOKUP($A50,'Andy FLEX'!$A$6:$N$278,9,FALSE),"")</x:f>
        <x:v>0</x:v>
      </x:c>
      <x:c r="S50" s="111" t="n">
        <x:f>IFERROR(VLOOKUP($A50,'Andy FLEX'!$A$6:$N$278,10,FALSE),"")</x:f>
        <x:v>75</x:v>
      </x:c>
      <x:c r="T50" s="111" t="n">
        <x:f>IFERROR(VLOOKUP($A50,'Andy FLEX'!$A$6:$N$278,11,FALSE),"")</x:f>
        <x:v>1066</x:v>
      </x:c>
      <x:c r="U50" s="111" t="n">
        <x:f>IFERROR(VLOOKUP($A50,'Andy FLEX'!$A$6:$N$278,12,FALSE),"")</x:f>
        <x:v>7</x:v>
      </x:c>
      <x:c r="V50" s="111" t="n">
        <x:f>IFERROR(VLOOKUP($A50,'Andy FLEX'!$A$6:$N$278,13,FALSE),"")</x:f>
        <x:v>1</x:v>
      </x:c>
      <x:c r="W50" s="109" t="n">
        <x:f>IFERROR(VLOOKUP($A50,'Jason FLEX'!$A$6:$N$268,5,FALSE),"")</x:f>
        <x:v>48</x:v>
      </x:c>
      <x:c r="X50" s="110" t="n">
        <x:f>IFERROR(VLOOKUP($A50,'Jason FLEX'!$A$6:$N$268,6,FALSE),"")</x:f>
        <x:v>13.1</x:v>
      </x:c>
      <x:c r="Y50" s="111" t="n">
        <x:f>IFERROR(VLOOKUP($A50,'Jason FLEX'!$A$6:$N$268,7,FALSE),"")</x:f>
        <x:v>0</x:v>
      </x:c>
      <x:c r="Z50" s="111" t="n">
        <x:f>IFERROR(VLOOKUP($A50,'Jason FLEX'!$A$6:$N$268,8,FALSE),"")</x:f>
        <x:v>0</x:v>
      </x:c>
      <x:c r="AA50" s="111" t="n">
        <x:f>IFERROR(VLOOKUP($A50,'Jason FLEX'!$A$6:$N$268,9,FALSE),"")</x:f>
        <x:v>0</x:v>
      </x:c>
      <x:c r="AB50" s="111" t="n">
        <x:f>IFERROR(VLOOKUP($A50,'Jason FLEX'!$A$6:$N$268,10,FALSE),"")</x:f>
        <x:v>79</x:v>
      </x:c>
      <x:c r="AC50" s="111" t="n">
        <x:f>IFERROR(VLOOKUP($A50,'Jason FLEX'!$A$6:$N$268,11,FALSE),"")</x:f>
        <x:v>1050</x:v>
      </x:c>
      <x:c r="AD50" s="111" t="n">
        <x:f>IFERROR(VLOOKUP($A50,'Jason FLEX'!$A$6:$N$268,12,FALSE),"")</x:f>
        <x:v>7</x:v>
      </x:c>
      <x:c r="AE50" s="111" t="n">
        <x:f>IFERROR(VLOOKUP($A50,'Jason FLEX'!$A$6:$N$268,13,FALSE),"")</x:f>
        <x:v>0</x:v>
      </x:c>
      <x:c r="AF50" s="110" t="n">
        <x:f>IF(COUNT(E50,N50,W50)=0,"",AVERAGE(E50,N50,W50))</x:f>
        <x:v>47.333333333333336</x:v>
      </x:c>
      <x:c r="AG50" s="110" t="n">
        <x:f>IF(COUNT(E50,N50,W50)=0,"",MAX(E50,N50,W50)-MIN(E50,N50,W50))</x:f>
        <x:v>8</x:v>
      </x:c>
      <x:c r="AH50" s="110" t="n">
        <x:f>IF(COUNT(F50,O50,X50)=0,"",AVERAGE(F50,O50,X50))</x:f>
        <x:v>13.033333333333333</x:v>
      </x:c>
      <x:c r="AI50" s="112" t="n">
        <x:f>IF(COUNT(G50,P50,Y50)=0,"",AVERAGE(G50,P50,Y50))</x:f>
        <x:v>1</x:v>
      </x:c>
      <x:c r="AJ50" s="112" t="n">
        <x:f>IF(COUNT(H50,Q50,Z50)=0,"",AVERAGE(H50,Q50,Z50))</x:f>
        <x:v>6.333333333333333</x:v>
      </x:c>
      <x:c r="AK50" s="112" t="n">
        <x:f>IF(COUNT(I50,R50,AA50)=0,"",AVERAGE(I50,R50,AA50))</x:f>
        <x:v>0</x:v>
      </x:c>
      <x:c r="AL50" s="112" t="n">
        <x:f>IF(COUNT(J50,S50,AB50)=0,"",AVERAGE(J50,S50,AB50))</x:f>
        <x:v>75.33333333333333</x:v>
      </x:c>
      <x:c r="AM50" s="112" t="n">
        <x:f>IF(COUNT(K50,T50,AC50)=0,"",AVERAGE(K50,T50,AC50))</x:f>
        <x:v>1043.6666666666667</x:v>
      </x:c>
      <x:c r="AN50" s="112" t="n">
        <x:f>IF(COUNT(L50,U50,AD50)=0,"",AVERAGE(L50,U50,AD50))</x:f>
        <x:v>7</x:v>
      </x:c>
      <x:c r="AO50" s="112" t="n">
        <x:f>IF(COUNT(M50,V50,AE50)=0,"",AVERAGE(M50,V50,AE50))</x:f>
        <x:v>0.3333333333333333</x:v>
      </x:c>
    </x:row>
    <x:row r="51">
      <x:c r="A51" s="107" t="str">
        <x:v>Davante Adams</x:v>
      </x:c>
      <x:c r="B51" s="108" t="str">
        <x:v>WR</x:v>
      </x:c>
      <x:c r="C51" s="108" t="str">
        <x:v>LAR</x:v>
      </x:c>
      <x:c r="D51" s="109" t="n">
        <x:v>11</x:v>
      </x:c>
      <x:c r="E51" s="109" t="n">
        <x:f>IFERROR(VLOOKUP($A51,'Mike FLEX'!$A$6:$N$278,5,FALSE),"")</x:f>
        <x:v>38</x:v>
      </x:c>
      <x:c r="F51" s="110" t="n">
        <x:f>IFERROR(VLOOKUP($A51,'Mike FLEX'!$A$6:$N$278,6,FALSE),"")</x:f>
        <x:v>13.3</x:v>
      </x:c>
      <x:c r="G51" s="111" t="n">
        <x:f>IFERROR(VLOOKUP($A51,'Mike FLEX'!$A$6:$N$278,7,FALSE),"")</x:f>
        <x:v>0</x:v>
      </x:c>
      <x:c r="H51" s="111" t="n">
        <x:f>IFERROR(VLOOKUP($A51,'Mike FLEX'!$A$6:$N$278,8,FALSE),"")</x:f>
        <x:v>0</x:v>
      </x:c>
      <x:c r="I51" s="111" t="n">
        <x:f>IFERROR(VLOOKUP($A51,'Mike FLEX'!$A$6:$N$278,9,FALSE),"")</x:f>
        <x:v>0</x:v>
      </x:c>
      <x:c r="J51" s="111" t="n">
        <x:f>IFERROR(VLOOKUP($A51,'Mike FLEX'!$A$6:$N$278,10,FALSE),"")</x:f>
        <x:v>77</x:v>
      </x:c>
      <x:c r="K51" s="111" t="n">
        <x:f>IFERROR(VLOOKUP($A51,'Mike FLEX'!$A$6:$N$278,11,FALSE),"")</x:f>
        <x:v>972</x:v>
      </x:c>
      <x:c r="L51" s="111" t="n">
        <x:f>IFERROR(VLOOKUP($A51,'Mike FLEX'!$A$6:$N$278,12,FALSE),"")</x:f>
        <x:v>9</x:v>
      </x:c>
      <x:c r="M51" s="111" t="n">
        <x:f>IFERROR(VLOOKUP($A51,'Mike FLEX'!$A$6:$N$278,13,FALSE),"")</x:f>
        <x:v>0</x:v>
      </x:c>
      <x:c r="N51" s="109" t="n">
        <x:f>IFERROR(VLOOKUP($A51,'Andy FLEX'!$A$6:$N$278,5,FALSE),"")</x:f>
        <x:v>63</x:v>
      </x:c>
      <x:c r="O51" s="110" t="n">
        <x:f>IFERROR(VLOOKUP($A51,'Andy FLEX'!$A$6:$N$278,6,FALSE),"")</x:f>
        <x:v>11.8</x:v>
      </x:c>
      <x:c r="P51" s="111" t="n">
        <x:f>IFERROR(VLOOKUP($A51,'Andy FLEX'!$A$6:$N$278,7,FALSE),"")</x:f>
        <x:v>2</x:v>
      </x:c>
      <x:c r="Q51" s="111" t="n">
        <x:f>IFERROR(VLOOKUP($A51,'Andy FLEX'!$A$6:$N$278,8,FALSE),"")</x:f>
        <x:v>8</x:v>
      </x:c>
      <x:c r="R51" s="111" t="n">
        <x:f>IFERROR(VLOOKUP($A51,'Andy FLEX'!$A$6:$N$278,9,FALSE),"")</x:f>
        <x:v>0</x:v>
      </x:c>
      <x:c r="S51" s="111" t="n">
        <x:f>IFERROR(VLOOKUP($A51,'Andy FLEX'!$A$6:$N$278,10,FALSE),"")</x:f>
        <x:v>68</x:v>
      </x:c>
      <x:c r="T51" s="111" t="n">
        <x:f>IFERROR(VLOOKUP($A51,'Andy FLEX'!$A$6:$N$278,11,FALSE),"")</x:f>
        <x:v>831</x:v>
      </x:c>
      <x:c r="U51" s="111" t="n">
        <x:f>IFERROR(VLOOKUP($A51,'Andy FLEX'!$A$6:$N$278,12,FALSE),"")</x:f>
        <x:v>9</x:v>
      </x:c>
      <x:c r="V51" s="111" t="n">
        <x:f>IFERROR(VLOOKUP($A51,'Andy FLEX'!$A$6:$N$278,13,FALSE),"")</x:f>
        <x:v>1</x:v>
      </x:c>
      <x:c r="W51" s="109" t="n">
        <x:f>IFERROR(VLOOKUP($A51,'Jason FLEX'!$A$6:$N$268,5,FALSE),"")</x:f>
        <x:v>42</x:v>
      </x:c>
      <x:c r="X51" s="110" t="n">
        <x:f>IFERROR(VLOOKUP($A51,'Jason FLEX'!$A$6:$N$268,6,FALSE),"")</x:f>
        <x:v>13.6</x:v>
      </x:c>
      <x:c r="Y51" s="111" t="n">
        <x:f>IFERROR(VLOOKUP($A51,'Jason FLEX'!$A$6:$N$268,7,FALSE),"")</x:f>
        <x:v>0</x:v>
      </x:c>
      <x:c r="Z51" s="111" t="n">
        <x:f>IFERROR(VLOOKUP($A51,'Jason FLEX'!$A$6:$N$268,8,FALSE),"")</x:f>
        <x:v>0</x:v>
      </x:c>
      <x:c r="AA51" s="111" t="n">
        <x:f>IFERROR(VLOOKUP($A51,'Jason FLEX'!$A$6:$N$268,9,FALSE),"")</x:f>
        <x:v>0</x:v>
      </x:c>
      <x:c r="AB51" s="111" t="n">
        <x:f>IFERROR(VLOOKUP($A51,'Jason FLEX'!$A$6:$N$268,10,FALSE),"")</x:f>
        <x:v>72</x:v>
      </x:c>
      <x:c r="AC51" s="111" t="n">
        <x:f>IFERROR(VLOOKUP($A51,'Jason FLEX'!$A$6:$N$268,11,FALSE),"")</x:f>
        <x:v>962</x:v>
      </x:c>
      <x:c r="AD51" s="111" t="n">
        <x:f>IFERROR(VLOOKUP($A51,'Jason FLEX'!$A$6:$N$268,12,FALSE),"")</x:f>
        <x:v>11</x:v>
      </x:c>
      <x:c r="AE51" s="111" t="n">
        <x:f>IFERROR(VLOOKUP($A51,'Jason FLEX'!$A$6:$N$268,13,FALSE),"")</x:f>
        <x:v>0</x:v>
      </x:c>
      <x:c r="AF51" s="110" t="n">
        <x:f>IF(COUNT(E51,N51,W51)=0,"",AVERAGE(E51,N51,W51))</x:f>
        <x:v>47.666666666666664</x:v>
      </x:c>
      <x:c r="AG51" s="110" t="n">
        <x:f>IF(COUNT(E51,N51,W51)=0,"",MAX(E51,N51,W51)-MIN(E51,N51,W51))</x:f>
        <x:v>25</x:v>
      </x:c>
      <x:c r="AH51" s="110" t="n">
        <x:f>IF(COUNT(F51,O51,X51)=0,"",AVERAGE(F51,O51,X51))</x:f>
        <x:v>12.9</x:v>
      </x:c>
      <x:c r="AI51" s="112" t="n">
        <x:f>IF(COUNT(G51,P51,Y51)=0,"",AVERAGE(G51,P51,Y51))</x:f>
        <x:v>0.6666666666666666</x:v>
      </x:c>
      <x:c r="AJ51" s="112" t="n">
        <x:f>IF(COUNT(H51,Q51,Z51)=0,"",AVERAGE(H51,Q51,Z51))</x:f>
        <x:v>2.6666666666666665</x:v>
      </x:c>
      <x:c r="AK51" s="112" t="n">
        <x:f>IF(COUNT(I51,R51,AA51)=0,"",AVERAGE(I51,R51,AA51))</x:f>
        <x:v>0</x:v>
      </x:c>
      <x:c r="AL51" s="112" t="n">
        <x:f>IF(COUNT(J51,S51,AB51)=0,"",AVERAGE(J51,S51,AB51))</x:f>
        <x:v>72.33333333333333</x:v>
      </x:c>
      <x:c r="AM51" s="112" t="n">
        <x:f>IF(COUNT(K51,T51,AC51)=0,"",AVERAGE(K51,T51,AC51))</x:f>
        <x:v>921.6666666666666</x:v>
      </x:c>
      <x:c r="AN51" s="112" t="n">
        <x:f>IF(COUNT(L51,U51,AD51)=0,"",AVERAGE(L51,U51,AD51))</x:f>
        <x:v>9.666666666666666</x:v>
      </x:c>
      <x:c r="AO51" s="112" t="n">
        <x:f>IF(COUNT(M51,V51,AE51)=0,"",AVERAGE(M51,V51,AE51))</x:f>
        <x:v>0.3333333333333333</x:v>
      </x:c>
    </x:row>
    <x:row r="52">
      <x:c r="A52" s="107" t="str">
        <x:v>DJ Moore</x:v>
      </x:c>
      <x:c r="B52" s="108" t="str">
        <x:v>WR</x:v>
      </x:c>
      <x:c r="C52" s="108" t="str">
        <x:v>BUF</x:v>
      </x:c>
      <x:c r="D52" s="109" t="n">
        <x:v>7</x:v>
      </x:c>
      <x:c r="E52" s="109" t="n">
        <x:f>IFERROR(VLOOKUP($A52,'Mike FLEX'!$A$6:$N$278,5,FALSE),"")</x:f>
        <x:v>63</x:v>
      </x:c>
      <x:c r="F52" s="110" t="n">
        <x:f>IFERROR(VLOOKUP($A52,'Mike FLEX'!$A$6:$N$278,6,FALSE),"")</x:f>
        <x:v>11.8</x:v>
      </x:c>
      <x:c r="G52" s="111" t="n">
        <x:f>IFERROR(VLOOKUP($A52,'Mike FLEX'!$A$6:$N$278,7,FALSE),"")</x:f>
        <x:v>12</x:v>
      </x:c>
      <x:c r="H52" s="111" t="n">
        <x:f>IFERROR(VLOOKUP($A52,'Mike FLEX'!$A$6:$N$278,8,FALSE),"")</x:f>
        <x:v>62</x:v>
      </x:c>
      <x:c r="I52" s="111" t="n">
        <x:f>IFERROR(VLOOKUP($A52,'Mike FLEX'!$A$6:$N$278,9,FALSE),"")</x:f>
        <x:v>1</x:v>
      </x:c>
      <x:c r="J52" s="111" t="n">
        <x:f>IFERROR(VLOOKUP($A52,'Mike FLEX'!$A$6:$N$278,10,FALSE),"")</x:f>
        <x:v>65</x:v>
      </x:c>
      <x:c r="K52" s="111" t="n">
        <x:f>IFERROR(VLOOKUP($A52,'Mike FLEX'!$A$6:$N$278,11,FALSE),"")</x:f>
        <x:v>898</x:v>
      </x:c>
      <x:c r="L52" s="111" t="n">
        <x:f>IFERROR(VLOOKUP($A52,'Mike FLEX'!$A$6:$N$278,12,FALSE),"")</x:f>
        <x:v>6</x:v>
      </x:c>
      <x:c r="M52" s="111" t="n">
        <x:f>IFERROR(VLOOKUP($A52,'Mike FLEX'!$A$6:$N$278,13,FALSE),"")</x:f>
        <x:v>0</x:v>
      </x:c>
      <x:c r="N52" s="109" t="n">
        <x:f>IFERROR(VLOOKUP($A52,'Andy FLEX'!$A$6:$N$278,5,FALSE),"")</x:f>
        <x:v>37</x:v>
      </x:c>
      <x:c r="O52" s="110" t="n">
        <x:f>IFERROR(VLOOKUP($A52,'Andy FLEX'!$A$6:$N$278,6,FALSE),"")</x:f>
        <x:v>13.7</x:v>
      </x:c>
      <x:c r="P52" s="111" t="n">
        <x:f>IFERROR(VLOOKUP($A52,'Andy FLEX'!$A$6:$N$278,7,FALSE),"")</x:f>
        <x:v>13</x:v>
      </x:c>
      <x:c r="Q52" s="111" t="n">
        <x:f>IFERROR(VLOOKUP($A52,'Andy FLEX'!$A$6:$N$278,8,FALSE),"")</x:f>
        <x:v>74</x:v>
      </x:c>
      <x:c r="R52" s="111" t="n">
        <x:f>IFERROR(VLOOKUP($A52,'Andy FLEX'!$A$6:$N$278,9,FALSE),"")</x:f>
        <x:v>1</x:v>
      </x:c>
      <x:c r="S52" s="111" t="n">
        <x:f>IFERROR(VLOOKUP($A52,'Andy FLEX'!$A$6:$N$278,10,FALSE),"")</x:f>
        <x:v>78</x:v>
      </x:c>
      <x:c r="T52" s="111" t="n">
        <x:f>IFERROR(VLOOKUP($A52,'Andy FLEX'!$A$6:$N$278,11,FALSE),"")</x:f>
        <x:v>998</x:v>
      </x:c>
      <x:c r="U52" s="111" t="n">
        <x:f>IFERROR(VLOOKUP($A52,'Andy FLEX'!$A$6:$N$278,12,FALSE),"")</x:f>
        <x:v>7</x:v>
      </x:c>
      <x:c r="V52" s="111" t="n">
        <x:f>IFERROR(VLOOKUP($A52,'Andy FLEX'!$A$6:$N$278,13,FALSE),"")</x:f>
        <x:v>0</x:v>
      </x:c>
      <x:c r="W52" s="109" t="n">
        <x:f>IFERROR(VLOOKUP($A52,'Jason FLEX'!$A$6:$N$268,5,FALSE),"")</x:f>
        <x:v>44</x:v>
      </x:c>
      <x:c r="X52" s="110" t="n">
        <x:f>IFERROR(VLOOKUP($A52,'Jason FLEX'!$A$6:$N$268,6,FALSE),"")</x:f>
        <x:v>13.4</x:v>
      </x:c>
      <x:c r="Y52" s="111" t="n">
        <x:f>IFERROR(VLOOKUP($A52,'Jason FLEX'!$A$6:$N$268,7,FALSE),"")</x:f>
        <x:v>12</x:v>
      </x:c>
      <x:c r="Z52" s="111" t="n">
        <x:f>IFERROR(VLOOKUP($A52,'Jason FLEX'!$A$6:$N$268,8,FALSE),"")</x:f>
        <x:v>72</x:v>
      </x:c>
      <x:c r="AA52" s="111" t="n">
        <x:f>IFERROR(VLOOKUP($A52,'Jason FLEX'!$A$6:$N$268,9,FALSE),"")</x:f>
        <x:v>1</x:v>
      </x:c>
      <x:c r="AB52" s="111" t="n">
        <x:f>IFERROR(VLOOKUP($A52,'Jason FLEX'!$A$6:$N$268,10,FALSE),"")</x:f>
        <x:v>78</x:v>
      </x:c>
      <x:c r="AC52" s="111" t="n">
        <x:f>IFERROR(VLOOKUP($A52,'Jason FLEX'!$A$6:$N$268,11,FALSE),"")</x:f>
        <x:v>1033</x:v>
      </x:c>
      <x:c r="AD52" s="111" t="n">
        <x:f>IFERROR(VLOOKUP($A52,'Jason FLEX'!$A$6:$N$268,12,FALSE),"")</x:f>
        <x:v>7</x:v>
      </x:c>
      <x:c r="AE52" s="111" t="n">
        <x:f>IFERROR(VLOOKUP($A52,'Jason FLEX'!$A$6:$N$268,13,FALSE),"")</x:f>
        <x:v>1</x:v>
      </x:c>
      <x:c r="AF52" s="110" t="n">
        <x:f>IF(COUNT(E52,N52,W52)=0,"",AVERAGE(E52,N52,W52))</x:f>
        <x:v>48</x:v>
      </x:c>
      <x:c r="AG52" s="110" t="n">
        <x:f>IF(COUNT(E52,N52,W52)=0,"",MAX(E52,N52,W52)-MIN(E52,N52,W52))</x:f>
        <x:v>26</x:v>
      </x:c>
      <x:c r="AH52" s="110" t="n">
        <x:f>IF(COUNT(F52,O52,X52)=0,"",AVERAGE(F52,O52,X52))</x:f>
        <x:v>12.966666666666667</x:v>
      </x:c>
      <x:c r="AI52" s="112" t="n">
        <x:f>IF(COUNT(G52,P52,Y52)=0,"",AVERAGE(G52,P52,Y52))</x:f>
        <x:v>12.333333333333334</x:v>
      </x:c>
      <x:c r="AJ52" s="112" t="n">
        <x:f>IF(COUNT(H52,Q52,Z52)=0,"",AVERAGE(H52,Q52,Z52))</x:f>
        <x:v>69.33333333333333</x:v>
      </x:c>
      <x:c r="AK52" s="112" t="n">
        <x:f>IF(COUNT(I52,R52,AA52)=0,"",AVERAGE(I52,R52,AA52))</x:f>
        <x:v>1</x:v>
      </x:c>
      <x:c r="AL52" s="112" t="n">
        <x:f>IF(COUNT(J52,S52,AB52)=0,"",AVERAGE(J52,S52,AB52))</x:f>
        <x:v>73.66666666666667</x:v>
      </x:c>
      <x:c r="AM52" s="112" t="n">
        <x:f>IF(COUNT(K52,T52,AC52)=0,"",AVERAGE(K52,T52,AC52))</x:f>
        <x:v>976.3333333333334</x:v>
      </x:c>
      <x:c r="AN52" s="112" t="n">
        <x:f>IF(COUNT(L52,U52,AD52)=0,"",AVERAGE(L52,U52,AD52))</x:f>
        <x:v>6.666666666666667</x:v>
      </x:c>
      <x:c r="AO52" s="112" t="n">
        <x:f>IF(COUNT(M52,V52,AE52)=0,"",AVERAGE(M52,V52,AE52))</x:f>
        <x:v>0.3333333333333333</x:v>
      </x:c>
    </x:row>
    <x:row r="53">
      <x:c r="A53" s="107" t="str">
        <x:v>Jameson Williams</x:v>
      </x:c>
      <x:c r="B53" s="108" t="str">
        <x:v>WR</x:v>
      </x:c>
      <x:c r="C53" s="108" t="str">
        <x:v>DET</x:v>
      </x:c>
      <x:c r="D53" s="109" t="n">
        <x:v>6</x:v>
      </x:c>
      <x:c r="E53" s="109" t="n">
        <x:f>IFERROR(VLOOKUP($A53,'Mike FLEX'!$A$6:$N$278,5,FALSE),"")</x:f>
        <x:v>52</x:v>
      </x:c>
      <x:c r="F53" s="110" t="n">
        <x:f>IFERROR(VLOOKUP($A53,'Mike FLEX'!$A$6:$N$278,6,FALSE),"")</x:f>
        <x:v>12.7</x:v>
      </x:c>
      <x:c r="G53" s="111" t="n">
        <x:f>IFERROR(VLOOKUP($A53,'Mike FLEX'!$A$6:$N$278,7,FALSE),"")</x:f>
        <x:v>6</x:v>
      </x:c>
      <x:c r="H53" s="111" t="n">
        <x:f>IFERROR(VLOOKUP($A53,'Mike FLEX'!$A$6:$N$278,8,FALSE),"")</x:f>
        <x:v>31</x:v>
      </x:c>
      <x:c r="I53" s="111" t="n">
        <x:f>IFERROR(VLOOKUP($A53,'Mike FLEX'!$A$6:$N$278,9,FALSE),"")</x:f>
        <x:v>0</x:v>
      </x:c>
      <x:c r="J53" s="111" t="n">
        <x:f>IFERROR(VLOOKUP($A53,'Mike FLEX'!$A$6:$N$278,10,FALSE),"")</x:f>
        <x:v>63</x:v>
      </x:c>
      <x:c r="K53" s="111" t="n">
        <x:f>IFERROR(VLOOKUP($A53,'Mike FLEX'!$A$6:$N$278,11,FALSE),"")</x:f>
        <x:v>1059</x:v>
      </x:c>
      <x:c r="L53" s="111" t="n">
        <x:f>IFERROR(VLOOKUP($A53,'Mike FLEX'!$A$6:$N$278,12,FALSE),"")</x:f>
        <x:v>7</x:v>
      </x:c>
      <x:c r="M53" s="111" t="n">
        <x:f>IFERROR(VLOOKUP($A53,'Mike FLEX'!$A$6:$N$278,13,FALSE),"")</x:f>
        <x:v>0</x:v>
      </x:c>
      <x:c r="N53" s="109" t="n">
        <x:f>IFERROR(VLOOKUP($A53,'Andy FLEX'!$A$6:$N$278,5,FALSE),"")</x:f>
        <x:v>38</x:v>
      </x:c>
      <x:c r="O53" s="110" t="n">
        <x:f>IFERROR(VLOOKUP($A53,'Andy FLEX'!$A$6:$N$278,6,FALSE),"")</x:f>
        <x:v>13.6</x:v>
      </x:c>
      <x:c r="P53" s="111" t="n">
        <x:f>IFERROR(VLOOKUP($A53,'Andy FLEX'!$A$6:$N$278,7,FALSE),"")</x:f>
        <x:v>8</x:v>
      </x:c>
      <x:c r="Q53" s="111" t="n">
        <x:f>IFERROR(VLOOKUP($A53,'Andy FLEX'!$A$6:$N$278,8,FALSE),"")</x:f>
        <x:v>43</x:v>
      </x:c>
      <x:c r="R53" s="111" t="n">
        <x:f>IFERROR(VLOOKUP($A53,'Andy FLEX'!$A$6:$N$278,9,FALSE),"")</x:f>
        <x:v>0</x:v>
      </x:c>
      <x:c r="S53" s="111" t="n">
        <x:f>IFERROR(VLOOKUP($A53,'Andy FLEX'!$A$6:$N$278,10,FALSE),"")</x:f>
        <x:v>69</x:v>
      </x:c>
      <x:c r="T53" s="111" t="n">
        <x:f>IFERROR(VLOOKUP($A53,'Andy FLEX'!$A$6:$N$278,11,FALSE),"")</x:f>
        <x:v>1137</x:v>
      </x:c>
      <x:c r="U53" s="111" t="n">
        <x:f>IFERROR(VLOOKUP($A53,'Andy FLEX'!$A$6:$N$278,12,FALSE),"")</x:f>
        <x:v>8</x:v>
      </x:c>
      <x:c r="V53" s="111" t="n">
        <x:f>IFERROR(VLOOKUP($A53,'Andy FLEX'!$A$6:$N$278,13,FALSE),"")</x:f>
        <x:v>1</x:v>
      </x:c>
      <x:c r="W53" s="109" t="n">
        <x:f>IFERROR(VLOOKUP($A53,'Jason FLEX'!$A$6:$N$268,5,FALSE),"")</x:f>
        <x:v>55</x:v>
      </x:c>
      <x:c r="X53" s="110" t="n">
        <x:f>IFERROR(VLOOKUP($A53,'Jason FLEX'!$A$6:$N$268,6,FALSE),"")</x:f>
        <x:v>12.7</x:v>
      </x:c>
      <x:c r="Y53" s="111" t="n">
        <x:f>IFERROR(VLOOKUP($A53,'Jason FLEX'!$A$6:$N$268,7,FALSE),"")</x:f>
        <x:v>5</x:v>
      </x:c>
      <x:c r="Z53" s="111" t="n">
        <x:f>IFERROR(VLOOKUP($A53,'Jason FLEX'!$A$6:$N$268,8,FALSE),"")</x:f>
        <x:v>12</x:v>
      </x:c>
      <x:c r="AA53" s="111" t="n">
        <x:f>IFERROR(VLOOKUP($A53,'Jason FLEX'!$A$6:$N$268,9,FALSE),"")</x:f>
        <x:v>1</x:v>
      </x:c>
      <x:c r="AB53" s="111" t="n">
        <x:f>IFERROR(VLOOKUP($A53,'Jason FLEX'!$A$6:$N$268,10,FALSE),"")</x:f>
        <x:v>62</x:v>
      </x:c>
      <x:c r="AC53" s="111" t="n">
        <x:f>IFERROR(VLOOKUP($A53,'Jason FLEX'!$A$6:$N$268,11,FALSE),"")</x:f>
        <x:v>1045</x:v>
      </x:c>
      <x:c r="AD53" s="111" t="n">
        <x:f>IFERROR(VLOOKUP($A53,'Jason FLEX'!$A$6:$N$268,12,FALSE),"")</x:f>
        <x:v>7</x:v>
      </x:c>
      <x:c r="AE53" s="111" t="n">
        <x:f>IFERROR(VLOOKUP($A53,'Jason FLEX'!$A$6:$N$268,13,FALSE),"")</x:f>
        <x:v>0</x:v>
      </x:c>
      <x:c r="AF53" s="110" t="n">
        <x:f>IF(COUNT(E53,N53,W53)=0,"",AVERAGE(E53,N53,W53))</x:f>
        <x:v>48.333333333333336</x:v>
      </x:c>
      <x:c r="AG53" s="110" t="n">
        <x:f>IF(COUNT(E53,N53,W53)=0,"",MAX(E53,N53,W53)-MIN(E53,N53,W53))</x:f>
        <x:v>17</x:v>
      </x:c>
      <x:c r="AH53" s="110" t="n">
        <x:f>IF(COUNT(F53,O53,X53)=0,"",AVERAGE(F53,O53,X53))</x:f>
        <x:v>13</x:v>
      </x:c>
      <x:c r="AI53" s="112" t="n">
        <x:f>IF(COUNT(G53,P53,Y53)=0,"",AVERAGE(G53,P53,Y53))</x:f>
        <x:v>6.333333333333333</x:v>
      </x:c>
      <x:c r="AJ53" s="112" t="n">
        <x:f>IF(COUNT(H53,Q53,Z53)=0,"",AVERAGE(H53,Q53,Z53))</x:f>
        <x:v>28.666666666666668</x:v>
      </x:c>
      <x:c r="AK53" s="112" t="n">
        <x:f>IF(COUNT(I53,R53,AA53)=0,"",AVERAGE(I53,R53,AA53))</x:f>
        <x:v>0.3333333333333333</x:v>
      </x:c>
      <x:c r="AL53" s="112" t="n">
        <x:f>IF(COUNT(J53,S53,AB53)=0,"",AVERAGE(J53,S53,AB53))</x:f>
        <x:v>64.66666666666667</x:v>
      </x:c>
      <x:c r="AM53" s="112" t="n">
        <x:f>IF(COUNT(K53,T53,AC53)=0,"",AVERAGE(K53,T53,AC53))</x:f>
        <x:v>1080.3333333333333</x:v>
      </x:c>
      <x:c r="AN53" s="112" t="n">
        <x:f>IF(COUNT(L53,U53,AD53)=0,"",AVERAGE(L53,U53,AD53))</x:f>
        <x:v>7.333333333333333</x:v>
      </x:c>
      <x:c r="AO53" s="112" t="n">
        <x:f>IF(COUNT(M53,V53,AE53)=0,"",AVERAGE(M53,V53,AE53))</x:f>
        <x:v>0.3333333333333333</x:v>
      </x:c>
    </x:row>
    <x:row r="54">
      <x:c r="A54" s="107" t="str">
        <x:v>Tyler Warren</x:v>
      </x:c>
      <x:c r="B54" s="108" t="str">
        <x:v>TE</x:v>
      </x:c>
      <x:c r="C54" s="108" t="str">
        <x:v>IND</x:v>
      </x:c>
      <x:c r="D54" s="109" t="n">
        <x:v>13</x:v>
      </x:c>
      <x:c r="E54" s="109" t="n">
        <x:f>IFERROR(VLOOKUP($A54,'Mike FLEX'!$A$6:$N$278,5,FALSE),"")</x:f>
        <x:v>61</x:v>
      </x:c>
      <x:c r="F54" s="110" t="n">
        <x:f>IFERROR(VLOOKUP($A54,'Mike FLEX'!$A$6:$N$278,6,FALSE),"")</x:f>
        <x:v>11.8</x:v>
      </x:c>
      <x:c r="G54" s="111" t="n">
        <x:f>IFERROR(VLOOKUP($A54,'Mike FLEX'!$A$6:$N$278,7,FALSE),"")</x:f>
        <x:v>0</x:v>
      </x:c>
      <x:c r="H54" s="111" t="n">
        <x:f>IFERROR(VLOOKUP($A54,'Mike FLEX'!$A$6:$N$278,8,FALSE),"")</x:f>
        <x:v>0</x:v>
      </x:c>
      <x:c r="I54" s="111" t="n">
        <x:f>IFERROR(VLOOKUP($A54,'Mike FLEX'!$A$6:$N$278,9,FALSE),"")</x:f>
        <x:v>0</x:v>
      </x:c>
      <x:c r="J54" s="111" t="n">
        <x:f>IFERROR(VLOOKUP($A54,'Mike FLEX'!$A$6:$N$278,10,FALSE),"")</x:f>
        <x:v>80</x:v>
      </x:c>
      <x:c r="K54" s="111" t="n">
        <x:f>IFERROR(VLOOKUP($A54,'Mike FLEX'!$A$6:$N$278,11,FALSE),"")</x:f>
        <x:v>860</x:v>
      </x:c>
      <x:c r="L54" s="111" t="n">
        <x:f>IFERROR(VLOOKUP($A54,'Mike FLEX'!$A$6:$N$278,12,FALSE),"")</x:f>
        <x:v>6</x:v>
      </x:c>
      <x:c r="M54" s="111" t="n">
        <x:f>IFERROR(VLOOKUP($A54,'Mike FLEX'!$A$6:$N$278,13,FALSE),"")</x:f>
        <x:v>0</x:v>
      </x:c>
      <x:c r="N54" s="109" t="n">
        <x:f>IFERROR(VLOOKUP($A54,'Andy FLEX'!$A$6:$N$278,5,FALSE),"")</x:f>
        <x:v>57</x:v>
      </x:c>
      <x:c r="O54" s="110" t="n">
        <x:f>IFERROR(VLOOKUP($A54,'Andy FLEX'!$A$6:$N$278,6,FALSE),"")</x:f>
        <x:v>12.3</x:v>
      </x:c>
      <x:c r="P54" s="111" t="n">
        <x:f>IFERROR(VLOOKUP($A54,'Andy FLEX'!$A$6:$N$278,7,FALSE),"")</x:f>
        <x:v>12</x:v>
      </x:c>
      <x:c r="Q54" s="111" t="n">
        <x:f>IFERROR(VLOOKUP($A54,'Andy FLEX'!$A$6:$N$278,8,FALSE),"")</x:f>
        <x:v>53</x:v>
      </x:c>
      <x:c r="R54" s="111" t="n">
        <x:f>IFERROR(VLOOKUP($A54,'Andy FLEX'!$A$6:$N$278,9,FALSE),"")</x:f>
        <x:v>1</x:v>
      </x:c>
      <x:c r="S54" s="111" t="n">
        <x:f>IFERROR(VLOOKUP($A54,'Andy FLEX'!$A$6:$N$278,10,FALSE),"")</x:f>
        <x:v>84</x:v>
      </x:c>
      <x:c r="T54" s="111" t="n">
        <x:f>IFERROR(VLOOKUP($A54,'Andy FLEX'!$A$6:$N$278,11,FALSE),"")</x:f>
        <x:v>872</x:v>
      </x:c>
      <x:c r="U54" s="111" t="n">
        <x:f>IFERROR(VLOOKUP($A54,'Andy FLEX'!$A$6:$N$278,12,FALSE),"")</x:f>
        <x:v>5</x:v>
      </x:c>
      <x:c r="V54" s="111" t="n">
        <x:f>IFERROR(VLOOKUP($A54,'Andy FLEX'!$A$6:$N$278,13,FALSE),"")</x:f>
        <x:v>1</x:v>
      </x:c>
      <x:c r="W54" s="109" t="n">
        <x:f>IFERROR(VLOOKUP($A54,'Jason FLEX'!$A$6:$N$268,5,FALSE),"")</x:f>
        <x:v>35</x:v>
      </x:c>
      <x:c r="X54" s="110" t="n">
        <x:f>IFERROR(VLOOKUP($A54,'Jason FLEX'!$A$6:$N$268,6,FALSE),"")</x:f>
        <x:v>14.2</x:v>
      </x:c>
      <x:c r="Y54" s="111" t="n">
        <x:f>IFERROR(VLOOKUP($A54,'Jason FLEX'!$A$6:$N$268,7,FALSE),"")</x:f>
        <x:v>0</x:v>
      </x:c>
      <x:c r="Z54" s="111" t="n">
        <x:f>IFERROR(VLOOKUP($A54,'Jason FLEX'!$A$6:$N$268,8,FALSE),"")</x:f>
        <x:v>0</x:v>
      </x:c>
      <x:c r="AA54" s="111" t="n">
        <x:f>IFERROR(VLOOKUP($A54,'Jason FLEX'!$A$6:$N$268,9,FALSE),"")</x:f>
        <x:v>0</x:v>
      </x:c>
      <x:c r="AB54" s="111" t="n">
        <x:f>IFERROR(VLOOKUP($A54,'Jason FLEX'!$A$6:$N$268,10,FALSE),"")</x:f>
        <x:v>92</x:v>
      </x:c>
      <x:c r="AC54" s="111" t="n">
        <x:f>IFERROR(VLOOKUP($A54,'Jason FLEX'!$A$6:$N$268,11,FALSE),"")</x:f>
        <x:v>1007</x:v>
      </x:c>
      <x:c r="AD54" s="111" t="n">
        <x:f>IFERROR(VLOOKUP($A54,'Jason FLEX'!$A$6:$N$268,12,FALSE),"")</x:f>
        <x:v>8</x:v>
      </x:c>
      <x:c r="AE54" s="111" t="n">
        <x:f>IFERROR(VLOOKUP($A54,'Jason FLEX'!$A$6:$N$268,13,FALSE),"")</x:f>
        <x:v>0</x:v>
      </x:c>
      <x:c r="AF54" s="110" t="n">
        <x:f>IF(COUNT(E54,N54,W54)=0,"",AVERAGE(E54,N54,W54))</x:f>
        <x:v>51</x:v>
      </x:c>
      <x:c r="AG54" s="110" t="n">
        <x:f>IF(COUNT(E54,N54,W54)=0,"",MAX(E54,N54,W54)-MIN(E54,N54,W54))</x:f>
        <x:v>26</x:v>
      </x:c>
      <x:c r="AH54" s="110" t="n">
        <x:f>IF(COUNT(F54,O54,X54)=0,"",AVERAGE(F54,O54,X54))</x:f>
        <x:v>12.766666666666666</x:v>
      </x:c>
      <x:c r="AI54" s="112" t="n">
        <x:f>IF(COUNT(G54,P54,Y54)=0,"",AVERAGE(G54,P54,Y54))</x:f>
        <x:v>4</x:v>
      </x:c>
      <x:c r="AJ54" s="112" t="n">
        <x:f>IF(COUNT(H54,Q54,Z54)=0,"",AVERAGE(H54,Q54,Z54))</x:f>
        <x:v>17.666666666666668</x:v>
      </x:c>
      <x:c r="AK54" s="112" t="n">
        <x:f>IF(COUNT(I54,R54,AA54)=0,"",AVERAGE(I54,R54,AA54))</x:f>
        <x:v>0.3333333333333333</x:v>
      </x:c>
      <x:c r="AL54" s="112" t="n">
        <x:f>IF(COUNT(J54,S54,AB54)=0,"",AVERAGE(J54,S54,AB54))</x:f>
        <x:v>85.33333333333333</x:v>
      </x:c>
      <x:c r="AM54" s="112" t="n">
        <x:f>IF(COUNT(K54,T54,AC54)=0,"",AVERAGE(K54,T54,AC54))</x:f>
        <x:v>913</x:v>
      </x:c>
      <x:c r="AN54" s="112" t="n">
        <x:f>IF(COUNT(L54,U54,AD54)=0,"",AVERAGE(L54,U54,AD54))</x:f>
        <x:v>6.333333333333333</x:v>
      </x:c>
      <x:c r="AO54" s="112" t="n">
        <x:f>IF(COUNT(M54,V54,AE54)=0,"",AVERAGE(M54,V54,AE54))</x:f>
        <x:v>0.3333333333333333</x:v>
      </x:c>
    </x:row>
    <x:row r="55">
      <x:c r="A55" s="107" t="str">
        <x:v>Mike Evans</x:v>
      </x:c>
      <x:c r="B55" s="108" t="str">
        <x:v>WR</x:v>
      </x:c>
      <x:c r="C55" s="108" t="str">
        <x:v>SF</x:v>
      </x:c>
      <x:c r="D55" s="109" t="n">
        <x:v>8</x:v>
      </x:c>
      <x:c r="E55" s="109" t="n">
        <x:f>IFERROR(VLOOKUP($A55,'Mike FLEX'!$A$6:$N$278,5,FALSE),"")</x:f>
        <x:v>49</x:v>
      </x:c>
      <x:c r="F55" s="110" t="n">
        <x:f>IFERROR(VLOOKUP($A55,'Mike FLEX'!$A$6:$N$278,6,FALSE),"")</x:f>
        <x:v>12.7</x:v>
      </x:c>
      <x:c r="G55" s="111" t="n">
        <x:f>IFERROR(VLOOKUP($A55,'Mike FLEX'!$A$6:$N$278,7,FALSE),"")</x:f>
        <x:v>0</x:v>
      </x:c>
      <x:c r="H55" s="111" t="n">
        <x:f>IFERROR(VLOOKUP($A55,'Mike FLEX'!$A$6:$N$278,8,FALSE),"")</x:f>
        <x:v>0</x:v>
      </x:c>
      <x:c r="I55" s="111" t="n">
        <x:f>IFERROR(VLOOKUP($A55,'Mike FLEX'!$A$6:$N$278,9,FALSE),"")</x:f>
        <x:v>0</x:v>
      </x:c>
      <x:c r="J55" s="111" t="n">
        <x:f>IFERROR(VLOOKUP($A55,'Mike FLEX'!$A$6:$N$278,10,FALSE),"")</x:f>
        <x:v>69</x:v>
      </x:c>
      <x:c r="K55" s="111" t="n">
        <x:f>IFERROR(VLOOKUP($A55,'Mike FLEX'!$A$6:$N$278,11,FALSE),"")</x:f>
        <x:v>989</x:v>
      </x:c>
      <x:c r="L55" s="111" t="n">
        <x:f>IFERROR(VLOOKUP($A55,'Mike FLEX'!$A$6:$N$278,12,FALSE),"")</x:f>
        <x:v>8</x:v>
      </x:c>
      <x:c r="M55" s="111" t="n">
        <x:f>IFERROR(VLOOKUP($A55,'Mike FLEX'!$A$6:$N$278,13,FALSE),"")</x:f>
        <x:v>0</x:v>
      </x:c>
      <x:c r="N55" s="109" t="n">
        <x:f>IFERROR(VLOOKUP($A55,'Andy FLEX'!$A$6:$N$278,5,FALSE),"")</x:f>
        <x:v>65</x:v>
      </x:c>
      <x:c r="O55" s="110" t="n">
        <x:f>IFERROR(VLOOKUP($A55,'Andy FLEX'!$A$6:$N$278,6,FALSE),"")</x:f>
        <x:v>11.6</x:v>
      </x:c>
      <x:c r="P55" s="111" t="n">
        <x:f>IFERROR(VLOOKUP($A55,'Andy FLEX'!$A$6:$N$278,7,FALSE),"")</x:f>
        <x:v>2</x:v>
      </x:c>
      <x:c r="Q55" s="111" t="n">
        <x:f>IFERROR(VLOOKUP($A55,'Andy FLEX'!$A$6:$N$278,8,FALSE),"")</x:f>
        <x:v>8</x:v>
      </x:c>
      <x:c r="R55" s="111" t="n">
        <x:f>IFERROR(VLOOKUP($A55,'Andy FLEX'!$A$6:$N$278,9,FALSE),"")</x:f>
        <x:v>0</x:v>
      </x:c>
      <x:c r="S55" s="111" t="n">
        <x:f>IFERROR(VLOOKUP($A55,'Andy FLEX'!$A$6:$N$278,10,FALSE),"")</x:f>
        <x:v>66</x:v>
      </x:c>
      <x:c r="T55" s="111" t="n">
        <x:f>IFERROR(VLOOKUP($A55,'Andy FLEX'!$A$6:$N$278,11,FALSE),"")</x:f>
        <x:v>878</x:v>
      </x:c>
      <x:c r="U55" s="111" t="n">
        <x:f>IFERROR(VLOOKUP($A55,'Andy FLEX'!$A$6:$N$278,12,FALSE),"")</x:f>
        <x:v>8</x:v>
      </x:c>
      <x:c r="V55" s="111" t="n">
        <x:f>IFERROR(VLOOKUP($A55,'Andy FLEX'!$A$6:$N$278,13,FALSE),"")</x:f>
        <x:v>1</x:v>
      </x:c>
      <x:c r="W55" s="109" t="n">
        <x:f>IFERROR(VLOOKUP($A55,'Jason FLEX'!$A$6:$N$268,5,FALSE),"")</x:f>
        <x:v>40</x:v>
      </x:c>
      <x:c r="X55" s="110" t="n">
        <x:f>IFERROR(VLOOKUP($A55,'Jason FLEX'!$A$6:$N$268,6,FALSE),"")</x:f>
        <x:v>13.9</x:v>
      </x:c>
      <x:c r="Y55" s="111" t="n">
        <x:f>IFERROR(VLOOKUP($A55,'Jason FLEX'!$A$6:$N$268,7,FALSE),"")</x:f>
        <x:v>0</x:v>
      </x:c>
      <x:c r="Z55" s="111" t="n">
        <x:f>IFERROR(VLOOKUP($A55,'Jason FLEX'!$A$6:$N$268,8,FALSE),"")</x:f>
        <x:v>0</x:v>
      </x:c>
      <x:c r="AA55" s="111" t="n">
        <x:f>IFERROR(VLOOKUP($A55,'Jason FLEX'!$A$6:$N$268,9,FALSE),"")</x:f>
        <x:v>0</x:v>
      </x:c>
      <x:c r="AB55" s="111" t="n">
        <x:f>IFERROR(VLOOKUP($A55,'Jason FLEX'!$A$6:$N$268,10,FALSE),"")</x:f>
        <x:v>73</x:v>
      </x:c>
      <x:c r="AC55" s="111" t="n">
        <x:f>IFERROR(VLOOKUP($A55,'Jason FLEX'!$A$6:$N$268,11,FALSE),"")</x:f>
        <x:v>1102</x:v>
      </x:c>
      <x:c r="AD55" s="111" t="n">
        <x:f>IFERROR(VLOOKUP($A55,'Jason FLEX'!$A$6:$N$268,12,FALSE),"")</x:f>
        <x:v>9</x:v>
      </x:c>
      <x:c r="AE55" s="111" t="n">
        <x:f>IFERROR(VLOOKUP($A55,'Jason FLEX'!$A$6:$N$268,13,FALSE),"")</x:f>
        <x:v>0</x:v>
      </x:c>
      <x:c r="AF55" s="110" t="n">
        <x:f>IF(COUNT(E55,N55,W55)=0,"",AVERAGE(E55,N55,W55))</x:f>
        <x:v>51.333333333333336</x:v>
      </x:c>
      <x:c r="AG55" s="110" t="n">
        <x:f>IF(COUNT(E55,N55,W55)=0,"",MAX(E55,N55,W55)-MIN(E55,N55,W55))</x:f>
        <x:v>25</x:v>
      </x:c>
      <x:c r="AH55" s="110" t="n">
        <x:f>IF(COUNT(F55,O55,X55)=0,"",AVERAGE(F55,O55,X55))</x:f>
        <x:v>12.733333333333333</x:v>
      </x:c>
      <x:c r="AI55" s="112" t="n">
        <x:f>IF(COUNT(G55,P55,Y55)=0,"",AVERAGE(G55,P55,Y55))</x:f>
        <x:v>0.6666666666666666</x:v>
      </x:c>
      <x:c r="AJ55" s="112" t="n">
        <x:f>IF(COUNT(H55,Q55,Z55)=0,"",AVERAGE(H55,Q55,Z55))</x:f>
        <x:v>2.6666666666666665</x:v>
      </x:c>
      <x:c r="AK55" s="112" t="n">
        <x:f>IF(COUNT(I55,R55,AA55)=0,"",AVERAGE(I55,R55,AA55))</x:f>
        <x:v>0</x:v>
      </x:c>
      <x:c r="AL55" s="112" t="n">
        <x:f>IF(COUNT(J55,S55,AB55)=0,"",AVERAGE(J55,S55,AB55))</x:f>
        <x:v>69.33333333333333</x:v>
      </x:c>
      <x:c r="AM55" s="112" t="n">
        <x:f>IF(COUNT(K55,T55,AC55)=0,"",AVERAGE(K55,T55,AC55))</x:f>
        <x:v>989.6666666666666</x:v>
      </x:c>
      <x:c r="AN55" s="112" t="n">
        <x:f>IF(COUNT(L55,U55,AD55)=0,"",AVERAGE(L55,U55,AD55))</x:f>
        <x:v>8.333333333333334</x:v>
      </x:c>
      <x:c r="AO55" s="112" t="n">
        <x:f>IF(COUNT(M55,V55,AE55)=0,"",AVERAGE(M55,V55,AE55))</x:f>
        <x:v>0.3333333333333333</x:v>
      </x:c>
    </x:row>
    <x:row r="56">
      <x:c r="A56" s="107" t="str">
        <x:v>Bucky Irving</x:v>
      </x:c>
      <x:c r="B56" s="108" t="str">
        <x:v>RB</x:v>
      </x:c>
      <x:c r="C56" s="108" t="str">
        <x:v>TB</x:v>
      </x:c>
      <x:c r="D56" s="109" t="n">
        <x:v>10</x:v>
      </x:c>
      <x:c r="E56" s="109" t="n">
        <x:f>IFERROR(VLOOKUP($A56,'Mike FLEX'!$A$6:$N$278,5,FALSE),"")</x:f>
        <x:v>47</x:v>
      </x:c>
      <x:c r="F56" s="110" t="n">
        <x:f>IFERROR(VLOOKUP($A56,'Mike FLEX'!$A$6:$N$278,6,FALSE),"")</x:f>
        <x:v>12.9</x:v>
      </x:c>
      <x:c r="G56" s="111" t="n">
        <x:f>IFERROR(VLOOKUP($A56,'Mike FLEX'!$A$6:$N$278,7,FALSE),"")</x:f>
        <x:v>235</x:v>
      </x:c>
      <x:c r="H56" s="111" t="n">
        <x:f>IFERROR(VLOOKUP($A56,'Mike FLEX'!$A$6:$N$278,8,FALSE),"")</x:f>
        <x:v>985</x:v>
      </x:c>
      <x:c r="I56" s="111" t="n">
        <x:f>IFERROR(VLOOKUP($A56,'Mike FLEX'!$A$6:$N$278,9,FALSE),"")</x:f>
        <x:v>6</x:v>
      </x:c>
      <x:c r="J56" s="111" t="n">
        <x:f>IFERROR(VLOOKUP($A56,'Mike FLEX'!$A$6:$N$278,10,FALSE),"")</x:f>
        <x:v>42</x:v>
      </x:c>
      <x:c r="K56" s="111" t="n">
        <x:f>IFERROR(VLOOKUP($A56,'Mike FLEX'!$A$6:$N$278,11,FALSE),"")</x:f>
        <x:v>360</x:v>
      </x:c>
      <x:c r="L56" s="111" t="n">
        <x:f>IFERROR(VLOOKUP($A56,'Mike FLEX'!$A$6:$N$278,12,FALSE),"")</x:f>
        <x:v>2</x:v>
      </x:c>
      <x:c r="M56" s="111" t="n">
        <x:f>IFERROR(VLOOKUP($A56,'Mike FLEX'!$A$6:$N$278,13,FALSE),"")</x:f>
        <x:v>1</x:v>
      </x:c>
      <x:c r="N56" s="109" t="n">
        <x:f>IFERROR(VLOOKUP($A56,'Andy FLEX'!$A$6:$N$278,5,FALSE),"")</x:f>
        <x:v>54</x:v>
      </x:c>
      <x:c r="O56" s="110" t="n">
        <x:f>IFERROR(VLOOKUP($A56,'Andy FLEX'!$A$6:$N$278,6,FALSE),"")</x:f>
        <x:v>12.6</x:v>
      </x:c>
      <x:c r="P56" s="111" t="n">
        <x:f>IFERROR(VLOOKUP($A56,'Andy FLEX'!$A$6:$N$278,7,FALSE),"")</x:f>
        <x:v>222</x:v>
      </x:c>
      <x:c r="Q56" s="111" t="n">
        <x:f>IFERROR(VLOOKUP($A56,'Andy FLEX'!$A$6:$N$278,8,FALSE),"")</x:f>
        <x:v>905</x:v>
      </x:c>
      <x:c r="R56" s="111" t="n">
        <x:f>IFERROR(VLOOKUP($A56,'Andy FLEX'!$A$6:$N$278,9,FALSE),"")</x:f>
        <x:v>5</x:v>
      </x:c>
      <x:c r="S56" s="111" t="n">
        <x:f>IFERROR(VLOOKUP($A56,'Andy FLEX'!$A$6:$N$278,10,FALSE),"")</x:f>
        <x:v>40</x:v>
      </x:c>
      <x:c r="T56" s="111" t="n">
        <x:f>IFERROR(VLOOKUP($A56,'Andy FLEX'!$A$6:$N$278,11,FALSE),"")</x:f>
        <x:v>358</x:v>
      </x:c>
      <x:c r="U56" s="111" t="n">
        <x:f>IFERROR(VLOOKUP($A56,'Andy FLEX'!$A$6:$N$278,12,FALSE),"")</x:f>
        <x:v>3</x:v>
      </x:c>
      <x:c r="V56" s="111" t="n">
        <x:f>IFERROR(VLOOKUP($A56,'Andy FLEX'!$A$6:$N$278,13,FALSE),"")</x:f>
        <x:v>2</x:v>
      </x:c>
      <x:c r="W56" s="109" t="n">
        <x:f>IFERROR(VLOOKUP($A56,'Jason FLEX'!$A$6:$N$268,5,FALSE),"")</x:f>
        <x:v>54</x:v>
      </x:c>
      <x:c r="X56" s="110" t="n">
        <x:f>IFERROR(VLOOKUP($A56,'Jason FLEX'!$A$6:$N$268,6,FALSE),"")</x:f>
        <x:v>12.9</x:v>
      </x:c>
      <x:c r="Y56" s="111" t="n">
        <x:f>IFERROR(VLOOKUP($A56,'Jason FLEX'!$A$6:$N$268,7,FALSE),"")</x:f>
        <x:v>212</x:v>
      </x:c>
      <x:c r="Z56" s="111" t="n">
        <x:f>IFERROR(VLOOKUP($A56,'Jason FLEX'!$A$6:$N$268,8,FALSE),"")</x:f>
        <x:v>965</x:v>
      </x:c>
      <x:c r="AA56" s="111" t="n">
        <x:f>IFERROR(VLOOKUP($A56,'Jason FLEX'!$A$6:$N$268,9,FALSE),"")</x:f>
        <x:v>9</x:v>
      </x:c>
      <x:c r="AB56" s="111" t="n">
        <x:f>IFERROR(VLOOKUP($A56,'Jason FLEX'!$A$6:$N$268,10,FALSE),"")</x:f>
        <x:v>33</x:v>
      </x:c>
      <x:c r="AC56" s="111" t="n">
        <x:f>IFERROR(VLOOKUP($A56,'Jason FLEX'!$A$6:$N$268,11,FALSE),"")</x:f>
        <x:v>264</x:v>
      </x:c>
      <x:c r="AD56" s="111" t="n">
        <x:f>IFERROR(VLOOKUP($A56,'Jason FLEX'!$A$6:$N$268,12,FALSE),"")</x:f>
        <x:v>2</x:v>
      </x:c>
      <x:c r="AE56" s="111" t="n">
        <x:f>IFERROR(VLOOKUP($A56,'Jason FLEX'!$A$6:$N$268,13,FALSE),"")</x:f>
        <x:v>1</x:v>
      </x:c>
      <x:c r="AF56" s="110" t="n">
        <x:f>IF(COUNT(E56,N56,W56)=0,"",AVERAGE(E56,N56,W56))</x:f>
        <x:v>51.666666666666664</x:v>
      </x:c>
      <x:c r="AG56" s="110" t="n">
        <x:f>IF(COUNT(E56,N56,W56)=0,"",MAX(E56,N56,W56)-MIN(E56,N56,W56))</x:f>
        <x:v>7</x:v>
      </x:c>
      <x:c r="AH56" s="110" t="n">
        <x:f>IF(COUNT(F56,O56,X56)=0,"",AVERAGE(F56,O56,X56))</x:f>
        <x:v>12.799999999999999</x:v>
      </x:c>
      <x:c r="AI56" s="112" t="n">
        <x:f>IF(COUNT(G56,P56,Y56)=0,"",AVERAGE(G56,P56,Y56))</x:f>
        <x:v>223</x:v>
      </x:c>
      <x:c r="AJ56" s="112" t="n">
        <x:f>IF(COUNT(H56,Q56,Z56)=0,"",AVERAGE(H56,Q56,Z56))</x:f>
        <x:v>951.6666666666666</x:v>
      </x:c>
      <x:c r="AK56" s="112" t="n">
        <x:f>IF(COUNT(I56,R56,AA56)=0,"",AVERAGE(I56,R56,AA56))</x:f>
        <x:v>6.666666666666667</x:v>
      </x:c>
      <x:c r="AL56" s="112" t="n">
        <x:f>IF(COUNT(J56,S56,AB56)=0,"",AVERAGE(J56,S56,AB56))</x:f>
        <x:v>38.333333333333336</x:v>
      </x:c>
      <x:c r="AM56" s="112" t="n">
        <x:f>IF(COUNT(K56,T56,AC56)=0,"",AVERAGE(K56,T56,AC56))</x:f>
        <x:v>327.3333333333333</x:v>
      </x:c>
      <x:c r="AN56" s="112" t="n">
        <x:f>IF(COUNT(L56,U56,AD56)=0,"",AVERAGE(L56,U56,AD56))</x:f>
        <x:v>2.3333333333333335</x:v>
      </x:c>
      <x:c r="AO56" s="112" t="n">
        <x:f>IF(COUNT(M56,V56,AE56)=0,"",AVERAGE(M56,V56,AE56))</x:f>
        <x:v>1.3333333333333333</x:v>
      </x:c>
    </x:row>
    <x:row r="57">
      <x:c r="A57" s="107" t="str">
        <x:v>Travis Etienne Jr.</x:v>
      </x:c>
      <x:c r="B57" s="108" t="str">
        <x:v>RB</x:v>
      </x:c>
      <x:c r="C57" s="108" t="str">
        <x:v>NO</x:v>
      </x:c>
      <x:c r="D57" s="109" t="n">
        <x:v>8</x:v>
      </x:c>
      <x:c r="E57" s="109" t="n">
        <x:f>IFERROR(VLOOKUP($A57,'Mike FLEX'!$A$6:$N$278,5,FALSE),"")</x:f>
        <x:v>50</x:v>
      </x:c>
      <x:c r="F57" s="110" t="n">
        <x:f>IFERROR(VLOOKUP($A57,'Mike FLEX'!$A$6:$N$278,6,FALSE),"")</x:f>
        <x:v>12.7</x:v>
      </x:c>
      <x:c r="G57" s="111" t="n">
        <x:f>IFERROR(VLOOKUP($A57,'Mike FLEX'!$A$6:$N$278,7,FALSE),"")</x:f>
        <x:v>219</x:v>
      </x:c>
      <x:c r="H57" s="111" t="n">
        <x:f>IFERROR(VLOOKUP($A57,'Mike FLEX'!$A$6:$N$278,8,FALSE),"")</x:f>
        <x:v>963</x:v>
      </x:c>
      <x:c r="I57" s="111" t="n">
        <x:f>IFERROR(VLOOKUP($A57,'Mike FLEX'!$A$6:$N$278,9,FALSE),"")</x:f>
        <x:v>6</x:v>
      </x:c>
      <x:c r="J57" s="111" t="n">
        <x:f>IFERROR(VLOOKUP($A57,'Mike FLEX'!$A$6:$N$278,10,FALSE),"")</x:f>
        <x:v>41</x:v>
      </x:c>
      <x:c r="K57" s="111" t="n">
        <x:f>IFERROR(VLOOKUP($A57,'Mike FLEX'!$A$6:$N$278,11,FALSE),"")</x:f>
        <x:v>322</x:v>
      </x:c>
      <x:c r="L57" s="111" t="n">
        <x:f>IFERROR(VLOOKUP($A57,'Mike FLEX'!$A$6:$N$278,12,FALSE),"")</x:f>
        <x:v>2</x:v>
      </x:c>
      <x:c r="M57" s="111" t="n">
        <x:f>IFERROR(VLOOKUP($A57,'Mike FLEX'!$A$6:$N$278,13,FALSE),"")</x:f>
        <x:v>1</x:v>
      </x:c>
      <x:c r="N57" s="109" t="n">
        <x:f>IFERROR(VLOOKUP($A57,'Andy FLEX'!$A$6:$N$278,5,FALSE),"")</x:f>
        <x:v>53</x:v>
      </x:c>
      <x:c r="O57" s="110" t="n">
        <x:f>IFERROR(VLOOKUP($A57,'Andy FLEX'!$A$6:$N$278,6,FALSE),"")</x:f>
        <x:v>12.7</x:v>
      </x:c>
      <x:c r="P57" s="111" t="n">
        <x:f>IFERROR(VLOOKUP($A57,'Andy FLEX'!$A$6:$N$278,7,FALSE),"")</x:f>
        <x:v>245</x:v>
      </x:c>
      <x:c r="Q57" s="111" t="n">
        <x:f>IFERROR(VLOOKUP($A57,'Andy FLEX'!$A$6:$N$278,8,FALSE),"")</x:f>
        <x:v>1043</x:v>
      </x:c>
      <x:c r="R57" s="111" t="n">
        <x:f>IFERROR(VLOOKUP($A57,'Andy FLEX'!$A$6:$N$278,9,FALSE),"")</x:f>
        <x:v>7</x:v>
      </x:c>
      <x:c r="S57" s="111" t="n">
        <x:f>IFERROR(VLOOKUP($A57,'Andy FLEX'!$A$6:$N$278,10,FALSE),"")</x:f>
        <x:v>28</x:v>
      </x:c>
      <x:c r="T57" s="111" t="n">
        <x:f>IFERROR(VLOOKUP($A57,'Andy FLEX'!$A$6:$N$278,11,FALSE),"")</x:f>
        <x:v>262</x:v>
      </x:c>
      <x:c r="U57" s="111" t="n">
        <x:f>IFERROR(VLOOKUP($A57,'Andy FLEX'!$A$6:$N$278,12,FALSE),"")</x:f>
        <x:v>3</x:v>
      </x:c>
      <x:c r="V57" s="111" t="n">
        <x:f>IFERROR(VLOOKUP($A57,'Andy FLEX'!$A$6:$N$278,13,FALSE),"")</x:f>
        <x:v>2</x:v>
      </x:c>
      <x:c r="W57" s="109" t="n">
        <x:f>IFERROR(VLOOKUP($A57,'Jason FLEX'!$A$6:$N$268,5,FALSE),"")</x:f>
        <x:v>52</x:v>
      </x:c>
      <x:c r="X57" s="110" t="n">
        <x:f>IFERROR(VLOOKUP($A57,'Jason FLEX'!$A$6:$N$268,6,FALSE),"")</x:f>
        <x:v>13</x:v>
      </x:c>
      <x:c r="Y57" s="111" t="n">
        <x:f>IFERROR(VLOOKUP($A57,'Jason FLEX'!$A$6:$N$268,7,FALSE),"")</x:f>
        <x:v>235</x:v>
      </x:c>
      <x:c r="Z57" s="111" t="n">
        <x:f>IFERROR(VLOOKUP($A57,'Jason FLEX'!$A$6:$N$268,8,FALSE),"")</x:f>
        <x:v>1022</x:v>
      </x:c>
      <x:c r="AA57" s="111" t="n">
        <x:f>IFERROR(VLOOKUP($A57,'Jason FLEX'!$A$6:$N$268,9,FALSE),"")</x:f>
        <x:v>7</x:v>
      </x:c>
      <x:c r="AB57" s="111" t="n">
        <x:f>IFERROR(VLOOKUP($A57,'Jason FLEX'!$A$6:$N$268,10,FALSE),"")</x:f>
        <x:v>41</x:v>
      </x:c>
      <x:c r="AC57" s="111" t="n">
        <x:f>IFERROR(VLOOKUP($A57,'Jason FLEX'!$A$6:$N$268,11,FALSE),"")</x:f>
        <x:v>316</x:v>
      </x:c>
      <x:c r="AD57" s="111" t="n">
        <x:f>IFERROR(VLOOKUP($A57,'Jason FLEX'!$A$6:$N$268,12,FALSE),"")</x:f>
        <x:v>2</x:v>
      </x:c>
      <x:c r="AE57" s="111" t="n">
        <x:f>IFERROR(VLOOKUP($A57,'Jason FLEX'!$A$6:$N$268,13,FALSE),"")</x:f>
        <x:v>1</x:v>
      </x:c>
      <x:c r="AF57" s="110" t="n">
        <x:f>IF(COUNT(E57,N57,W57)=0,"",AVERAGE(E57,N57,W57))</x:f>
        <x:v>51.666666666666664</x:v>
      </x:c>
      <x:c r="AG57" s="110" t="n">
        <x:f>IF(COUNT(E57,N57,W57)=0,"",MAX(E57,N57,W57)-MIN(E57,N57,W57))</x:f>
        <x:v>3</x:v>
      </x:c>
      <x:c r="AH57" s="110" t="n">
        <x:f>IF(COUNT(F57,O57,X57)=0,"",AVERAGE(F57,O57,X57))</x:f>
        <x:v>12.799999999999999</x:v>
      </x:c>
      <x:c r="AI57" s="112" t="n">
        <x:f>IF(COUNT(G57,P57,Y57)=0,"",AVERAGE(G57,P57,Y57))</x:f>
        <x:v>233</x:v>
      </x:c>
      <x:c r="AJ57" s="112" t="n">
        <x:f>IF(COUNT(H57,Q57,Z57)=0,"",AVERAGE(H57,Q57,Z57))</x:f>
        <x:v>1009.3333333333334</x:v>
      </x:c>
      <x:c r="AK57" s="112" t="n">
        <x:f>IF(COUNT(I57,R57,AA57)=0,"",AVERAGE(I57,R57,AA57))</x:f>
        <x:v>6.666666666666667</x:v>
      </x:c>
      <x:c r="AL57" s="112" t="n">
        <x:f>IF(COUNT(J57,S57,AB57)=0,"",AVERAGE(J57,S57,AB57))</x:f>
        <x:v>36.666666666666664</x:v>
      </x:c>
      <x:c r="AM57" s="112" t="n">
        <x:f>IF(COUNT(K57,T57,AC57)=0,"",AVERAGE(K57,T57,AC57))</x:f>
        <x:v>300</x:v>
      </x:c>
      <x:c r="AN57" s="112" t="n">
        <x:f>IF(COUNT(L57,U57,AD57)=0,"",AVERAGE(L57,U57,AD57))</x:f>
        <x:v>2.3333333333333335</x:v>
      </x:c>
      <x:c r="AO57" s="112" t="n">
        <x:f>IF(COUNT(M57,V57,AE57)=0,"",AVERAGE(M57,V57,AE57))</x:f>
        <x:v>1.3333333333333333</x:v>
      </x:c>
    </x:row>
    <x:row r="58">
      <x:c r="A58" s="107" t="str">
        <x:v>Cam Skattebo</x:v>
      </x:c>
      <x:c r="B58" s="108" t="str">
        <x:v>RB</x:v>
      </x:c>
      <x:c r="C58" s="108" t="str">
        <x:v>NYG</x:v>
      </x:c>
      <x:c r="D58" s="109" t="n">
        <x:v>8</x:v>
      </x:c>
      <x:c r="E58" s="109" t="n">
        <x:f>IFERROR(VLOOKUP($A58,'Mike FLEX'!$A$6:$N$278,5,FALSE),"")</x:f>
        <x:v>48</x:v>
      </x:c>
      <x:c r="F58" s="110" t="n">
        <x:f>IFERROR(VLOOKUP($A58,'Mike FLEX'!$A$6:$N$278,6,FALSE),"")</x:f>
        <x:v>12.8</x:v>
      </x:c>
      <x:c r="G58" s="111" t="n">
        <x:f>IFERROR(VLOOKUP($A58,'Mike FLEX'!$A$6:$N$278,7,FALSE),"")</x:f>
        <x:v>233</x:v>
      </x:c>
      <x:c r="H58" s="111" t="n">
        <x:f>IFERROR(VLOOKUP($A58,'Mike FLEX'!$A$6:$N$278,8,FALSE),"")</x:f>
        <x:v>954</x:v>
      </x:c>
      <x:c r="I58" s="111" t="n">
        <x:f>IFERROR(VLOOKUP($A58,'Mike FLEX'!$A$6:$N$278,9,FALSE),"")</x:f>
        <x:v>7</x:v>
      </x:c>
      <x:c r="J58" s="111" t="n">
        <x:f>IFERROR(VLOOKUP($A58,'Mike FLEX'!$A$6:$N$278,10,FALSE),"")</x:f>
        <x:v>40</x:v>
      </x:c>
      <x:c r="K58" s="111" t="n">
        <x:f>IFERROR(VLOOKUP($A58,'Mike FLEX'!$A$6:$N$278,11,FALSE),"")</x:f>
        <x:v>334</x:v>
      </x:c>
      <x:c r="L58" s="111" t="n">
        <x:f>IFERROR(VLOOKUP($A58,'Mike FLEX'!$A$6:$N$278,12,FALSE),"")</x:f>
        <x:v>2</x:v>
      </x:c>
      <x:c r="M58" s="111" t="n">
        <x:f>IFERROR(VLOOKUP($A58,'Mike FLEX'!$A$6:$N$278,13,FALSE),"")</x:f>
        <x:v>1</x:v>
      </x:c>
      <x:c r="N58" s="109" t="n">
        <x:f>IFERROR(VLOOKUP($A58,'Andy FLEX'!$A$6:$N$278,5,FALSE),"")</x:f>
        <x:v>50</x:v>
      </x:c>
      <x:c r="O58" s="110" t="n">
        <x:f>IFERROR(VLOOKUP($A58,'Andy FLEX'!$A$6:$N$278,6,FALSE),"")</x:f>
        <x:v>12.8</x:v>
      </x:c>
      <x:c r="P58" s="111" t="n">
        <x:f>IFERROR(VLOOKUP($A58,'Andy FLEX'!$A$6:$N$278,7,FALSE),"")</x:f>
        <x:v>209</x:v>
      </x:c>
      <x:c r="Q58" s="111" t="n">
        <x:f>IFERROR(VLOOKUP($A58,'Andy FLEX'!$A$6:$N$278,8,FALSE),"")</x:f>
        <x:v>897</x:v>
      </x:c>
      <x:c r="R58" s="111" t="n">
        <x:f>IFERROR(VLOOKUP($A58,'Andy FLEX'!$A$6:$N$278,9,FALSE),"")</x:f>
        <x:v>7</x:v>
      </x:c>
      <x:c r="S58" s="111" t="n">
        <x:f>IFERROR(VLOOKUP($A58,'Andy FLEX'!$A$6:$N$278,10,FALSE),"")</x:f>
        <x:v>41</x:v>
      </x:c>
      <x:c r="T58" s="111" t="n">
        <x:f>IFERROR(VLOOKUP($A58,'Andy FLEX'!$A$6:$N$278,11,FALSE),"")</x:f>
        <x:v>356</x:v>
      </x:c>
      <x:c r="U58" s="111" t="n">
        <x:f>IFERROR(VLOOKUP($A58,'Andy FLEX'!$A$6:$N$278,12,FALSE),"")</x:f>
        <x:v>3</x:v>
      </x:c>
      <x:c r="V58" s="111" t="n">
        <x:f>IFERROR(VLOOKUP($A58,'Andy FLEX'!$A$6:$N$278,13,FALSE),"")</x:f>
        <x:v>3</x:v>
      </x:c>
      <x:c r="W58" s="109" t="n">
        <x:f>IFERROR(VLOOKUP($A58,'Jason FLEX'!$A$6:$N$268,5,FALSE),"")</x:f>
        <x:v>62</x:v>
      </x:c>
      <x:c r="X58" s="110" t="n">
        <x:f>IFERROR(VLOOKUP($A58,'Jason FLEX'!$A$6:$N$268,6,FALSE),"")</x:f>
        <x:v>12.1</x:v>
      </x:c>
      <x:c r="Y58" s="111" t="n">
        <x:f>IFERROR(VLOOKUP($A58,'Jason FLEX'!$A$6:$N$268,7,FALSE),"")</x:f>
        <x:v>215</x:v>
      </x:c>
      <x:c r="Z58" s="111" t="n">
        <x:f>IFERROR(VLOOKUP($A58,'Jason FLEX'!$A$6:$N$268,8,FALSE),"")</x:f>
        <x:v>935</x:v>
      </x:c>
      <x:c r="AA58" s="111" t="n">
        <x:f>IFERROR(VLOOKUP($A58,'Jason FLEX'!$A$6:$N$268,9,FALSE),"")</x:f>
        <x:v>6</x:v>
      </x:c>
      <x:c r="AB58" s="111" t="n">
        <x:f>IFERROR(VLOOKUP($A58,'Jason FLEX'!$A$6:$N$268,10,FALSE),"")</x:f>
        <x:v>41</x:v>
      </x:c>
      <x:c r="AC58" s="111" t="n">
        <x:f>IFERROR(VLOOKUP($A58,'Jason FLEX'!$A$6:$N$268,11,FALSE),"")</x:f>
        <x:v>320</x:v>
      </x:c>
      <x:c r="AD58" s="111" t="n">
        <x:f>IFERROR(VLOOKUP($A58,'Jason FLEX'!$A$6:$N$268,12,FALSE),"")</x:f>
        <x:v>2</x:v>
      </x:c>
      <x:c r="AE58" s="111" t="n">
        <x:f>IFERROR(VLOOKUP($A58,'Jason FLEX'!$A$6:$N$268,13,FALSE),"")</x:f>
        <x:v>4</x:v>
      </x:c>
      <x:c r="AF58" s="110" t="n">
        <x:f>IF(COUNT(E58,N58,W58)=0,"",AVERAGE(E58,N58,W58))</x:f>
        <x:v>53.333333333333336</x:v>
      </x:c>
      <x:c r="AG58" s="110" t="n">
        <x:f>IF(COUNT(E58,N58,W58)=0,"",MAX(E58,N58,W58)-MIN(E58,N58,W58))</x:f>
        <x:v>14</x:v>
      </x:c>
      <x:c r="AH58" s="110" t="n">
        <x:f>IF(COUNT(F58,O58,X58)=0,"",AVERAGE(F58,O58,X58))</x:f>
        <x:v>12.566666666666668</x:v>
      </x:c>
      <x:c r="AI58" s="112" t="n">
        <x:f>IF(COUNT(G58,P58,Y58)=0,"",AVERAGE(G58,P58,Y58))</x:f>
        <x:v>219</x:v>
      </x:c>
      <x:c r="AJ58" s="112" t="n">
        <x:f>IF(COUNT(H58,Q58,Z58)=0,"",AVERAGE(H58,Q58,Z58))</x:f>
        <x:v>928.6666666666666</x:v>
      </x:c>
      <x:c r="AK58" s="112" t="n">
        <x:f>IF(COUNT(I58,R58,AA58)=0,"",AVERAGE(I58,R58,AA58))</x:f>
        <x:v>6.666666666666667</x:v>
      </x:c>
      <x:c r="AL58" s="112" t="n">
        <x:f>IF(COUNT(J58,S58,AB58)=0,"",AVERAGE(J58,S58,AB58))</x:f>
        <x:v>40.666666666666664</x:v>
      </x:c>
      <x:c r="AM58" s="112" t="n">
        <x:f>IF(COUNT(K58,T58,AC58)=0,"",AVERAGE(K58,T58,AC58))</x:f>
        <x:v>336.6666666666667</x:v>
      </x:c>
      <x:c r="AN58" s="112" t="n">
        <x:f>IF(COUNT(L58,U58,AD58)=0,"",AVERAGE(L58,U58,AD58))</x:f>
        <x:v>2.3333333333333335</x:v>
      </x:c>
      <x:c r="AO58" s="112" t="n">
        <x:f>IF(COUNT(M58,V58,AE58)=0,"",AVERAGE(M58,V58,AE58))</x:f>
        <x:v>2.6666666666666665</x:v>
      </x:c>
    </x:row>
    <x:row r="59">
      <x:c r="A59" s="107" t="str">
        <x:v>Colston Loveland</x:v>
      </x:c>
      <x:c r="B59" s="108" t="str">
        <x:v>TE</x:v>
      </x:c>
      <x:c r="C59" s="108" t="str">
        <x:v>CHI</x:v>
      </x:c>
      <x:c r="D59" s="109" t="n">
        <x:v>10</x:v>
      </x:c>
      <x:c r="E59" s="109" t="n">
        <x:f>IFERROR(VLOOKUP($A59,'Mike FLEX'!$A$6:$N$278,5,FALSE),"")</x:f>
        <x:v>64</x:v>
      </x:c>
      <x:c r="F59" s="110" t="n">
        <x:f>IFERROR(VLOOKUP($A59,'Mike FLEX'!$A$6:$N$278,6,FALSE),"")</x:f>
        <x:v>11.7</x:v>
      </x:c>
      <x:c r="G59" s="111" t="n">
        <x:f>IFERROR(VLOOKUP($A59,'Mike FLEX'!$A$6:$N$278,7,FALSE),"")</x:f>
        <x:v>0</x:v>
      </x:c>
      <x:c r="H59" s="111" t="n">
        <x:f>IFERROR(VLOOKUP($A59,'Mike FLEX'!$A$6:$N$278,8,FALSE),"")</x:f>
        <x:v>0</x:v>
      </x:c>
      <x:c r="I59" s="111" t="n">
        <x:f>IFERROR(VLOOKUP($A59,'Mike FLEX'!$A$6:$N$278,9,FALSE),"")</x:f>
        <x:v>0</x:v>
      </x:c>
      <x:c r="J59" s="111" t="n">
        <x:f>IFERROR(VLOOKUP($A59,'Mike FLEX'!$A$6:$N$278,10,FALSE),"")</x:f>
        <x:v>72</x:v>
      </x:c>
      <x:c r="K59" s="111" t="n">
        <x:f>IFERROR(VLOOKUP($A59,'Mike FLEX'!$A$6:$N$278,11,FALSE),"")</x:f>
        <x:v>873</x:v>
      </x:c>
      <x:c r="L59" s="111" t="n">
        <x:f>IFERROR(VLOOKUP($A59,'Mike FLEX'!$A$6:$N$278,12,FALSE),"")</x:f>
        <x:v>7</x:v>
      </x:c>
      <x:c r="M59" s="111" t="n">
        <x:f>IFERROR(VLOOKUP($A59,'Mike FLEX'!$A$6:$N$278,13,FALSE),"")</x:f>
        <x:v>0</x:v>
      </x:c>
      <x:c r="N59" s="109" t="n">
        <x:f>IFERROR(VLOOKUP($A59,'Andy FLEX'!$A$6:$N$278,5,FALSE),"")</x:f>
        <x:v>58</x:v>
      </x:c>
      <x:c r="O59" s="110" t="n">
        <x:f>IFERROR(VLOOKUP($A59,'Andy FLEX'!$A$6:$N$278,6,FALSE),"")</x:f>
        <x:v>12.3</x:v>
      </x:c>
      <x:c r="P59" s="111" t="n">
        <x:f>IFERROR(VLOOKUP($A59,'Andy FLEX'!$A$6:$N$278,7,FALSE),"")</x:f>
        <x:v>1</x:v>
      </x:c>
      <x:c r="Q59" s="111" t="n">
        <x:f>IFERROR(VLOOKUP($A59,'Andy FLEX'!$A$6:$N$278,8,FALSE),"")</x:f>
        <x:v>0</x:v>
      </x:c>
      <x:c r="R59" s="111" t="n">
        <x:f>IFERROR(VLOOKUP($A59,'Andy FLEX'!$A$6:$N$278,9,FALSE),"")</x:f>
        <x:v>0</x:v>
      </x:c>
      <x:c r="S59" s="111" t="n">
        <x:f>IFERROR(VLOOKUP($A59,'Andy FLEX'!$A$6:$N$278,10,FALSE),"")</x:f>
        <x:v>74</x:v>
      </x:c>
      <x:c r="T59" s="111" t="n">
        <x:f>IFERROR(VLOOKUP($A59,'Andy FLEX'!$A$6:$N$278,11,FALSE),"")</x:f>
        <x:v>862</x:v>
      </x:c>
      <x:c r="U59" s="111" t="n">
        <x:f>IFERROR(VLOOKUP($A59,'Andy FLEX'!$A$6:$N$278,12,FALSE),"")</x:f>
        <x:v>8</x:v>
      </x:c>
      <x:c r="V59" s="111" t="n">
        <x:f>IFERROR(VLOOKUP($A59,'Andy FLEX'!$A$6:$N$278,13,FALSE),"")</x:f>
        <x:v>0</x:v>
      </x:c>
      <x:c r="W59" s="109" t="n">
        <x:f>IFERROR(VLOOKUP($A59,'Jason FLEX'!$A$6:$N$268,5,FALSE),"")</x:f>
        <x:v>38</x:v>
      </x:c>
      <x:c r="X59" s="110" t="n">
        <x:f>IFERROR(VLOOKUP($A59,'Jason FLEX'!$A$6:$N$268,6,FALSE),"")</x:f>
        <x:v>14.1</x:v>
      </x:c>
      <x:c r="Y59" s="111" t="n">
        <x:f>IFERROR(VLOOKUP($A59,'Jason FLEX'!$A$6:$N$268,7,FALSE),"")</x:f>
        <x:v>1</x:v>
      </x:c>
      <x:c r="Z59" s="111" t="n">
        <x:f>IFERROR(VLOOKUP($A59,'Jason FLEX'!$A$6:$N$268,8,FALSE),"")</x:f>
        <x:v>5</x:v>
      </x:c>
      <x:c r="AA59" s="111" t="n">
        <x:f>IFERROR(VLOOKUP($A59,'Jason FLEX'!$A$6:$N$268,9,FALSE),"")</x:f>
        <x:v>0</x:v>
      </x:c>
      <x:c r="AB59" s="111" t="n">
        <x:f>IFERROR(VLOOKUP($A59,'Jason FLEX'!$A$6:$N$268,10,FALSE),"")</x:f>
        <x:v>86</x:v>
      </x:c>
      <x:c r="AC59" s="111" t="n">
        <x:f>IFERROR(VLOOKUP($A59,'Jason FLEX'!$A$6:$N$268,11,FALSE),"")</x:f>
        <x:v>1036</x:v>
      </x:c>
      <x:c r="AD59" s="111" t="n">
        <x:f>IFERROR(VLOOKUP($A59,'Jason FLEX'!$A$6:$N$268,12,FALSE),"")</x:f>
        <x:v>9</x:v>
      </x:c>
      <x:c r="AE59" s="111" t="n">
        <x:f>IFERROR(VLOOKUP($A59,'Jason FLEX'!$A$6:$N$268,13,FALSE),"")</x:f>
        <x:v>1</x:v>
      </x:c>
      <x:c r="AF59" s="110" t="n">
        <x:f>IF(COUNT(E59,N59,W59)=0,"",AVERAGE(E59,N59,W59))</x:f>
        <x:v>53.333333333333336</x:v>
      </x:c>
      <x:c r="AG59" s="110" t="n">
        <x:f>IF(COUNT(E59,N59,W59)=0,"",MAX(E59,N59,W59)-MIN(E59,N59,W59))</x:f>
        <x:v>26</x:v>
      </x:c>
      <x:c r="AH59" s="110" t="n">
        <x:f>IF(COUNT(F59,O59,X59)=0,"",AVERAGE(F59,O59,X59))</x:f>
        <x:v>12.700000000000001</x:v>
      </x:c>
      <x:c r="AI59" s="112" t="n">
        <x:f>IF(COUNT(G59,P59,Y59)=0,"",AVERAGE(G59,P59,Y59))</x:f>
        <x:v>0.6666666666666666</x:v>
      </x:c>
      <x:c r="AJ59" s="112" t="n">
        <x:f>IF(COUNT(H59,Q59,Z59)=0,"",AVERAGE(H59,Q59,Z59))</x:f>
        <x:v>1.6666666666666667</x:v>
      </x:c>
      <x:c r="AK59" s="112" t="n">
        <x:f>IF(COUNT(I59,R59,AA59)=0,"",AVERAGE(I59,R59,AA59))</x:f>
        <x:v>0</x:v>
      </x:c>
      <x:c r="AL59" s="112" t="n">
        <x:f>IF(COUNT(J59,S59,AB59)=0,"",AVERAGE(J59,S59,AB59))</x:f>
        <x:v>77.33333333333333</x:v>
      </x:c>
      <x:c r="AM59" s="112" t="n">
        <x:f>IF(COUNT(K59,T59,AC59)=0,"",AVERAGE(K59,T59,AC59))</x:f>
        <x:v>923.6666666666666</x:v>
      </x:c>
      <x:c r="AN59" s="112" t="n">
        <x:f>IF(COUNT(L59,U59,AD59)=0,"",AVERAGE(L59,U59,AD59))</x:f>
        <x:v>8</x:v>
      </x:c>
      <x:c r="AO59" s="112" t="n">
        <x:f>IF(COUNT(M59,V59,AE59)=0,"",AVERAGE(M59,V59,AE59))</x:f>
        <x:v>0.3333333333333333</x:v>
      </x:c>
    </x:row>
    <x:row r="60">
      <x:c r="A60" s="107" t="str">
        <x:v>Rome Odunze</x:v>
      </x:c>
      <x:c r="B60" s="108" t="str">
        <x:v>WR</x:v>
      </x:c>
      <x:c r="C60" s="108" t="str">
        <x:v>CHI</x:v>
      </x:c>
      <x:c r="D60" s="109" t="n">
        <x:v>10</x:v>
      </x:c>
      <x:c r="E60" s="109" t="n">
        <x:f>IFERROR(VLOOKUP($A60,'Mike FLEX'!$A$6:$N$278,5,FALSE),"")</x:f>
        <x:v>70</x:v>
      </x:c>
      <x:c r="F60" s="110" t="n">
        <x:f>IFERROR(VLOOKUP($A60,'Mike FLEX'!$A$6:$N$278,6,FALSE),"")</x:f>
        <x:v>11.5</x:v>
      </x:c>
      <x:c r="G60" s="111" t="n">
        <x:f>IFERROR(VLOOKUP($A60,'Mike FLEX'!$A$6:$N$278,7,FALSE),"")</x:f>
        <x:v>0</x:v>
      </x:c>
      <x:c r="H60" s="111" t="n">
        <x:f>IFERROR(VLOOKUP($A60,'Mike FLEX'!$A$6:$N$278,8,FALSE),"")</x:f>
        <x:v>0</x:v>
      </x:c>
      <x:c r="I60" s="111" t="n">
        <x:f>IFERROR(VLOOKUP($A60,'Mike FLEX'!$A$6:$N$278,9,FALSE),"")</x:f>
        <x:v>0</x:v>
      </x:c>
      <x:c r="J60" s="111" t="n">
        <x:f>IFERROR(VLOOKUP($A60,'Mike FLEX'!$A$6:$N$278,10,FALSE),"")</x:f>
        <x:v>67</x:v>
      </x:c>
      <x:c r="K60" s="111" t="n">
        <x:f>IFERROR(VLOOKUP($A60,'Mike FLEX'!$A$6:$N$278,11,FALSE),"")</x:f>
        <x:v>947</x:v>
      </x:c>
      <x:c r="L60" s="111" t="n">
        <x:f>IFERROR(VLOOKUP($A60,'Mike FLEX'!$A$6:$N$278,12,FALSE),"")</x:f>
        <x:v>6</x:v>
      </x:c>
      <x:c r="M60" s="111" t="n">
        <x:f>IFERROR(VLOOKUP($A60,'Mike FLEX'!$A$6:$N$278,13,FALSE),"")</x:f>
        <x:v>1</x:v>
      </x:c>
      <x:c r="N60" s="109" t="n">
        <x:f>IFERROR(VLOOKUP($A60,'Andy FLEX'!$A$6:$N$278,5,FALSE),"")</x:f>
        <x:v>39</x:v>
      </x:c>
      <x:c r="O60" s="110" t="n">
        <x:f>IFERROR(VLOOKUP($A60,'Andy FLEX'!$A$6:$N$278,6,FALSE),"")</x:f>
        <x:v>13.6</x:v>
      </x:c>
      <x:c r="P60" s="111" t="n">
        <x:f>IFERROR(VLOOKUP($A60,'Andy FLEX'!$A$6:$N$278,7,FALSE),"")</x:f>
        <x:v>0</x:v>
      </x:c>
      <x:c r="Q60" s="111" t="n">
        <x:f>IFERROR(VLOOKUP($A60,'Andy FLEX'!$A$6:$N$278,8,FALSE),"")</x:f>
        <x:v>0</x:v>
      </x:c>
      <x:c r="R60" s="111" t="n">
        <x:f>IFERROR(VLOOKUP($A60,'Andy FLEX'!$A$6:$N$278,9,FALSE),"")</x:f>
        <x:v>0</x:v>
      </x:c>
      <x:c r="S60" s="111" t="n">
        <x:f>IFERROR(VLOOKUP($A60,'Andy FLEX'!$A$6:$N$278,10,FALSE),"")</x:f>
        <x:v>73</x:v>
      </x:c>
      <x:c r="T60" s="111" t="n">
        <x:f>IFERROR(VLOOKUP($A60,'Andy FLEX'!$A$6:$N$278,11,FALSE),"")</x:f>
        <x:v>1043</x:v>
      </x:c>
      <x:c r="U60" s="111" t="n">
        <x:f>IFERROR(VLOOKUP($A60,'Andy FLEX'!$A$6:$N$278,12,FALSE),"")</x:f>
        <x:v>9</x:v>
      </x:c>
      <x:c r="V60" s="111" t="n">
        <x:f>IFERROR(VLOOKUP($A60,'Andy FLEX'!$A$6:$N$278,13,FALSE),"")</x:f>
        <x:v>0</x:v>
      </x:c>
      <x:c r="W60" s="109" t="n">
        <x:f>IFERROR(VLOOKUP($A60,'Jason FLEX'!$A$6:$N$268,5,FALSE),"")</x:f>
        <x:v>53</x:v>
      </x:c>
      <x:c r="X60" s="110" t="n">
        <x:f>IFERROR(VLOOKUP($A60,'Jason FLEX'!$A$6:$N$268,6,FALSE),"")</x:f>
        <x:v>12.9</x:v>
      </x:c>
      <x:c r="Y60" s="111" t="n">
        <x:f>IFERROR(VLOOKUP($A60,'Jason FLEX'!$A$6:$N$268,7,FALSE),"")</x:f>
        <x:v>1</x:v>
      </x:c>
      <x:c r="Z60" s="111" t="n">
        <x:f>IFERROR(VLOOKUP($A60,'Jason FLEX'!$A$6:$N$268,8,FALSE),"")</x:f>
        <x:v>5</x:v>
      </x:c>
      <x:c r="AA60" s="111" t="n">
        <x:f>IFERROR(VLOOKUP($A60,'Jason FLEX'!$A$6:$N$268,9,FALSE),"")</x:f>
        <x:v>0</x:v>
      </x:c>
      <x:c r="AB60" s="111" t="n">
        <x:f>IFERROR(VLOOKUP($A60,'Jason FLEX'!$A$6:$N$268,10,FALSE),"")</x:f>
        <x:v>73</x:v>
      </x:c>
      <x:c r="AC60" s="111" t="n">
        <x:f>IFERROR(VLOOKUP($A60,'Jason FLEX'!$A$6:$N$268,11,FALSE),"")</x:f>
        <x:v>1002</x:v>
      </x:c>
      <x:c r="AD60" s="111" t="n">
        <x:f>IFERROR(VLOOKUP($A60,'Jason FLEX'!$A$6:$N$268,12,FALSE),"")</x:f>
        <x:v>8</x:v>
      </x:c>
      <x:c r="AE60" s="111" t="n">
        <x:f>IFERROR(VLOOKUP($A60,'Jason FLEX'!$A$6:$N$268,13,FALSE),"")</x:f>
        <x:v>1</x:v>
      </x:c>
      <x:c r="AF60" s="110" t="n">
        <x:f>IF(COUNT(E60,N60,W60)=0,"",AVERAGE(E60,N60,W60))</x:f>
        <x:v>54</x:v>
      </x:c>
      <x:c r="AG60" s="110" t="n">
        <x:f>IF(COUNT(E60,N60,W60)=0,"",MAX(E60,N60,W60)-MIN(E60,N60,W60))</x:f>
        <x:v>31</x:v>
      </x:c>
      <x:c r="AH60" s="110" t="n">
        <x:f>IF(COUNT(F60,O60,X60)=0,"",AVERAGE(F60,O60,X60))</x:f>
        <x:v>12.666666666666666</x:v>
      </x:c>
      <x:c r="AI60" s="112" t="n">
        <x:f>IF(COUNT(G60,P60,Y60)=0,"",AVERAGE(G60,P60,Y60))</x:f>
        <x:v>0.3333333333333333</x:v>
      </x:c>
      <x:c r="AJ60" s="112" t="n">
        <x:f>IF(COUNT(H60,Q60,Z60)=0,"",AVERAGE(H60,Q60,Z60))</x:f>
        <x:v>1.6666666666666667</x:v>
      </x:c>
      <x:c r="AK60" s="112" t="n">
        <x:f>IF(COUNT(I60,R60,AA60)=0,"",AVERAGE(I60,R60,AA60))</x:f>
        <x:v>0</x:v>
      </x:c>
      <x:c r="AL60" s="112" t="n">
        <x:f>IF(COUNT(J60,S60,AB60)=0,"",AVERAGE(J60,S60,AB60))</x:f>
        <x:v>71</x:v>
      </x:c>
      <x:c r="AM60" s="112" t="n">
        <x:f>IF(COUNT(K60,T60,AC60)=0,"",AVERAGE(K60,T60,AC60))</x:f>
        <x:v>997.3333333333334</x:v>
      </x:c>
      <x:c r="AN60" s="112" t="n">
        <x:f>IF(COUNT(L60,U60,AD60)=0,"",AVERAGE(L60,U60,AD60))</x:f>
        <x:v>7.666666666666667</x:v>
      </x:c>
      <x:c r="AO60" s="112" t="n">
        <x:f>IF(COUNT(M60,V60,AE60)=0,"",AVERAGE(M60,V60,AE60))</x:f>
        <x:v>0.6666666666666666</x:v>
      </x:c>
    </x:row>
    <x:row r="61">
      <x:c r="A61" s="107" t="str">
        <x:v>Marvin Harrison Jr.</x:v>
      </x:c>
      <x:c r="B61" s="108" t="str">
        <x:v>WR</x:v>
      </x:c>
      <x:c r="C61" s="108" t="str">
        <x:v>ARI</x:v>
      </x:c>
      <x:c r="D61" s="109" t="n">
        <x:v>14</x:v>
      </x:c>
      <x:c r="E61" s="109" t="n">
        <x:f>IFERROR(VLOOKUP($A61,'Mike FLEX'!$A$6:$N$278,5,FALSE),"")</x:f>
        <x:v>73</x:v>
      </x:c>
      <x:c r="F61" s="110" t="n">
        <x:f>IFERROR(VLOOKUP($A61,'Mike FLEX'!$A$6:$N$278,6,FALSE),"")</x:f>
        <x:v>11.2</x:v>
      </x:c>
      <x:c r="G61" s="111" t="n">
        <x:f>IFERROR(VLOOKUP($A61,'Mike FLEX'!$A$6:$N$278,7,FALSE),"")</x:f>
        <x:v>0</x:v>
      </x:c>
      <x:c r="H61" s="111" t="n">
        <x:f>IFERROR(VLOOKUP($A61,'Mike FLEX'!$A$6:$N$278,8,FALSE),"")</x:f>
        <x:v>0</x:v>
      </x:c>
      <x:c r="I61" s="111" t="n">
        <x:f>IFERROR(VLOOKUP($A61,'Mike FLEX'!$A$6:$N$278,9,FALSE),"")</x:f>
        <x:v>0</x:v>
      </x:c>
      <x:c r="J61" s="111" t="n">
        <x:f>IFERROR(VLOOKUP($A61,'Mike FLEX'!$A$6:$N$278,10,FALSE),"")</x:f>
        <x:v>62</x:v>
      </x:c>
      <x:c r="K61" s="111" t="n">
        <x:f>IFERROR(VLOOKUP($A61,'Mike FLEX'!$A$6:$N$278,11,FALSE),"")</x:f>
        <x:v>886</x:v>
      </x:c>
      <x:c r="L61" s="111" t="n">
        <x:f>IFERROR(VLOOKUP($A61,'Mike FLEX'!$A$6:$N$278,12,FALSE),"")</x:f>
        <x:v>7</x:v>
      </x:c>
      <x:c r="M61" s="111" t="n">
        <x:f>IFERROR(VLOOKUP($A61,'Mike FLEX'!$A$6:$N$278,13,FALSE),"")</x:f>
        <x:v>0</x:v>
      </x:c>
      <x:c r="N61" s="109" t="n">
        <x:f>IFERROR(VLOOKUP($A61,'Andy FLEX'!$A$6:$N$278,5,FALSE),"")</x:f>
        <x:v>32</x:v>
      </x:c>
      <x:c r="O61" s="110" t="n">
        <x:f>IFERROR(VLOOKUP($A61,'Andy FLEX'!$A$6:$N$278,6,FALSE),"")</x:f>
        <x:v>13.9</x:v>
      </x:c>
      <x:c r="P61" s="111" t="n">
        <x:f>IFERROR(VLOOKUP($A61,'Andy FLEX'!$A$6:$N$278,7,FALSE),"")</x:f>
        <x:v>0</x:v>
      </x:c>
      <x:c r="Q61" s="111" t="n">
        <x:f>IFERROR(VLOOKUP($A61,'Andy FLEX'!$A$6:$N$278,8,FALSE),"")</x:f>
        <x:v>3</x:v>
      </x:c>
      <x:c r="R61" s="111" t="n">
        <x:f>IFERROR(VLOOKUP($A61,'Andy FLEX'!$A$6:$N$278,9,FALSE),"")</x:f>
        <x:v>0</x:v>
      </x:c>
      <x:c r="S61" s="111" t="n">
        <x:f>IFERROR(VLOOKUP($A61,'Andy FLEX'!$A$6:$N$278,10,FALSE),"")</x:f>
        <x:v>83</x:v>
      </x:c>
      <x:c r="T61" s="111" t="n">
        <x:f>IFERROR(VLOOKUP($A61,'Andy FLEX'!$A$6:$N$278,11,FALSE),"")</x:f>
        <x:v>1101</x:v>
      </x:c>
      <x:c r="U61" s="111" t="n">
        <x:f>IFERROR(VLOOKUP($A61,'Andy FLEX'!$A$6:$N$278,12,FALSE),"")</x:f>
        <x:v>7</x:v>
      </x:c>
      <x:c r="V61" s="111" t="n">
        <x:f>IFERROR(VLOOKUP($A61,'Andy FLEX'!$A$6:$N$278,13,FALSE),"")</x:f>
        <x:v>0</x:v>
      </x:c>
      <x:c r="W61" s="109" t="n">
        <x:f>IFERROR(VLOOKUP($A61,'Jason FLEX'!$A$6:$N$268,5,FALSE),"")</x:f>
        <x:v>60</x:v>
      </x:c>
      <x:c r="X61" s="110" t="n">
        <x:f>IFERROR(VLOOKUP($A61,'Jason FLEX'!$A$6:$N$268,6,FALSE),"")</x:f>
        <x:v>12.3</x:v>
      </x:c>
      <x:c r="Y61" s="111" t="n">
        <x:f>IFERROR(VLOOKUP($A61,'Jason FLEX'!$A$6:$N$268,7,FALSE),"")</x:f>
        <x:v>0</x:v>
      </x:c>
      <x:c r="Z61" s="111" t="n">
        <x:f>IFERROR(VLOOKUP($A61,'Jason FLEX'!$A$6:$N$268,8,FALSE),"")</x:f>
        <x:v>0</x:v>
      </x:c>
      <x:c r="AA61" s="111" t="n">
        <x:f>IFERROR(VLOOKUP($A61,'Jason FLEX'!$A$6:$N$268,9,FALSE),"")</x:f>
        <x:v>0</x:v>
      </x:c>
      <x:c r="AB61" s="111" t="n">
        <x:f>IFERROR(VLOOKUP($A61,'Jason FLEX'!$A$6:$N$268,10,FALSE),"")</x:f>
        <x:v>78</x:v>
      </x:c>
      <x:c r="AC61" s="111" t="n">
        <x:f>IFERROR(VLOOKUP($A61,'Jason FLEX'!$A$6:$N$268,11,FALSE),"")</x:f>
        <x:v>1051</x:v>
      </x:c>
      <x:c r="AD61" s="111" t="n">
        <x:f>IFERROR(VLOOKUP($A61,'Jason FLEX'!$A$6:$N$268,12,FALSE),"")</x:f>
        <x:v>5</x:v>
      </x:c>
      <x:c r="AE61" s="111" t="n">
        <x:f>IFERROR(VLOOKUP($A61,'Jason FLEX'!$A$6:$N$268,13,FALSE),"")</x:f>
        <x:v>2</x:v>
      </x:c>
      <x:c r="AF61" s="110" t="n">
        <x:f>IF(COUNT(E61,N61,W61)=0,"",AVERAGE(E61,N61,W61))</x:f>
        <x:v>55</x:v>
      </x:c>
      <x:c r="AG61" s="110" t="n">
        <x:f>IF(COUNT(E61,N61,W61)=0,"",MAX(E61,N61,W61)-MIN(E61,N61,W61))</x:f>
        <x:v>41</x:v>
      </x:c>
      <x:c r="AH61" s="110" t="n">
        <x:f>IF(COUNT(F61,O61,X61)=0,"",AVERAGE(F61,O61,X61))</x:f>
        <x:v>12.466666666666669</x:v>
      </x:c>
      <x:c r="AI61" s="112" t="n">
        <x:f>IF(COUNT(G61,P61,Y61)=0,"",AVERAGE(G61,P61,Y61))</x:f>
        <x:v>0</x:v>
      </x:c>
      <x:c r="AJ61" s="112" t="n">
        <x:f>IF(COUNT(H61,Q61,Z61)=0,"",AVERAGE(H61,Q61,Z61))</x:f>
        <x:v>1</x:v>
      </x:c>
      <x:c r="AK61" s="112" t="n">
        <x:f>IF(COUNT(I61,R61,AA61)=0,"",AVERAGE(I61,R61,AA61))</x:f>
        <x:v>0</x:v>
      </x:c>
      <x:c r="AL61" s="112" t="n">
        <x:f>IF(COUNT(J61,S61,AB61)=0,"",AVERAGE(J61,S61,AB61))</x:f>
        <x:v>74.33333333333333</x:v>
      </x:c>
      <x:c r="AM61" s="112" t="n">
        <x:f>IF(COUNT(K61,T61,AC61)=0,"",AVERAGE(K61,T61,AC61))</x:f>
        <x:v>1012.6666666666666</x:v>
      </x:c>
      <x:c r="AN61" s="112" t="n">
        <x:f>IF(COUNT(L61,U61,AD61)=0,"",AVERAGE(L61,U61,AD61))</x:f>
        <x:v>6.333333333333333</x:v>
      </x:c>
      <x:c r="AO61" s="112" t="n">
        <x:f>IF(COUNT(M61,V61,AE61)=0,"",AVERAGE(M61,V61,AE61))</x:f>
        <x:v>0.6666666666666666</x:v>
      </x:c>
    </x:row>
    <x:row r="62">
      <x:c r="A62" s="107" t="str">
        <x:v>Bhayshul Tuten</x:v>
      </x:c>
      <x:c r="B62" s="108" t="str">
        <x:v>RB</x:v>
      </x:c>
      <x:c r="C62" s="108" t="str">
        <x:v>JAX</x:v>
      </x:c>
      <x:c r="D62" s="109" t="n">
        <x:v>7</x:v>
      </x:c>
      <x:c r="E62" s="109" t="n">
        <x:f>IFERROR(VLOOKUP($A62,'Mike FLEX'!$A$6:$N$278,5,FALSE),"")</x:f>
        <x:v>45</x:v>
      </x:c>
      <x:c r="F62" s="110" t="n">
        <x:f>IFERROR(VLOOKUP($A62,'Mike FLEX'!$A$6:$N$278,6,FALSE),"")</x:f>
        <x:v>13</x:v>
      </x:c>
      <x:c r="G62" s="111" t="n">
        <x:f>IFERROR(VLOOKUP($A62,'Mike FLEX'!$A$6:$N$278,7,FALSE),"")</x:f>
        <x:v>204</x:v>
      </x:c>
      <x:c r="H62" s="111" t="n">
        <x:f>IFERROR(VLOOKUP($A62,'Mike FLEX'!$A$6:$N$278,8,FALSE),"")</x:f>
        <x:v>856</x:v>
      </x:c>
      <x:c r="I62" s="111" t="n">
        <x:f>IFERROR(VLOOKUP($A62,'Mike FLEX'!$A$6:$N$278,9,FALSE),"")</x:f>
        <x:v>8</x:v>
      </x:c>
      <x:c r="J62" s="111" t="n">
        <x:f>IFERROR(VLOOKUP($A62,'Mike FLEX'!$A$6:$N$278,10,FALSE),"")</x:f>
        <x:v>45</x:v>
      </x:c>
      <x:c r="K62" s="111" t="n">
        <x:f>IFERROR(VLOOKUP($A62,'Mike FLEX'!$A$6:$N$278,11,FALSE),"")</x:f>
        <x:v>344</x:v>
      </x:c>
      <x:c r="L62" s="111" t="n">
        <x:f>IFERROR(VLOOKUP($A62,'Mike FLEX'!$A$6:$N$278,12,FALSE),"")</x:f>
        <x:v>2</x:v>
      </x:c>
      <x:c r="M62" s="111" t="n">
        <x:f>IFERROR(VLOOKUP($A62,'Mike FLEX'!$A$6:$N$278,13,FALSE),"")</x:f>
        <x:v>1</x:v>
      </x:c>
      <x:c r="N62" s="109" t="n">
        <x:f>IFERROR(VLOOKUP($A62,'Andy FLEX'!$A$6:$N$278,5,FALSE),"")</x:f>
        <x:v>60</x:v>
      </x:c>
      <x:c r="O62" s="110" t="n">
        <x:f>IFERROR(VLOOKUP($A62,'Andy FLEX'!$A$6:$N$278,6,FALSE),"")</x:f>
        <x:v>12</x:v>
      </x:c>
      <x:c r="P62" s="111" t="n">
        <x:f>IFERROR(VLOOKUP($A62,'Andy FLEX'!$A$6:$N$278,7,FALSE),"")</x:f>
        <x:v>224</x:v>
      </x:c>
      <x:c r="Q62" s="111" t="n">
        <x:f>IFERROR(VLOOKUP($A62,'Andy FLEX'!$A$6:$N$278,8,FALSE),"")</x:f>
        <x:v>993</x:v>
      </x:c>
      <x:c r="R62" s="111" t="n">
        <x:f>IFERROR(VLOOKUP($A62,'Andy FLEX'!$A$6:$N$278,9,FALSE),"")</x:f>
        <x:v>7</x:v>
      </x:c>
      <x:c r="S62" s="111" t="n">
        <x:f>IFERROR(VLOOKUP($A62,'Andy FLEX'!$A$6:$N$278,10,FALSE),"")</x:f>
        <x:v>33</x:v>
      </x:c>
      <x:c r="T62" s="111" t="n">
        <x:f>IFERROR(VLOOKUP($A62,'Andy FLEX'!$A$6:$N$278,11,FALSE),"")</x:f>
        <x:v>194</x:v>
      </x:c>
      <x:c r="U62" s="111" t="n">
        <x:f>IFERROR(VLOOKUP($A62,'Andy FLEX'!$A$6:$N$278,12,FALSE),"")</x:f>
        <x:v>3</x:v>
      </x:c>
      <x:c r="V62" s="111" t="n">
        <x:f>IFERROR(VLOOKUP($A62,'Andy FLEX'!$A$6:$N$278,13,FALSE),"")</x:f>
        <x:v>3</x:v>
      </x:c>
      <x:c r="W62" s="109" t="n">
        <x:f>IFERROR(VLOOKUP($A62,'Jason FLEX'!$A$6:$N$268,5,FALSE),"")</x:f>
        <x:v>61</x:v>
      </x:c>
      <x:c r="X62" s="110" t="n">
        <x:f>IFERROR(VLOOKUP($A62,'Jason FLEX'!$A$6:$N$268,6,FALSE),"")</x:f>
        <x:v>12.2</x:v>
      </x:c>
      <x:c r="Y62" s="111" t="n">
        <x:f>IFERROR(VLOOKUP($A62,'Jason FLEX'!$A$6:$N$268,7,FALSE),"")</x:f>
        <x:v>225</x:v>
      </x:c>
      <x:c r="Z62" s="111" t="n">
        <x:f>IFERROR(VLOOKUP($A62,'Jason FLEX'!$A$6:$N$268,8,FALSE),"")</x:f>
        <x:v>980</x:v>
      </x:c>
      <x:c r="AA62" s="111" t="n">
        <x:f>IFERROR(VLOOKUP($A62,'Jason FLEX'!$A$6:$N$268,9,FALSE),"")</x:f>
        <x:v>7</x:v>
      </x:c>
      <x:c r="AB62" s="111" t="n">
        <x:f>IFERROR(VLOOKUP($A62,'Jason FLEX'!$A$6:$N$268,10,FALSE),"")</x:f>
        <x:v>33</x:v>
      </x:c>
      <x:c r="AC62" s="111" t="n">
        <x:f>IFERROR(VLOOKUP($A62,'Jason FLEX'!$A$6:$N$268,11,FALSE),"")</x:f>
        <x:v>297</x:v>
      </x:c>
      <x:c r="AD62" s="111" t="n">
        <x:f>IFERROR(VLOOKUP($A62,'Jason FLEX'!$A$6:$N$268,12,FALSE),"")</x:f>
        <x:v>2</x:v>
      </x:c>
      <x:c r="AE62" s="111" t="n">
        <x:f>IFERROR(VLOOKUP($A62,'Jason FLEX'!$A$6:$N$268,13,FALSE),"")</x:f>
        <x:v>2</x:v>
      </x:c>
      <x:c r="AF62" s="110" t="n">
        <x:f>IF(COUNT(E62,N62,W62)=0,"",AVERAGE(E62,N62,W62))</x:f>
        <x:v>55.333333333333336</x:v>
      </x:c>
      <x:c r="AG62" s="110" t="n">
        <x:f>IF(COUNT(E62,N62,W62)=0,"",MAX(E62,N62,W62)-MIN(E62,N62,W62))</x:f>
        <x:v>16</x:v>
      </x:c>
      <x:c r="AH62" s="110" t="n">
        <x:f>IF(COUNT(F62,O62,X62)=0,"",AVERAGE(F62,O62,X62))</x:f>
        <x:v>12.4</x:v>
      </x:c>
      <x:c r="AI62" s="112" t="n">
        <x:f>IF(COUNT(G62,P62,Y62)=0,"",AVERAGE(G62,P62,Y62))</x:f>
        <x:v>217.66666666666666</x:v>
      </x:c>
      <x:c r="AJ62" s="112" t="n">
        <x:f>IF(COUNT(H62,Q62,Z62)=0,"",AVERAGE(H62,Q62,Z62))</x:f>
        <x:v>943</x:v>
      </x:c>
      <x:c r="AK62" s="112" t="n">
        <x:f>IF(COUNT(I62,R62,AA62)=0,"",AVERAGE(I62,R62,AA62))</x:f>
        <x:v>7.333333333333333</x:v>
      </x:c>
      <x:c r="AL62" s="112" t="n">
        <x:f>IF(COUNT(J62,S62,AB62)=0,"",AVERAGE(J62,S62,AB62))</x:f>
        <x:v>37</x:v>
      </x:c>
      <x:c r="AM62" s="112" t="n">
        <x:f>IF(COUNT(K62,T62,AC62)=0,"",AVERAGE(K62,T62,AC62))</x:f>
        <x:v>278.3333333333333</x:v>
      </x:c>
      <x:c r="AN62" s="112" t="n">
        <x:f>IF(COUNT(L62,U62,AD62)=0,"",AVERAGE(L62,U62,AD62))</x:f>
        <x:v>2.3333333333333335</x:v>
      </x:c>
      <x:c r="AO62" s="112" t="n">
        <x:f>IF(COUNT(M62,V62,AE62)=0,"",AVERAGE(M62,V62,AE62))</x:f>
        <x:v>2</x:v>
      </x:c>
    </x:row>
    <x:row r="63">
      <x:c r="A63" s="107" t="str">
        <x:v>DK Metcalf</x:v>
      </x:c>
      <x:c r="B63" s="108" t="str">
        <x:v>WR</x:v>
      </x:c>
      <x:c r="C63" s="108" t="str">
        <x:v>PIT</x:v>
      </x:c>
      <x:c r="D63" s="109" t="n">
        <x:v>9</x:v>
      </x:c>
      <x:c r="E63" s="109" t="n">
        <x:f>IFERROR(VLOOKUP($A63,'Mike FLEX'!$A$6:$N$278,5,FALSE),"")</x:f>
        <x:v>60</x:v>
      </x:c>
      <x:c r="F63" s="110" t="n">
        <x:f>IFERROR(VLOOKUP($A63,'Mike FLEX'!$A$6:$N$278,6,FALSE),"")</x:f>
        <x:v>11.9</x:v>
      </x:c>
      <x:c r="G63" s="111" t="n">
        <x:f>IFERROR(VLOOKUP($A63,'Mike FLEX'!$A$6:$N$278,7,FALSE),"")</x:f>
        <x:v>0</x:v>
      </x:c>
      <x:c r="H63" s="111" t="n">
        <x:f>IFERROR(VLOOKUP($A63,'Mike FLEX'!$A$6:$N$278,8,FALSE),"")</x:f>
        <x:v>0</x:v>
      </x:c>
      <x:c r="I63" s="111" t="n">
        <x:f>IFERROR(VLOOKUP($A63,'Mike FLEX'!$A$6:$N$278,9,FALSE),"")</x:f>
        <x:v>0</x:v>
      </x:c>
      <x:c r="J63" s="111" t="n">
        <x:f>IFERROR(VLOOKUP($A63,'Mike FLEX'!$A$6:$N$278,10,FALSE),"")</x:f>
        <x:v>68</x:v>
      </x:c>
      <x:c r="K63" s="111" t="n">
        <x:f>IFERROR(VLOOKUP($A63,'Mike FLEX'!$A$6:$N$278,11,FALSE),"")</x:f>
        <x:v>951</x:v>
      </x:c>
      <x:c r="L63" s="111" t="n">
        <x:f>IFERROR(VLOOKUP($A63,'Mike FLEX'!$A$6:$N$278,12,FALSE),"")</x:f>
        <x:v>7</x:v>
      </x:c>
      <x:c r="M63" s="111" t="n">
        <x:f>IFERROR(VLOOKUP($A63,'Mike FLEX'!$A$6:$N$278,13,FALSE),"")</x:f>
        <x:v>1</x:v>
      </x:c>
      <x:c r="N63" s="109" t="n">
        <x:f>IFERROR(VLOOKUP($A63,'Andy FLEX'!$A$6:$N$278,5,FALSE),"")</x:f>
        <x:v>48</x:v>
      </x:c>
      <x:c r="O63" s="110" t="n">
        <x:f>IFERROR(VLOOKUP($A63,'Andy FLEX'!$A$6:$N$278,6,FALSE),"")</x:f>
        <x:v>13</x:v>
      </x:c>
      <x:c r="P63" s="111" t="n">
        <x:f>IFERROR(VLOOKUP($A63,'Andy FLEX'!$A$6:$N$278,7,FALSE),"")</x:f>
        <x:v>4</x:v>
      </x:c>
      <x:c r="Q63" s="111" t="n">
        <x:f>IFERROR(VLOOKUP($A63,'Andy FLEX'!$A$6:$N$278,8,FALSE),"")</x:f>
        <x:v>14</x:v>
      </x:c>
      <x:c r="R63" s="111" t="n">
        <x:f>IFERROR(VLOOKUP($A63,'Andy FLEX'!$A$6:$N$278,9,FALSE),"")</x:f>
        <x:v>0</x:v>
      </x:c>
      <x:c r="S63" s="111" t="n">
        <x:f>IFERROR(VLOOKUP($A63,'Andy FLEX'!$A$6:$N$278,10,FALSE),"")</x:f>
        <x:v>74</x:v>
      </x:c>
      <x:c r="T63" s="111" t="n">
        <x:f>IFERROR(VLOOKUP($A63,'Andy FLEX'!$A$6:$N$278,11,FALSE),"")</x:f>
        <x:v>1050</x:v>
      </x:c>
      <x:c r="U63" s="111" t="n">
        <x:f>IFERROR(VLOOKUP($A63,'Andy FLEX'!$A$6:$N$278,12,FALSE),"")</x:f>
        <x:v>7</x:v>
      </x:c>
      <x:c r="V63" s="111" t="n">
        <x:f>IFERROR(VLOOKUP($A63,'Andy FLEX'!$A$6:$N$278,13,FALSE),"")</x:f>
        <x:v>1</x:v>
      </x:c>
      <x:c r="W63" s="109" t="n">
        <x:f>IFERROR(VLOOKUP($A63,'Jason FLEX'!$A$6:$N$268,5,FALSE),"")</x:f>
        <x:v>59</x:v>
      </x:c>
      <x:c r="X63" s="110" t="n">
        <x:f>IFERROR(VLOOKUP($A63,'Jason FLEX'!$A$6:$N$268,6,FALSE),"")</x:f>
        <x:v>12.4</x:v>
      </x:c>
      <x:c r="Y63" s="111" t="n">
        <x:f>IFERROR(VLOOKUP($A63,'Jason FLEX'!$A$6:$N$268,7,FALSE),"")</x:f>
        <x:v>2</x:v>
      </x:c>
      <x:c r="Z63" s="111" t="n">
        <x:f>IFERROR(VLOOKUP($A63,'Jason FLEX'!$A$6:$N$268,8,FALSE),"")</x:f>
        <x:v>12</x:v>
      </x:c>
      <x:c r="AA63" s="111" t="n">
        <x:f>IFERROR(VLOOKUP($A63,'Jason FLEX'!$A$6:$N$268,9,FALSE),"")</x:f>
        <x:v>0</x:v>
      </x:c>
      <x:c r="AB63" s="111" t="n">
        <x:f>IFERROR(VLOOKUP($A63,'Jason FLEX'!$A$6:$N$268,10,FALSE),"")</x:f>
        <x:v>63</x:v>
      </x:c>
      <x:c r="AC63" s="111" t="n">
        <x:f>IFERROR(VLOOKUP($A63,'Jason FLEX'!$A$6:$N$268,11,FALSE),"")</x:f>
        <x:v>1000</x:v>
      </x:c>
      <x:c r="AD63" s="111" t="n">
        <x:f>IFERROR(VLOOKUP($A63,'Jason FLEX'!$A$6:$N$268,12,FALSE),"")</x:f>
        <x:v>8</x:v>
      </x:c>
      <x:c r="AE63" s="111" t="n">
        <x:f>IFERROR(VLOOKUP($A63,'Jason FLEX'!$A$6:$N$268,13,FALSE),"")</x:f>
        <x:v>1</x:v>
      </x:c>
      <x:c r="AF63" s="110" t="n">
        <x:f>IF(COUNT(E63,N63,W63)=0,"",AVERAGE(E63,N63,W63))</x:f>
        <x:v>55.666666666666664</x:v>
      </x:c>
      <x:c r="AG63" s="110" t="n">
        <x:f>IF(COUNT(E63,N63,W63)=0,"",MAX(E63,N63,W63)-MIN(E63,N63,W63))</x:f>
        <x:v>12</x:v>
      </x:c>
      <x:c r="AH63" s="110" t="n">
        <x:f>IF(COUNT(F63,O63,X63)=0,"",AVERAGE(F63,O63,X63))</x:f>
        <x:v>12.433333333333332</x:v>
      </x:c>
      <x:c r="AI63" s="112" t="n">
        <x:f>IF(COUNT(G63,P63,Y63)=0,"",AVERAGE(G63,P63,Y63))</x:f>
        <x:v>2</x:v>
      </x:c>
      <x:c r="AJ63" s="112" t="n">
        <x:f>IF(COUNT(H63,Q63,Z63)=0,"",AVERAGE(H63,Q63,Z63))</x:f>
        <x:v>8.666666666666666</x:v>
      </x:c>
      <x:c r="AK63" s="112" t="n">
        <x:f>IF(COUNT(I63,R63,AA63)=0,"",AVERAGE(I63,R63,AA63))</x:f>
        <x:v>0</x:v>
      </x:c>
      <x:c r="AL63" s="112" t="n">
        <x:f>IF(COUNT(J63,S63,AB63)=0,"",AVERAGE(J63,S63,AB63))</x:f>
        <x:v>68.33333333333333</x:v>
      </x:c>
      <x:c r="AM63" s="112" t="n">
        <x:f>IF(COUNT(K63,T63,AC63)=0,"",AVERAGE(K63,T63,AC63))</x:f>
        <x:v>1000.3333333333334</x:v>
      </x:c>
      <x:c r="AN63" s="112" t="n">
        <x:f>IF(COUNT(L63,U63,AD63)=0,"",AVERAGE(L63,U63,AD63))</x:f>
        <x:v>7.333333333333333</x:v>
      </x:c>
      <x:c r="AO63" s="112" t="n">
        <x:f>IF(COUNT(M63,V63,AE63)=0,"",AVERAGE(M63,V63,AE63))</x:f>
        <x:v>1</x:v>
      </x:c>
    </x:row>
    <x:row r="64">
      <x:c r="A64" s="107" t="str">
        <x:v>Alec Pierce</x:v>
      </x:c>
      <x:c r="B64" s="108" t="str">
        <x:v>WR</x:v>
      </x:c>
      <x:c r="C64" s="108" t="str">
        <x:v>IND</x:v>
      </x:c>
      <x:c r="D64" s="109" t="n">
        <x:v>13</x:v>
      </x:c>
      <x:c r="E64" s="109" t="n">
        <x:f>IFERROR(VLOOKUP($A64,'Mike FLEX'!$A$6:$N$278,5,FALSE),"")</x:f>
        <x:v>58</x:v>
      </x:c>
      <x:c r="F64" s="110" t="n">
        <x:f>IFERROR(VLOOKUP($A64,'Mike FLEX'!$A$6:$N$278,6,FALSE),"")</x:f>
        <x:v>12</x:v>
      </x:c>
      <x:c r="G64" s="111" t="n">
        <x:f>IFERROR(VLOOKUP($A64,'Mike FLEX'!$A$6:$N$278,7,FALSE),"")</x:f>
        <x:v>0</x:v>
      </x:c>
      <x:c r="H64" s="111" t="n">
        <x:f>IFERROR(VLOOKUP($A64,'Mike FLEX'!$A$6:$N$278,8,FALSE),"")</x:f>
        <x:v>0</x:v>
      </x:c>
      <x:c r="I64" s="111" t="n">
        <x:f>IFERROR(VLOOKUP($A64,'Mike FLEX'!$A$6:$N$278,9,FALSE),"")</x:f>
        <x:v>0</x:v>
      </x:c>
      <x:c r="J64" s="111" t="n">
        <x:f>IFERROR(VLOOKUP($A64,'Mike FLEX'!$A$6:$N$278,10,FALSE),"")</x:f>
        <x:v>58</x:v>
      </x:c>
      <x:c r="K64" s="111" t="n">
        <x:f>IFERROR(VLOOKUP($A64,'Mike FLEX'!$A$6:$N$278,11,FALSE),"")</x:f>
        <x:v>1078</x:v>
      </x:c>
      <x:c r="L64" s="111" t="n">
        <x:f>IFERROR(VLOOKUP($A64,'Mike FLEX'!$A$6:$N$278,12,FALSE),"")</x:f>
        <x:v>7</x:v>
      </x:c>
      <x:c r="M64" s="111" t="n">
        <x:f>IFERROR(VLOOKUP($A64,'Mike FLEX'!$A$6:$N$278,13,FALSE),"")</x:f>
        <x:v>0</x:v>
      </x:c>
      <x:c r="N64" s="109" t="n">
        <x:f>IFERROR(VLOOKUP($A64,'Andy FLEX'!$A$6:$N$278,5,FALSE),"")</x:f>
        <x:v>47</x:v>
      </x:c>
      <x:c r="O64" s="110" t="n">
        <x:f>IFERROR(VLOOKUP($A64,'Andy FLEX'!$A$6:$N$278,6,FALSE),"")</x:f>
        <x:v>13.1</x:v>
      </x:c>
      <x:c r="P64" s="111" t="n">
        <x:f>IFERROR(VLOOKUP($A64,'Andy FLEX'!$A$6:$N$278,7,FALSE),"")</x:f>
        <x:v>3</x:v>
      </x:c>
      <x:c r="Q64" s="111" t="n">
        <x:f>IFERROR(VLOOKUP($A64,'Andy FLEX'!$A$6:$N$278,8,FALSE),"")</x:f>
        <x:v>18</x:v>
      </x:c>
      <x:c r="R64" s="111" t="n">
        <x:f>IFERROR(VLOOKUP($A64,'Andy FLEX'!$A$6:$N$278,9,FALSE),"")</x:f>
        <x:v>0</x:v>
      </x:c>
      <x:c r="S64" s="111" t="n">
        <x:f>IFERROR(VLOOKUP($A64,'Andy FLEX'!$A$6:$N$278,10,FALSE),"")</x:f>
        <x:v>68</x:v>
      </x:c>
      <x:c r="T64" s="111" t="n">
        <x:f>IFERROR(VLOOKUP($A64,'Andy FLEX'!$A$6:$N$278,11,FALSE),"")</x:f>
        <x:v>1137</x:v>
      </x:c>
      <x:c r="U64" s="111" t="n">
        <x:f>IFERROR(VLOOKUP($A64,'Andy FLEX'!$A$6:$N$278,12,FALSE),"")</x:f>
        <x:v>7</x:v>
      </x:c>
      <x:c r="V64" s="111" t="n">
        <x:f>IFERROR(VLOOKUP($A64,'Andy FLEX'!$A$6:$N$278,13,FALSE),"")</x:f>
        <x:v>1</x:v>
      </x:c>
      <x:c r="W64" s="109" t="n">
        <x:f>IFERROR(VLOOKUP($A64,'Jason FLEX'!$A$6:$N$268,5,FALSE),"")</x:f>
        <x:v>65</x:v>
      </x:c>
      <x:c r="X64" s="110" t="n">
        <x:f>IFERROR(VLOOKUP($A64,'Jason FLEX'!$A$6:$N$268,6,FALSE),"")</x:f>
        <x:v>11.8</x:v>
      </x:c>
      <x:c r="Y64" s="111" t="n">
        <x:f>IFERROR(VLOOKUP($A64,'Jason FLEX'!$A$6:$N$268,7,FALSE),"")</x:f>
        <x:v>0</x:v>
      </x:c>
      <x:c r="Z64" s="111" t="n">
        <x:f>IFERROR(VLOOKUP($A64,'Jason FLEX'!$A$6:$N$268,8,FALSE),"")</x:f>
        <x:v>0</x:v>
      </x:c>
      <x:c r="AA64" s="111" t="n">
        <x:f>IFERROR(VLOOKUP($A64,'Jason FLEX'!$A$6:$N$268,9,FALSE),"")</x:f>
        <x:v>0</x:v>
      </x:c>
      <x:c r="AB64" s="111" t="n">
        <x:f>IFERROR(VLOOKUP($A64,'Jason FLEX'!$A$6:$N$268,10,FALSE),"")</x:f>
        <x:v>64</x:v>
      </x:c>
      <x:c r="AC64" s="111" t="n">
        <x:f>IFERROR(VLOOKUP($A64,'Jason FLEX'!$A$6:$N$268,11,FALSE),"")</x:f>
        <x:v>1022</x:v>
      </x:c>
      <x:c r="AD64" s="111" t="n">
        <x:f>IFERROR(VLOOKUP($A64,'Jason FLEX'!$A$6:$N$268,12,FALSE),"")</x:f>
        <x:v>6</x:v>
      </x:c>
      <x:c r="AE64" s="111" t="n">
        <x:f>IFERROR(VLOOKUP($A64,'Jason FLEX'!$A$6:$N$268,13,FALSE),"")</x:f>
        <x:v>1</x:v>
      </x:c>
      <x:c r="AF64" s="110" t="n">
        <x:f>IF(COUNT(E64,N64,W64)=0,"",AVERAGE(E64,N64,W64))</x:f>
        <x:v>56.666666666666664</x:v>
      </x:c>
      <x:c r="AG64" s="110" t="n">
        <x:f>IF(COUNT(E64,N64,W64)=0,"",MAX(E64,N64,W64)-MIN(E64,N64,W64))</x:f>
        <x:v>18</x:v>
      </x:c>
      <x:c r="AH64" s="110" t="n">
        <x:f>IF(COUNT(F64,O64,X64)=0,"",AVERAGE(F64,O64,X64))</x:f>
        <x:v>12.300000000000002</x:v>
      </x:c>
      <x:c r="AI64" s="112" t="n">
        <x:f>IF(COUNT(G64,P64,Y64)=0,"",AVERAGE(G64,P64,Y64))</x:f>
        <x:v>1</x:v>
      </x:c>
      <x:c r="AJ64" s="112" t="n">
        <x:f>IF(COUNT(H64,Q64,Z64)=0,"",AVERAGE(H64,Q64,Z64))</x:f>
        <x:v>6</x:v>
      </x:c>
      <x:c r="AK64" s="112" t="n">
        <x:f>IF(COUNT(I64,R64,AA64)=0,"",AVERAGE(I64,R64,AA64))</x:f>
        <x:v>0</x:v>
      </x:c>
      <x:c r="AL64" s="112" t="n">
        <x:f>IF(COUNT(J64,S64,AB64)=0,"",AVERAGE(J64,S64,AB64))</x:f>
        <x:v>63.333333333333336</x:v>
      </x:c>
      <x:c r="AM64" s="112" t="n">
        <x:f>IF(COUNT(K64,T64,AC64)=0,"",AVERAGE(K64,T64,AC64))</x:f>
        <x:v>1079</x:v>
      </x:c>
      <x:c r="AN64" s="112" t="n">
        <x:f>IF(COUNT(L64,U64,AD64)=0,"",AVERAGE(L64,U64,AD64))</x:f>
        <x:v>6.666666666666667</x:v>
      </x:c>
      <x:c r="AO64" s="112" t="n">
        <x:f>IF(COUNT(M64,V64,AE64)=0,"",AVERAGE(M64,V64,AE64))</x:f>
        <x:v>0.6666666666666666</x:v>
      </x:c>
    </x:row>
    <x:row r="65">
      <x:c r="A65" s="107" t="str">
        <x:v>Brian Thomas Jr.</x:v>
      </x:c>
      <x:c r="B65" s="108" t="str">
        <x:v>WR</x:v>
      </x:c>
      <x:c r="C65" s="108" t="str">
        <x:v>JAX</x:v>
      </x:c>
      <x:c r="D65" s="109" t="n">
        <x:v>7</x:v>
      </x:c>
      <x:c r="E65" s="109" t="n">
        <x:f>IFERROR(VLOOKUP($A65,'Mike FLEX'!$A$6:$N$278,5,FALSE),"")</x:f>
        <x:v>72</x:v>
      </x:c>
      <x:c r="F65" s="110" t="n">
        <x:f>IFERROR(VLOOKUP($A65,'Mike FLEX'!$A$6:$N$278,6,FALSE),"")</x:f>
        <x:v>11.4</x:v>
      </x:c>
      <x:c r="G65" s="111" t="n">
        <x:f>IFERROR(VLOOKUP($A65,'Mike FLEX'!$A$6:$N$278,7,FALSE),"")</x:f>
        <x:v>4</x:v>
      </x:c>
      <x:c r="H65" s="111" t="n">
        <x:f>IFERROR(VLOOKUP($A65,'Mike FLEX'!$A$6:$N$278,8,FALSE),"")</x:f>
        <x:v>31</x:v>
      </x:c>
      <x:c r="I65" s="111" t="n">
        <x:f>IFERROR(VLOOKUP($A65,'Mike FLEX'!$A$6:$N$278,9,FALSE),"")</x:f>
        <x:v>0</x:v>
      </x:c>
      <x:c r="J65" s="111" t="n">
        <x:f>IFERROR(VLOOKUP($A65,'Mike FLEX'!$A$6:$N$278,10,FALSE),"")</x:f>
        <x:v>66</x:v>
      </x:c>
      <x:c r="K65" s="111" t="n">
        <x:f>IFERROR(VLOOKUP($A65,'Mike FLEX'!$A$6:$N$278,11,FALSE),"")</x:f>
        <x:v>963</x:v>
      </x:c>
      <x:c r="L65" s="111" t="n">
        <x:f>IFERROR(VLOOKUP($A65,'Mike FLEX'!$A$6:$N$278,12,FALSE),"")</x:f>
        <x:v>5</x:v>
      </x:c>
      <x:c r="M65" s="111" t="n">
        <x:f>IFERROR(VLOOKUP($A65,'Mike FLEX'!$A$6:$N$278,13,FALSE),"")</x:f>
        <x:v>0</x:v>
      </x:c>
      <x:c r="N65" s="109" t="n">
        <x:f>IFERROR(VLOOKUP($A65,'Andy FLEX'!$A$6:$N$278,5,FALSE),"")</x:f>
        <x:v>49</x:v>
      </x:c>
      <x:c r="O65" s="110" t="n">
        <x:f>IFERROR(VLOOKUP($A65,'Andy FLEX'!$A$6:$N$278,6,FALSE),"")</x:f>
        <x:v>12.9</x:v>
      </x:c>
      <x:c r="P65" s="111" t="n">
        <x:f>IFERROR(VLOOKUP($A65,'Andy FLEX'!$A$6:$N$278,7,FALSE),"")</x:f>
        <x:v>7</x:v>
      </x:c>
      <x:c r="Q65" s="111" t="n">
        <x:f>IFERROR(VLOOKUP($A65,'Andy FLEX'!$A$6:$N$278,8,FALSE),"")</x:f>
        <x:v>32</x:v>
      </x:c>
      <x:c r="R65" s="111" t="n">
        <x:f>IFERROR(VLOOKUP($A65,'Andy FLEX'!$A$6:$N$278,9,FALSE),"")</x:f>
        <x:v>1</x:v>
      </x:c>
      <x:c r="S65" s="111" t="n">
        <x:f>IFERROR(VLOOKUP($A65,'Andy FLEX'!$A$6:$N$278,10,FALSE),"")</x:f>
        <x:v>72</x:v>
      </x:c>
      <x:c r="T65" s="111" t="n">
        <x:f>IFERROR(VLOOKUP($A65,'Andy FLEX'!$A$6:$N$278,11,FALSE),"")</x:f>
        <x:v>1035</x:v>
      </x:c>
      <x:c r="U65" s="111" t="n">
        <x:f>IFERROR(VLOOKUP($A65,'Andy FLEX'!$A$6:$N$278,12,FALSE),"")</x:f>
        <x:v>6</x:v>
      </x:c>
      <x:c r="V65" s="111" t="n">
        <x:f>IFERROR(VLOOKUP($A65,'Andy FLEX'!$A$6:$N$278,13,FALSE),"")</x:f>
        <x:v>1</x:v>
      </x:c>
      <x:c r="W65" s="109" t="n">
        <x:f>IFERROR(VLOOKUP($A65,'Jason FLEX'!$A$6:$N$268,5,FALSE),"")</x:f>
        <x:v>57</x:v>
      </x:c>
      <x:c r="X65" s="110" t="n">
        <x:f>IFERROR(VLOOKUP($A65,'Jason FLEX'!$A$6:$N$268,6,FALSE),"")</x:f>
        <x:v>12.4</x:v>
      </x:c>
      <x:c r="Y65" s="111" t="n">
        <x:f>IFERROR(VLOOKUP($A65,'Jason FLEX'!$A$6:$N$268,7,FALSE),"")</x:f>
        <x:v>6</x:v>
      </x:c>
      <x:c r="Z65" s="111" t="n">
        <x:f>IFERROR(VLOOKUP($A65,'Jason FLEX'!$A$6:$N$268,8,FALSE),"")</x:f>
        <x:v>42</x:v>
      </x:c>
      <x:c r="AA65" s="111" t="n">
        <x:f>IFERROR(VLOOKUP($A65,'Jason FLEX'!$A$6:$N$268,9,FALSE),"")</x:f>
        <x:v>0</x:v>
      </x:c>
      <x:c r="AB65" s="111" t="n">
        <x:f>IFERROR(VLOOKUP($A65,'Jason FLEX'!$A$6:$N$268,10,FALSE),"")</x:f>
        <x:v>66</x:v>
      </x:c>
      <x:c r="AC65" s="111" t="n">
        <x:f>IFERROR(VLOOKUP($A65,'Jason FLEX'!$A$6:$N$268,11,FALSE),"")</x:f>
        <x:v>983</x:v>
      </x:c>
      <x:c r="AD65" s="111" t="n">
        <x:f>IFERROR(VLOOKUP($A65,'Jason FLEX'!$A$6:$N$268,12,FALSE),"")</x:f>
        <x:v>7</x:v>
      </x:c>
      <x:c r="AE65" s="111" t="n">
        <x:f>IFERROR(VLOOKUP($A65,'Jason FLEX'!$A$6:$N$268,13,FALSE),"")</x:f>
        <x:v>1</x:v>
      </x:c>
      <x:c r="AF65" s="110" t="n">
        <x:f>IF(COUNT(E65,N65,W65)=0,"",AVERAGE(E65,N65,W65))</x:f>
        <x:v>59.333333333333336</x:v>
      </x:c>
      <x:c r="AG65" s="110" t="n">
        <x:f>IF(COUNT(E65,N65,W65)=0,"",MAX(E65,N65,W65)-MIN(E65,N65,W65))</x:f>
        <x:v>23</x:v>
      </x:c>
      <x:c r="AH65" s="110" t="n">
        <x:f>IF(COUNT(F65,O65,X65)=0,"",AVERAGE(F65,O65,X65))</x:f>
        <x:v>12.233333333333334</x:v>
      </x:c>
      <x:c r="AI65" s="112" t="n">
        <x:f>IF(COUNT(G65,P65,Y65)=0,"",AVERAGE(G65,P65,Y65))</x:f>
        <x:v>5.666666666666667</x:v>
      </x:c>
      <x:c r="AJ65" s="112" t="n">
        <x:f>IF(COUNT(H65,Q65,Z65)=0,"",AVERAGE(H65,Q65,Z65))</x:f>
        <x:v>35</x:v>
      </x:c>
      <x:c r="AK65" s="112" t="n">
        <x:f>IF(COUNT(I65,R65,AA65)=0,"",AVERAGE(I65,R65,AA65))</x:f>
        <x:v>0.3333333333333333</x:v>
      </x:c>
      <x:c r="AL65" s="112" t="n">
        <x:f>IF(COUNT(J65,S65,AB65)=0,"",AVERAGE(J65,S65,AB65))</x:f>
        <x:v>68</x:v>
      </x:c>
      <x:c r="AM65" s="112" t="n">
        <x:f>IF(COUNT(K65,T65,AC65)=0,"",AVERAGE(K65,T65,AC65))</x:f>
        <x:v>993.6666666666666</x:v>
      </x:c>
      <x:c r="AN65" s="112" t="n">
        <x:f>IF(COUNT(L65,U65,AD65)=0,"",AVERAGE(L65,U65,AD65))</x:f>
        <x:v>6</x:v>
      </x:c>
      <x:c r="AO65" s="112" t="n">
        <x:f>IF(COUNT(M65,V65,AE65)=0,"",AVERAGE(M65,V65,AE65))</x:f>
        <x:v>0.6666666666666666</x:v>
      </x:c>
    </x:row>
    <x:row r="66">
      <x:c r="A66" s="107" t="str">
        <x:v>Chris Godwin Jr.</x:v>
      </x:c>
      <x:c r="B66" s="108" t="str">
        <x:v>WR</x:v>
      </x:c>
      <x:c r="C66" s="108" t="str">
        <x:v>TB</x:v>
      </x:c>
      <x:c r="D66" s="109" t="n">
        <x:v>10</x:v>
      </x:c>
      <x:c r="E66" s="109" t="n">
        <x:f>IFERROR(VLOOKUP($A66,'Mike FLEX'!$A$6:$N$278,5,FALSE),"")</x:f>
        <x:v>56</x:v>
      </x:c>
      <x:c r="F66" s="110" t="n">
        <x:f>IFERROR(VLOOKUP($A66,'Mike FLEX'!$A$6:$N$278,6,FALSE),"")</x:f>
        <x:v>12.4</x:v>
      </x:c>
      <x:c r="G66" s="111" t="n">
        <x:f>IFERROR(VLOOKUP($A66,'Mike FLEX'!$A$6:$N$278,7,FALSE),"")</x:f>
        <x:v>0</x:v>
      </x:c>
      <x:c r="H66" s="111" t="n">
        <x:f>IFERROR(VLOOKUP($A66,'Mike FLEX'!$A$6:$N$278,8,FALSE),"")</x:f>
        <x:v>0</x:v>
      </x:c>
      <x:c r="I66" s="111" t="n">
        <x:f>IFERROR(VLOOKUP($A66,'Mike FLEX'!$A$6:$N$278,9,FALSE),"")</x:f>
        <x:v>0</x:v>
      </x:c>
      <x:c r="J66" s="111" t="n">
        <x:f>IFERROR(VLOOKUP($A66,'Mike FLEX'!$A$6:$N$278,10,FALSE),"")</x:f>
        <x:v>83</x:v>
      </x:c>
      <x:c r="K66" s="111" t="n">
        <x:f>IFERROR(VLOOKUP($A66,'Mike FLEX'!$A$6:$N$278,11,FALSE),"")</x:f>
        <x:v>943</x:v>
      </x:c>
      <x:c r="L66" s="111" t="n">
        <x:f>IFERROR(VLOOKUP($A66,'Mike FLEX'!$A$6:$N$278,12,FALSE),"")</x:f>
        <x:v>6</x:v>
      </x:c>
      <x:c r="M66" s="111" t="n">
        <x:f>IFERROR(VLOOKUP($A66,'Mike FLEX'!$A$6:$N$278,13,FALSE),"")</x:f>
        <x:v>0</x:v>
      </x:c>
      <x:c r="N66" s="109" t="n">
        <x:f>IFERROR(VLOOKUP($A66,'Andy FLEX'!$A$6:$N$278,5,FALSE),"")</x:f>
        <x:v>70</x:v>
      </x:c>
      <x:c r="O66" s="110" t="n">
        <x:f>IFERROR(VLOOKUP($A66,'Andy FLEX'!$A$6:$N$278,6,FALSE),"")</x:f>
        <x:v>11.1</x:v>
      </x:c>
      <x:c r="P66" s="111" t="n">
        <x:f>IFERROR(VLOOKUP($A66,'Andy FLEX'!$A$6:$N$278,7,FALSE),"")</x:f>
        <x:v>0</x:v>
      </x:c>
      <x:c r="Q66" s="111" t="n">
        <x:f>IFERROR(VLOOKUP($A66,'Andy FLEX'!$A$6:$N$278,8,FALSE),"")</x:f>
        <x:v>0</x:v>
      </x:c>
      <x:c r="R66" s="111" t="n">
        <x:f>IFERROR(VLOOKUP($A66,'Andy FLEX'!$A$6:$N$278,9,FALSE),"")</x:f>
        <x:v>0</x:v>
      </x:c>
      <x:c r="S66" s="111" t="n">
        <x:f>IFERROR(VLOOKUP($A66,'Andy FLEX'!$A$6:$N$278,10,FALSE),"")</x:f>
        <x:v>78</x:v>
      </x:c>
      <x:c r="T66" s="111" t="n">
        <x:f>IFERROR(VLOOKUP($A66,'Andy FLEX'!$A$6:$N$278,11,FALSE),"")</x:f>
        <x:v>816</x:v>
      </x:c>
      <x:c r="U66" s="111" t="n">
        <x:f>IFERROR(VLOOKUP($A66,'Andy FLEX'!$A$6:$N$278,12,FALSE),"")</x:f>
        <x:v>5</x:v>
      </x:c>
      <x:c r="V66" s="111" t="n">
        <x:f>IFERROR(VLOOKUP($A66,'Andy FLEX'!$A$6:$N$278,13,FALSE),"")</x:f>
        <x:v>0</x:v>
      </x:c>
      <x:c r="W66" s="109" t="n">
        <x:f>IFERROR(VLOOKUP($A66,'Jason FLEX'!$A$6:$N$268,5,FALSE),"")</x:f>
        <x:v>64</x:v>
      </x:c>
      <x:c r="X66" s="110" t="n">
        <x:f>IFERROR(VLOOKUP($A66,'Jason FLEX'!$A$6:$N$268,6,FALSE),"")</x:f>
        <x:v>11.8</x:v>
      </x:c>
      <x:c r="Y66" s="111" t="n">
        <x:f>IFERROR(VLOOKUP($A66,'Jason FLEX'!$A$6:$N$268,7,FALSE),"")</x:f>
        <x:v>0</x:v>
      </x:c>
      <x:c r="Z66" s="111" t="n">
        <x:f>IFERROR(VLOOKUP($A66,'Jason FLEX'!$A$6:$N$268,8,FALSE),"")</x:f>
        <x:v>0</x:v>
      </x:c>
      <x:c r="AA66" s="111" t="n">
        <x:f>IFERROR(VLOOKUP($A66,'Jason FLEX'!$A$6:$N$268,9,FALSE),"")</x:f>
        <x:v>0</x:v>
      </x:c>
      <x:c r="AB66" s="111" t="n">
        <x:f>IFERROR(VLOOKUP($A66,'Jason FLEX'!$A$6:$N$268,10,FALSE),"")</x:f>
        <x:v>83</x:v>
      </x:c>
      <x:c r="AC66" s="111" t="n">
        <x:f>IFERROR(VLOOKUP($A66,'Jason FLEX'!$A$6:$N$268,11,FALSE),"")</x:f>
        <x:v>913</x:v>
      </x:c>
      <x:c r="AD66" s="111" t="n">
        <x:f>IFERROR(VLOOKUP($A66,'Jason FLEX'!$A$6:$N$268,12,FALSE),"")</x:f>
        <x:v>4</x:v>
      </x:c>
      <x:c r="AE66" s="111" t="n">
        <x:f>IFERROR(VLOOKUP($A66,'Jason FLEX'!$A$6:$N$268,13,FALSE),"")</x:f>
        <x:v>0</x:v>
      </x:c>
      <x:c r="AF66" s="110" t="n">
        <x:f>IF(COUNT(E66,N66,W66)=0,"",AVERAGE(E66,N66,W66))</x:f>
        <x:v>63.333333333333336</x:v>
      </x:c>
      <x:c r="AG66" s="110" t="n">
        <x:f>IF(COUNT(E66,N66,W66)=0,"",MAX(E66,N66,W66)-MIN(E66,N66,W66))</x:f>
        <x:v>14</x:v>
      </x:c>
      <x:c r="AH66" s="110" t="n">
        <x:f>IF(COUNT(F66,O66,X66)=0,"",AVERAGE(F66,O66,X66))</x:f>
        <x:v>11.766666666666666</x:v>
      </x:c>
      <x:c r="AI66" s="112" t="n">
        <x:f>IF(COUNT(G66,P66,Y66)=0,"",AVERAGE(G66,P66,Y66))</x:f>
        <x:v>0</x:v>
      </x:c>
      <x:c r="AJ66" s="112" t="n">
        <x:f>IF(COUNT(H66,Q66,Z66)=0,"",AVERAGE(H66,Q66,Z66))</x:f>
        <x:v>0</x:v>
      </x:c>
      <x:c r="AK66" s="112" t="n">
        <x:f>IF(COUNT(I66,R66,AA66)=0,"",AVERAGE(I66,R66,AA66))</x:f>
        <x:v>0</x:v>
      </x:c>
      <x:c r="AL66" s="112" t="n">
        <x:f>IF(COUNT(J66,S66,AB66)=0,"",AVERAGE(J66,S66,AB66))</x:f>
        <x:v>81.33333333333333</x:v>
      </x:c>
      <x:c r="AM66" s="112" t="n">
        <x:f>IF(COUNT(K66,T66,AC66)=0,"",AVERAGE(K66,T66,AC66))</x:f>
        <x:v>890.6666666666666</x:v>
      </x:c>
      <x:c r="AN66" s="112" t="n">
        <x:f>IF(COUNT(L66,U66,AD66)=0,"",AVERAGE(L66,U66,AD66))</x:f>
        <x:v>5</x:v>
      </x:c>
      <x:c r="AO66" s="112" t="n">
        <x:f>IF(COUNT(M66,V66,AE66)=0,"",AVERAGE(M66,V66,AE66))</x:f>
        <x:v>0</x:v>
      </x:c>
    </x:row>
    <x:row r="67">
      <x:c r="A67" s="107" t="str">
        <x:v>Quinshon Judkins</x:v>
      </x:c>
      <x:c r="B67" s="108" t="str">
        <x:v>RB</x:v>
      </x:c>
      <x:c r="C67" s="108" t="str">
        <x:v>CLE</x:v>
      </x:c>
      <x:c r="D67" s="109" t="n">
        <x:v>11</x:v>
      </x:c>
      <x:c r="E67" s="109" t="n">
        <x:f>IFERROR(VLOOKUP($A67,'Mike FLEX'!$A$6:$N$278,5,FALSE),"")</x:f>
        <x:v>66</x:v>
      </x:c>
      <x:c r="F67" s="110" t="n">
        <x:f>IFERROR(VLOOKUP($A67,'Mike FLEX'!$A$6:$N$278,6,FALSE),"")</x:f>
        <x:v>11.6</x:v>
      </x:c>
      <x:c r="G67" s="111" t="n">
        <x:f>IFERROR(VLOOKUP($A67,'Mike FLEX'!$A$6:$N$278,7,FALSE),"")</x:f>
        <x:v>291</x:v>
      </x:c>
      <x:c r="H67" s="111" t="n">
        <x:f>IFERROR(VLOOKUP($A67,'Mike FLEX'!$A$6:$N$278,8,FALSE),"")</x:f>
        <x:v>1105</x:v>
      </x:c>
      <x:c r="I67" s="111" t="n">
        <x:f>IFERROR(VLOOKUP($A67,'Mike FLEX'!$A$6:$N$278,9,FALSE),"")</x:f>
        <x:v>7</x:v>
      </x:c>
      <x:c r="J67" s="111" t="n">
        <x:f>IFERROR(VLOOKUP($A67,'Mike FLEX'!$A$6:$N$278,10,FALSE),"")</x:f>
        <x:v>27</x:v>
      </x:c>
      <x:c r="K67" s="111" t="n">
        <x:f>IFERROR(VLOOKUP($A67,'Mike FLEX'!$A$6:$N$278,11,FALSE),"")</x:f>
        <x:v>176</x:v>
      </x:c>
      <x:c r="L67" s="111" t="n">
        <x:f>IFERROR(VLOOKUP($A67,'Mike FLEX'!$A$6:$N$278,12,FALSE),"")</x:f>
        <x:v>1</x:v>
      </x:c>
      <x:c r="M67" s="111" t="n">
        <x:f>IFERROR(VLOOKUP($A67,'Mike FLEX'!$A$6:$N$278,13,FALSE),"")</x:f>
        <x:v>0</x:v>
      </x:c>
      <x:c r="N67" s="109" t="n">
        <x:f>IFERROR(VLOOKUP($A67,'Andy FLEX'!$A$6:$N$278,5,FALSE),"")</x:f>
        <x:v>55</x:v>
      </x:c>
      <x:c r="O67" s="110" t="n">
        <x:f>IFERROR(VLOOKUP($A67,'Andy FLEX'!$A$6:$N$278,6,FALSE),"")</x:f>
        <x:v>12.5</x:v>
      </x:c>
      <x:c r="P67" s="111" t="n">
        <x:f>IFERROR(VLOOKUP($A67,'Andy FLEX'!$A$6:$N$278,7,FALSE),"")</x:f>
        <x:v>275</x:v>
      </x:c>
      <x:c r="Q67" s="111" t="n">
        <x:f>IFERROR(VLOOKUP($A67,'Andy FLEX'!$A$6:$N$278,8,FALSE),"")</x:f>
        <x:v>1045</x:v>
      </x:c>
      <x:c r="R67" s="111" t="n">
        <x:f>IFERROR(VLOOKUP($A67,'Andy FLEX'!$A$6:$N$278,9,FALSE),"")</x:f>
        <x:v>7</x:v>
      </x:c>
      <x:c r="S67" s="111" t="n">
        <x:f>IFERROR(VLOOKUP($A67,'Andy FLEX'!$A$6:$N$278,10,FALSE),"")</x:f>
        <x:v>30</x:v>
      </x:c>
      <x:c r="T67" s="111" t="n">
        <x:f>IFERROR(VLOOKUP($A67,'Andy FLEX'!$A$6:$N$278,11,FALSE),"")</x:f>
        <x:v>229</x:v>
      </x:c>
      <x:c r="U67" s="111" t="n">
        <x:f>IFERROR(VLOOKUP($A67,'Andy FLEX'!$A$6:$N$278,12,FALSE),"")</x:f>
        <x:v>2</x:v>
      </x:c>
      <x:c r="V67" s="111" t="n">
        <x:f>IFERROR(VLOOKUP($A67,'Andy FLEX'!$A$6:$N$278,13,FALSE),"")</x:f>
        <x:v>0</x:v>
      </x:c>
      <x:c r="W67" s="109" t="n">
        <x:f>IFERROR(VLOOKUP($A67,'Jason FLEX'!$A$6:$N$268,5,FALSE),"")</x:f>
        <x:v>70</x:v>
      </x:c>
      <x:c r="X67" s="110" t="n">
        <x:f>IFERROR(VLOOKUP($A67,'Jason FLEX'!$A$6:$N$268,6,FALSE),"")</x:f>
        <x:v>11.4</x:v>
      </x:c>
      <x:c r="Y67" s="111" t="n">
        <x:f>IFERROR(VLOOKUP($A67,'Jason FLEX'!$A$6:$N$268,7,FALSE),"")</x:f>
        <x:v>213</x:v>
      </x:c>
      <x:c r="Z67" s="111" t="n">
        <x:f>IFERROR(VLOOKUP($A67,'Jason FLEX'!$A$6:$N$268,8,FALSE),"")</x:f>
        <x:v>937</x:v>
      </x:c>
      <x:c r="AA67" s="111" t="n">
        <x:f>IFERROR(VLOOKUP($A67,'Jason FLEX'!$A$6:$N$268,9,FALSE),"")</x:f>
        <x:v>8</x:v>
      </x:c>
      <x:c r="AB67" s="111" t="n">
        <x:f>IFERROR(VLOOKUP($A67,'Jason FLEX'!$A$6:$N$268,10,FALSE),"")</x:f>
        <x:v>28</x:v>
      </x:c>
      <x:c r="AC67" s="111" t="n">
        <x:f>IFERROR(VLOOKUP($A67,'Jason FLEX'!$A$6:$N$268,11,FALSE),"")</x:f>
        <x:v>210</x:v>
      </x:c>
      <x:c r="AD67" s="111" t="n">
        <x:f>IFERROR(VLOOKUP($A67,'Jason FLEX'!$A$6:$N$268,12,FALSE),"")</x:f>
        <x:v>2</x:v>
      </x:c>
      <x:c r="AE67" s="111" t="n">
        <x:f>IFERROR(VLOOKUP($A67,'Jason FLEX'!$A$6:$N$268,13,FALSE),"")</x:f>
        <x:v>2</x:v>
      </x:c>
      <x:c r="AF67" s="110" t="n">
        <x:f>IF(COUNT(E67,N67,W67)=0,"",AVERAGE(E67,N67,W67))</x:f>
        <x:v>63.666666666666664</x:v>
      </x:c>
      <x:c r="AG67" s="110" t="n">
        <x:f>IF(COUNT(E67,N67,W67)=0,"",MAX(E67,N67,W67)-MIN(E67,N67,W67))</x:f>
        <x:v>15</x:v>
      </x:c>
      <x:c r="AH67" s="110" t="n">
        <x:f>IF(COUNT(F67,O67,X67)=0,"",AVERAGE(F67,O67,X67))</x:f>
        <x:v>11.833333333333334</x:v>
      </x:c>
      <x:c r="AI67" s="112" t="n">
        <x:f>IF(COUNT(G67,P67,Y67)=0,"",AVERAGE(G67,P67,Y67))</x:f>
        <x:v>259.6666666666667</x:v>
      </x:c>
      <x:c r="AJ67" s="112" t="n">
        <x:f>IF(COUNT(H67,Q67,Z67)=0,"",AVERAGE(H67,Q67,Z67))</x:f>
        <x:v>1029</x:v>
      </x:c>
      <x:c r="AK67" s="112" t="n">
        <x:f>IF(COUNT(I67,R67,AA67)=0,"",AVERAGE(I67,R67,AA67))</x:f>
        <x:v>7.333333333333333</x:v>
      </x:c>
      <x:c r="AL67" s="112" t="n">
        <x:f>IF(COUNT(J67,S67,AB67)=0,"",AVERAGE(J67,S67,AB67))</x:f>
        <x:v>28.333333333333332</x:v>
      </x:c>
      <x:c r="AM67" s="112" t="n">
        <x:f>IF(COUNT(K67,T67,AC67)=0,"",AVERAGE(K67,T67,AC67))</x:f>
        <x:v>205</x:v>
      </x:c>
      <x:c r="AN67" s="112" t="n">
        <x:f>IF(COUNT(L67,U67,AD67)=0,"",AVERAGE(L67,U67,AD67))</x:f>
        <x:v>1.6666666666666667</x:v>
      </x:c>
      <x:c r="AO67" s="112" t="n">
        <x:f>IF(COUNT(M67,V67,AE67)=0,"",AVERAGE(M67,V67,AE67))</x:f>
        <x:v>0.6666666666666666</x:v>
      </x:c>
    </x:row>
    <x:row r="68">
      <x:c r="A68" s="107" t="str">
        <x:v>Harold Fannin Jr.</x:v>
      </x:c>
      <x:c r="B68" s="108" t="str">
        <x:v>TE</x:v>
      </x:c>
      <x:c r="C68" s="108" t="str">
        <x:v>CLE</x:v>
      </x:c>
      <x:c r="D68" s="109" t="n">
        <x:v>11</x:v>
      </x:c>
      <x:c r="E68" s="109" t="n">
        <x:f>IFERROR(VLOOKUP($A68,'Mike FLEX'!$A$6:$N$278,5,FALSE),"")</x:f>
        <x:v>71</x:v>
      </x:c>
      <x:c r="F68" s="110" t="n">
        <x:f>IFERROR(VLOOKUP($A68,'Mike FLEX'!$A$6:$N$278,6,FALSE),"")</x:f>
        <x:v>11.5</x:v>
      </x:c>
      <x:c r="G68" s="111" t="n">
        <x:f>IFERROR(VLOOKUP($A68,'Mike FLEX'!$A$6:$N$278,7,FALSE),"")</x:f>
        <x:v>7</x:v>
      </x:c>
      <x:c r="H68" s="111" t="n">
        <x:f>IFERROR(VLOOKUP($A68,'Mike FLEX'!$A$6:$N$278,8,FALSE),"")</x:f>
        <x:v>13</x:v>
      </x:c>
      <x:c r="I68" s="111" t="n">
        <x:f>IFERROR(VLOOKUP($A68,'Mike FLEX'!$A$6:$N$278,9,FALSE),"")</x:f>
        <x:v>0</x:v>
      </x:c>
      <x:c r="J68" s="111" t="n">
        <x:f>IFERROR(VLOOKUP($A68,'Mike FLEX'!$A$6:$N$278,10,FALSE),"")</x:f>
        <x:v>77</x:v>
      </x:c>
      <x:c r="K68" s="111" t="n">
        <x:f>IFERROR(VLOOKUP($A68,'Mike FLEX'!$A$6:$N$278,11,FALSE),"")</x:f>
        <x:v>795</x:v>
      </x:c>
      <x:c r="L68" s="111" t="n">
        <x:f>IFERROR(VLOOKUP($A68,'Mike FLEX'!$A$6:$N$278,12,FALSE),"")</x:f>
        <x:v>6</x:v>
      </x:c>
      <x:c r="M68" s="111" t="n">
        <x:f>IFERROR(VLOOKUP($A68,'Mike FLEX'!$A$6:$N$278,13,FALSE),"")</x:f>
        <x:v>1</x:v>
      </x:c>
      <x:c r="N68" s="109" t="n">
        <x:f>IFERROR(VLOOKUP($A68,'Andy FLEX'!$A$6:$N$278,5,FALSE),"")</x:f>
        <x:v>74</x:v>
      </x:c>
      <x:c r="O68" s="110" t="n">
        <x:f>IFERROR(VLOOKUP($A68,'Andy FLEX'!$A$6:$N$278,6,FALSE),"")</x:f>
        <x:v>10.7</x:v>
      </x:c>
      <x:c r="P68" s="111" t="n">
        <x:f>IFERROR(VLOOKUP($A68,'Andy FLEX'!$A$6:$N$278,7,FALSE),"")</x:f>
        <x:v>5</x:v>
      </x:c>
      <x:c r="Q68" s="111" t="n">
        <x:f>IFERROR(VLOOKUP($A68,'Andy FLEX'!$A$6:$N$278,8,FALSE),"")</x:f>
        <x:v>10</x:v>
      </x:c>
      <x:c r="R68" s="111" t="n">
        <x:f>IFERROR(VLOOKUP($A68,'Andy FLEX'!$A$6:$N$278,9,FALSE),"")</x:f>
        <x:v>1</x:v>
      </x:c>
      <x:c r="S68" s="111" t="n">
        <x:f>IFERROR(VLOOKUP($A68,'Andy FLEX'!$A$6:$N$278,10,FALSE),"")</x:f>
        <x:v>73</x:v>
      </x:c>
      <x:c r="T68" s="111" t="n">
        <x:f>IFERROR(VLOOKUP($A68,'Andy FLEX'!$A$6:$N$278,11,FALSE),"")</x:f>
        <x:v>714</x:v>
      </x:c>
      <x:c r="U68" s="111" t="n">
        <x:f>IFERROR(VLOOKUP($A68,'Andy FLEX'!$A$6:$N$278,12,FALSE),"")</x:f>
        <x:v>6</x:v>
      </x:c>
      <x:c r="V68" s="111" t="n">
        <x:f>IFERROR(VLOOKUP($A68,'Andy FLEX'!$A$6:$N$278,13,FALSE),"")</x:f>
        <x:v>1</x:v>
      </x:c>
      <x:c r="W68" s="109" t="n">
        <x:f>IFERROR(VLOOKUP($A68,'Jason FLEX'!$A$6:$N$268,5,FALSE),"")</x:f>
        <x:v>47</x:v>
      </x:c>
      <x:c r="X68" s="110" t="n">
        <x:f>IFERROR(VLOOKUP($A68,'Jason FLEX'!$A$6:$N$268,6,FALSE),"")</x:f>
        <x:v>13.3</x:v>
      </x:c>
      <x:c r="Y68" s="111" t="n">
        <x:f>IFERROR(VLOOKUP($A68,'Jason FLEX'!$A$6:$N$268,7,FALSE),"")</x:f>
        <x:v>0</x:v>
      </x:c>
      <x:c r="Z68" s="111" t="n">
        <x:f>IFERROR(VLOOKUP($A68,'Jason FLEX'!$A$6:$N$268,8,FALSE),"")</x:f>
        <x:v>0</x:v>
      </x:c>
      <x:c r="AA68" s="111" t="n">
        <x:f>IFERROR(VLOOKUP($A68,'Jason FLEX'!$A$6:$N$268,9,FALSE),"")</x:f>
        <x:v>0</x:v>
      </x:c>
      <x:c r="AB68" s="111" t="n">
        <x:f>IFERROR(VLOOKUP($A68,'Jason FLEX'!$A$6:$N$268,10,FALSE),"")</x:f>
        <x:v>81</x:v>
      </x:c>
      <x:c r="AC68" s="111" t="n">
        <x:f>IFERROR(VLOOKUP($A68,'Jason FLEX'!$A$6:$N$268,11,FALSE),"")</x:f>
        <x:v>873</x:v>
      </x:c>
      <x:c r="AD68" s="111" t="n">
        <x:f>IFERROR(VLOOKUP($A68,'Jason FLEX'!$A$6:$N$268,12,FALSE),"")</x:f>
        <x:v>10</x:v>
      </x:c>
      <x:c r="AE68" s="111" t="n">
        <x:f>IFERROR(VLOOKUP($A68,'Jason FLEX'!$A$6:$N$268,13,FALSE),"")</x:f>
        <x:v>1</x:v>
      </x:c>
      <x:c r="AF68" s="110" t="n">
        <x:f>IF(COUNT(E68,N68,W68)=0,"",AVERAGE(E68,N68,W68))</x:f>
        <x:v>64</x:v>
      </x:c>
      <x:c r="AG68" s="110" t="n">
        <x:f>IF(COUNT(E68,N68,W68)=0,"",MAX(E68,N68,W68)-MIN(E68,N68,W68))</x:f>
        <x:v>27</x:v>
      </x:c>
      <x:c r="AH68" s="110" t="n">
        <x:f>IF(COUNT(F68,O68,X68)=0,"",AVERAGE(F68,O68,X68))</x:f>
        <x:v>11.833333333333334</x:v>
      </x:c>
      <x:c r="AI68" s="112" t="n">
        <x:f>IF(COUNT(G68,P68,Y68)=0,"",AVERAGE(G68,P68,Y68))</x:f>
        <x:v>4</x:v>
      </x:c>
      <x:c r="AJ68" s="112" t="n">
        <x:f>IF(COUNT(H68,Q68,Z68)=0,"",AVERAGE(H68,Q68,Z68))</x:f>
        <x:v>7.666666666666667</x:v>
      </x:c>
      <x:c r="AK68" s="112" t="n">
        <x:f>IF(COUNT(I68,R68,AA68)=0,"",AVERAGE(I68,R68,AA68))</x:f>
        <x:v>0.3333333333333333</x:v>
      </x:c>
      <x:c r="AL68" s="112" t="n">
        <x:f>IF(COUNT(J68,S68,AB68)=0,"",AVERAGE(J68,S68,AB68))</x:f>
        <x:v>77</x:v>
      </x:c>
      <x:c r="AM68" s="112" t="n">
        <x:f>IF(COUNT(K68,T68,AC68)=0,"",AVERAGE(K68,T68,AC68))</x:f>
        <x:v>794</x:v>
      </x:c>
      <x:c r="AN68" s="112" t="n">
        <x:f>IF(COUNT(L68,U68,AD68)=0,"",AVERAGE(L68,U68,AD68))</x:f>
        <x:v>7.333333333333333</x:v>
      </x:c>
      <x:c r="AO68" s="112" t="n">
        <x:f>IF(COUNT(M68,V68,AE68)=0,"",AVERAGE(M68,V68,AE68))</x:f>
        <x:v>1</x:v>
      </x:c>
    </x:row>
    <x:row r="69">
      <x:c r="A69" s="107" t="str">
        <x:v>TreVeyon Henderson</x:v>
      </x:c>
      <x:c r="B69" s="108" t="str">
        <x:v>RB</x:v>
      </x:c>
      <x:c r="C69" s="108" t="str">
        <x:v>NE</x:v>
      </x:c>
      <x:c r="D69" s="109" t="n">
        <x:v>11</x:v>
      </x:c>
      <x:c r="E69" s="109" t="n">
        <x:f>IFERROR(VLOOKUP($A69,'Mike FLEX'!$A$6:$N$278,5,FALSE),"")</x:f>
        <x:v>69</x:v>
      </x:c>
      <x:c r="F69" s="110" t="n">
        <x:f>IFERROR(VLOOKUP($A69,'Mike FLEX'!$A$6:$N$278,6,FALSE),"")</x:f>
        <x:v>11.5</x:v>
      </x:c>
      <x:c r="G69" s="111" t="n">
        <x:f>IFERROR(VLOOKUP($A69,'Mike FLEX'!$A$6:$N$278,7,FALSE),"")</x:f>
        <x:v>188</x:v>
      </x:c>
      <x:c r="H69" s="111" t="n">
        <x:f>IFERROR(VLOOKUP($A69,'Mike FLEX'!$A$6:$N$278,8,FALSE),"")</x:f>
        <x:v>921</x:v>
      </x:c>
      <x:c r="I69" s="111" t="n">
        <x:f>IFERROR(VLOOKUP($A69,'Mike FLEX'!$A$6:$N$278,9,FALSE),"")</x:f>
        <x:v>8</x:v>
      </x:c>
      <x:c r="J69" s="111" t="n">
        <x:f>IFERROR(VLOOKUP($A69,'Mike FLEX'!$A$6:$N$278,10,FALSE),"")</x:f>
        <x:v>32</x:v>
      </x:c>
      <x:c r="K69" s="111" t="n">
        <x:f>IFERROR(VLOOKUP($A69,'Mike FLEX'!$A$6:$N$278,11,FALSE),"")</x:f>
        <x:v>203</x:v>
      </x:c>
      <x:c r="L69" s="111" t="n">
        <x:f>IFERROR(VLOOKUP($A69,'Mike FLEX'!$A$6:$N$278,12,FALSE),"")</x:f>
        <x:v>1</x:v>
      </x:c>
      <x:c r="M69" s="111" t="n">
        <x:f>IFERROR(VLOOKUP($A69,'Mike FLEX'!$A$6:$N$278,13,FALSE),"")</x:f>
        <x:v>1</x:v>
      </x:c>
      <x:c r="N69" s="109" t="n">
        <x:f>IFERROR(VLOOKUP($A69,'Andy FLEX'!$A$6:$N$278,5,FALSE),"")</x:f>
        <x:v>76</x:v>
      </x:c>
      <x:c r="O69" s="110" t="n">
        <x:f>IFERROR(VLOOKUP($A69,'Andy FLEX'!$A$6:$N$278,6,FALSE),"")</x:f>
        <x:v>10.5</x:v>
      </x:c>
      <x:c r="P69" s="111" t="n">
        <x:f>IFERROR(VLOOKUP($A69,'Andy FLEX'!$A$6:$N$278,7,FALSE),"")</x:f>
        <x:v>166</x:v>
      </x:c>
      <x:c r="Q69" s="111" t="n">
        <x:f>IFERROR(VLOOKUP($A69,'Andy FLEX'!$A$6:$N$278,8,FALSE),"")</x:f>
        <x:v>854</x:v>
      </x:c>
      <x:c r="R69" s="111" t="n">
        <x:f>IFERROR(VLOOKUP($A69,'Andy FLEX'!$A$6:$N$278,9,FALSE),"")</x:f>
        <x:v>6</x:v>
      </x:c>
      <x:c r="S69" s="111" t="n">
        <x:f>IFERROR(VLOOKUP($A69,'Andy FLEX'!$A$6:$N$278,10,FALSE),"")</x:f>
        <x:v>28</x:v>
      </x:c>
      <x:c r="T69" s="111" t="n">
        <x:f>IFERROR(VLOOKUP($A69,'Andy FLEX'!$A$6:$N$278,11,FALSE),"")</x:f>
        <x:v>231</x:v>
      </x:c>
      <x:c r="U69" s="111" t="n">
        <x:f>IFERROR(VLOOKUP($A69,'Andy FLEX'!$A$6:$N$278,12,FALSE),"")</x:f>
        <x:v>2</x:v>
      </x:c>
      <x:c r="V69" s="111" t="n">
        <x:f>IFERROR(VLOOKUP($A69,'Andy FLEX'!$A$6:$N$278,13,FALSE),"")</x:f>
        <x:v>2</x:v>
      </x:c>
      <x:c r="W69" s="109" t="n">
        <x:f>IFERROR(VLOOKUP($A69,'Jason FLEX'!$A$6:$N$268,5,FALSE),"")</x:f>
        <x:v>56</x:v>
      </x:c>
      <x:c r="X69" s="110" t="n">
        <x:f>IFERROR(VLOOKUP($A69,'Jason FLEX'!$A$6:$N$268,6,FALSE),"")</x:f>
        <x:v>12.5</x:v>
      </x:c>
      <x:c r="Y69" s="111" t="n">
        <x:f>IFERROR(VLOOKUP($A69,'Jason FLEX'!$A$6:$N$268,7,FALSE),"")</x:f>
        <x:v>190</x:v>
      </x:c>
      <x:c r="Z69" s="111" t="n">
        <x:f>IFERROR(VLOOKUP($A69,'Jason FLEX'!$A$6:$N$268,8,FALSE),"")</x:f>
        <x:v>998</x:v>
      </x:c>
      <x:c r="AA69" s="111" t="n">
        <x:f>IFERROR(VLOOKUP($A69,'Jason FLEX'!$A$6:$N$268,9,FALSE),"")</x:f>
        <x:v>7</x:v>
      </x:c>
      <x:c r="AB69" s="111" t="n">
        <x:f>IFERROR(VLOOKUP($A69,'Jason FLEX'!$A$6:$N$268,10,FALSE),"")</x:f>
        <x:v>32</x:v>
      </x:c>
      <x:c r="AC69" s="111" t="n">
        <x:f>IFERROR(VLOOKUP($A69,'Jason FLEX'!$A$6:$N$268,11,FALSE),"")</x:f>
        <x:v>282</x:v>
      </x:c>
      <x:c r="AD69" s="111" t="n">
        <x:f>IFERROR(VLOOKUP($A69,'Jason FLEX'!$A$6:$N$268,12,FALSE),"")</x:f>
        <x:v>2</x:v>
      </x:c>
      <x:c r="AE69" s="111" t="n">
        <x:f>IFERROR(VLOOKUP($A69,'Jason FLEX'!$A$6:$N$268,13,FALSE),"")</x:f>
        <x:v>1</x:v>
      </x:c>
      <x:c r="AF69" s="110" t="n">
        <x:f>IF(COUNT(E69,N69,W69)=0,"",AVERAGE(E69,N69,W69))</x:f>
        <x:v>67</x:v>
      </x:c>
      <x:c r="AG69" s="110" t="n">
        <x:f>IF(COUNT(E69,N69,W69)=0,"",MAX(E69,N69,W69)-MIN(E69,N69,W69))</x:f>
        <x:v>20</x:v>
      </x:c>
      <x:c r="AH69" s="110" t="n">
        <x:f>IF(COUNT(F69,O69,X69)=0,"",AVERAGE(F69,O69,X69))</x:f>
        <x:v>11.5</x:v>
      </x:c>
      <x:c r="AI69" s="112" t="n">
        <x:f>IF(COUNT(G69,P69,Y69)=0,"",AVERAGE(G69,P69,Y69))</x:f>
        <x:v>181.33333333333334</x:v>
      </x:c>
      <x:c r="AJ69" s="112" t="n">
        <x:f>IF(COUNT(H69,Q69,Z69)=0,"",AVERAGE(H69,Q69,Z69))</x:f>
        <x:v>924.3333333333334</x:v>
      </x:c>
      <x:c r="AK69" s="112" t="n">
        <x:f>IF(COUNT(I69,R69,AA69)=0,"",AVERAGE(I69,R69,AA69))</x:f>
        <x:v>7</x:v>
      </x:c>
      <x:c r="AL69" s="112" t="n">
        <x:f>IF(COUNT(J69,S69,AB69)=0,"",AVERAGE(J69,S69,AB69))</x:f>
        <x:v>30.666666666666668</x:v>
      </x:c>
      <x:c r="AM69" s="112" t="n">
        <x:f>IF(COUNT(K69,T69,AC69)=0,"",AVERAGE(K69,T69,AC69))</x:f>
        <x:v>238.66666666666666</x:v>
      </x:c>
      <x:c r="AN69" s="112" t="n">
        <x:f>IF(COUNT(L69,U69,AD69)=0,"",AVERAGE(L69,U69,AD69))</x:f>
        <x:v>1.6666666666666667</x:v>
      </x:c>
      <x:c r="AO69" s="112" t="n">
        <x:f>IF(COUNT(M69,V69,AE69)=0,"",AVERAGE(M69,V69,AE69))</x:f>
        <x:v>1.3333333333333333</x:v>
      </x:c>
    </x:row>
    <x:row r="70">
      <x:c r="A70" s="107" t="str">
        <x:v>David Montgomery</x:v>
      </x:c>
      <x:c r="B70" s="108" t="str">
        <x:v>RB</x:v>
      </x:c>
      <x:c r="C70" s="108" t="str">
        <x:v>HOU</x:v>
      </x:c>
      <x:c r="D70" s="109" t="n">
        <x:v>8</x:v>
      </x:c>
      <x:c r="E70" s="109" t="n">
        <x:f>IFERROR(VLOOKUP($A70,'Mike FLEX'!$A$6:$N$278,5,FALSE),"")</x:f>
        <x:v>53</x:v>
      </x:c>
      <x:c r="F70" s="110" t="n">
        <x:f>IFERROR(VLOOKUP($A70,'Mike FLEX'!$A$6:$N$278,6,FALSE),"")</x:f>
        <x:v>12.5</x:v>
      </x:c>
      <x:c r="G70" s="111" t="n">
        <x:f>IFERROR(VLOOKUP($A70,'Mike FLEX'!$A$6:$N$278,7,FALSE),"")</x:f>
        <x:v>231</x:v>
      </x:c>
      <x:c r="H70" s="111" t="n">
        <x:f>IFERROR(VLOOKUP($A70,'Mike FLEX'!$A$6:$N$278,8,FALSE),"")</x:f>
        <x:v>1014</x:v>
      </x:c>
      <x:c r="I70" s="111" t="n">
        <x:f>IFERROR(VLOOKUP($A70,'Mike FLEX'!$A$6:$N$278,9,FALSE),"")</x:f>
        <x:v>7</x:v>
      </x:c>
      <x:c r="J70" s="111" t="n">
        <x:f>IFERROR(VLOOKUP($A70,'Mike FLEX'!$A$6:$N$278,10,FALSE),"")</x:f>
        <x:v>36</x:v>
      </x:c>
      <x:c r="K70" s="111" t="n">
        <x:f>IFERROR(VLOOKUP($A70,'Mike FLEX'!$A$6:$N$278,11,FALSE),"")</x:f>
        <x:v>303</x:v>
      </x:c>
      <x:c r="L70" s="111" t="n">
        <x:f>IFERROR(VLOOKUP($A70,'Mike FLEX'!$A$6:$N$278,12,FALSE),"")</x:f>
        <x:v>1</x:v>
      </x:c>
      <x:c r="M70" s="111" t="n">
        <x:f>IFERROR(VLOOKUP($A70,'Mike FLEX'!$A$6:$N$278,13,FALSE),"")</x:f>
        <x:v>2</x:v>
      </x:c>
      <x:c r="N70" s="109" t="n">
        <x:f>IFERROR(VLOOKUP($A70,'Andy FLEX'!$A$6:$N$278,5,FALSE),"")</x:f>
        <x:v>81</x:v>
      </x:c>
      <x:c r="O70" s="110" t="n">
        <x:f>IFERROR(VLOOKUP($A70,'Andy FLEX'!$A$6:$N$278,6,FALSE),"")</x:f>
        <x:v>10.3</x:v>
      </x:c>
      <x:c r="P70" s="111" t="n">
        <x:f>IFERROR(VLOOKUP($A70,'Andy FLEX'!$A$6:$N$278,7,FALSE),"")</x:f>
        <x:v>199</x:v>
      </x:c>
      <x:c r="Q70" s="111" t="n">
        <x:f>IFERROR(VLOOKUP($A70,'Andy FLEX'!$A$6:$N$278,8,FALSE),"")</x:f>
        <x:v>848</x:v>
      </x:c>
      <x:c r="R70" s="111" t="n">
        <x:f>IFERROR(VLOOKUP($A70,'Andy FLEX'!$A$6:$N$278,9,FALSE),"")</x:f>
        <x:v>7</x:v>
      </x:c>
      <x:c r="S70" s="111" t="n">
        <x:f>IFERROR(VLOOKUP($A70,'Andy FLEX'!$A$6:$N$278,10,FALSE),"")</x:f>
        <x:v>21</x:v>
      </x:c>
      <x:c r="T70" s="111" t="n">
        <x:f>IFERROR(VLOOKUP($A70,'Andy FLEX'!$A$6:$N$278,11,FALSE),"")</x:f>
        <x:v>192</x:v>
      </x:c>
      <x:c r="U70" s="111" t="n">
        <x:f>IFERROR(VLOOKUP($A70,'Andy FLEX'!$A$6:$N$278,12,FALSE),"")</x:f>
        <x:v>2</x:v>
      </x:c>
      <x:c r="V70" s="111" t="n">
        <x:f>IFERROR(VLOOKUP($A70,'Andy FLEX'!$A$6:$N$278,13,FALSE),"")</x:f>
        <x:v>1</x:v>
      </x:c>
      <x:c r="W70" s="109" t="n">
        <x:f>IFERROR(VLOOKUP($A70,'Jason FLEX'!$A$6:$N$268,5,FALSE),"")</x:f>
        <x:v>69</x:v>
      </x:c>
      <x:c r="X70" s="110" t="n">
        <x:f>IFERROR(VLOOKUP($A70,'Jason FLEX'!$A$6:$N$268,6,FALSE),"")</x:f>
        <x:v>11.5</x:v>
      </x:c>
      <x:c r="Y70" s="111" t="n">
        <x:f>IFERROR(VLOOKUP($A70,'Jason FLEX'!$A$6:$N$268,7,FALSE),"")</x:f>
        <x:v>240</x:v>
      </x:c>
      <x:c r="Z70" s="111" t="n">
        <x:f>IFERROR(VLOOKUP($A70,'Jason FLEX'!$A$6:$N$268,8,FALSE),"")</x:f>
        <x:v>982</x:v>
      </x:c>
      <x:c r="AA70" s="111" t="n">
        <x:f>IFERROR(VLOOKUP($A70,'Jason FLEX'!$A$6:$N$268,9,FALSE),"")</x:f>
        <x:v>8</x:v>
      </x:c>
      <x:c r="AB70" s="111" t="n">
        <x:f>IFERROR(VLOOKUP($A70,'Jason FLEX'!$A$6:$N$268,10,FALSE),"")</x:f>
        <x:v>29</x:v>
      </x:c>
      <x:c r="AC70" s="111" t="n">
        <x:f>IFERROR(VLOOKUP($A70,'Jason FLEX'!$A$6:$N$268,11,FALSE),"")</x:f>
        <x:v>217</x:v>
      </x:c>
      <x:c r="AD70" s="111" t="n">
        <x:f>IFERROR(VLOOKUP($A70,'Jason FLEX'!$A$6:$N$268,12,FALSE),"")</x:f>
        <x:v>0</x:v>
      </x:c>
      <x:c r="AE70" s="111" t="n">
        <x:f>IFERROR(VLOOKUP($A70,'Jason FLEX'!$A$6:$N$268,13,FALSE),"")</x:f>
        <x:v>1</x:v>
      </x:c>
      <x:c r="AF70" s="110" t="n">
        <x:f>IF(COUNT(E70,N70,W70)=0,"",AVERAGE(E70,N70,W70))</x:f>
        <x:v>67.66666666666667</x:v>
      </x:c>
      <x:c r="AG70" s="110" t="n">
        <x:f>IF(COUNT(E70,N70,W70)=0,"",MAX(E70,N70,W70)-MIN(E70,N70,W70))</x:f>
        <x:v>28</x:v>
      </x:c>
      <x:c r="AH70" s="110" t="n">
        <x:f>IF(COUNT(F70,O70,X70)=0,"",AVERAGE(F70,O70,X70))</x:f>
        <x:v>11.433333333333332</x:v>
      </x:c>
      <x:c r="AI70" s="112" t="n">
        <x:f>IF(COUNT(G70,P70,Y70)=0,"",AVERAGE(G70,P70,Y70))</x:f>
        <x:v>223.33333333333334</x:v>
      </x:c>
      <x:c r="AJ70" s="112" t="n">
        <x:f>IF(COUNT(H70,Q70,Z70)=0,"",AVERAGE(H70,Q70,Z70))</x:f>
        <x:v>948</x:v>
      </x:c>
      <x:c r="AK70" s="112" t="n">
        <x:f>IF(COUNT(I70,R70,AA70)=0,"",AVERAGE(I70,R70,AA70))</x:f>
        <x:v>7.333333333333333</x:v>
      </x:c>
      <x:c r="AL70" s="112" t="n">
        <x:f>IF(COUNT(J70,S70,AB70)=0,"",AVERAGE(J70,S70,AB70))</x:f>
        <x:v>28.666666666666668</x:v>
      </x:c>
      <x:c r="AM70" s="112" t="n">
        <x:f>IF(COUNT(K70,T70,AC70)=0,"",AVERAGE(K70,T70,AC70))</x:f>
        <x:v>237.33333333333334</x:v>
      </x:c>
      <x:c r="AN70" s="112" t="n">
        <x:f>IF(COUNT(L70,U70,AD70)=0,"",AVERAGE(L70,U70,AD70))</x:f>
        <x:v>1</x:v>
      </x:c>
      <x:c r="AO70" s="112" t="n">
        <x:f>IF(COUNT(M70,V70,AE70)=0,"",AVERAGE(M70,V70,AE70))</x:f>
        <x:v>1.3333333333333333</x:v>
      </x:c>
    </x:row>
    <x:row r="71">
      <x:c r="A71" s="107" t="str">
        <x:v>Quentin Johnston</x:v>
      </x:c>
      <x:c r="B71" s="108" t="str">
        <x:v>WR</x:v>
      </x:c>
      <x:c r="C71" s="108" t="str">
        <x:v>LAC</x:v>
      </x:c>
      <x:c r="D71" s="109" t="n">
        <x:v>7</x:v>
      </x:c>
      <x:c r="E71" s="109" t="n">
        <x:f>IFERROR(VLOOKUP($A71,'Mike FLEX'!$A$6:$N$278,5,FALSE),"")</x:f>
        <x:v>54</x:v>
      </x:c>
      <x:c r="F71" s="110" t="n">
        <x:f>IFERROR(VLOOKUP($A71,'Mike FLEX'!$A$6:$N$278,6,FALSE),"")</x:f>
        <x:v>12.4</x:v>
      </x:c>
      <x:c r="G71" s="111" t="n">
        <x:f>IFERROR(VLOOKUP($A71,'Mike FLEX'!$A$6:$N$278,7,FALSE),"")</x:f>
        <x:v>2</x:v>
      </x:c>
      <x:c r="H71" s="111" t="n">
        <x:f>IFERROR(VLOOKUP($A71,'Mike FLEX'!$A$6:$N$278,8,FALSE),"")</x:f>
        <x:v>7</x:v>
      </x:c>
      <x:c r="I71" s="111" t="n">
        <x:f>IFERROR(VLOOKUP($A71,'Mike FLEX'!$A$6:$N$278,9,FALSE),"")</x:f>
        <x:v>0</x:v>
      </x:c>
      <x:c r="J71" s="111" t="n">
        <x:f>IFERROR(VLOOKUP($A71,'Mike FLEX'!$A$6:$N$278,10,FALSE),"")</x:f>
        <x:v>70</x:v>
      </x:c>
      <x:c r="K71" s="111" t="n">
        <x:f>IFERROR(VLOOKUP($A71,'Mike FLEX'!$A$6:$N$278,11,FALSE),"")</x:f>
        <x:v>932</x:v>
      </x:c>
      <x:c r="L71" s="111" t="n">
        <x:f>IFERROR(VLOOKUP($A71,'Mike FLEX'!$A$6:$N$278,12,FALSE),"")</x:f>
        <x:v>8</x:v>
      </x:c>
      <x:c r="M71" s="111" t="n">
        <x:f>IFERROR(VLOOKUP($A71,'Mike FLEX'!$A$6:$N$278,13,FALSE),"")</x:f>
        <x:v>0</x:v>
      </x:c>
      <x:c r="N71" s="109" t="n">
        <x:f>IFERROR(VLOOKUP($A71,'Andy FLEX'!$A$6:$N$278,5,FALSE),"")</x:f>
        <x:v>64</x:v>
      </x:c>
      <x:c r="O71" s="110" t="n">
        <x:f>IFERROR(VLOOKUP($A71,'Andy FLEX'!$A$6:$N$278,6,FALSE),"")</x:f>
        <x:v>11.6</x:v>
      </x:c>
      <x:c r="P71" s="111" t="n">
        <x:f>IFERROR(VLOOKUP($A71,'Andy FLEX'!$A$6:$N$278,7,FALSE),"")</x:f>
        <x:v>5</x:v>
      </x:c>
      <x:c r="Q71" s="111" t="n">
        <x:f>IFERROR(VLOOKUP($A71,'Andy FLEX'!$A$6:$N$278,8,FALSE),"")</x:f>
        <x:v>30</x:v>
      </x:c>
      <x:c r="R71" s="111" t="n">
        <x:f>IFERROR(VLOOKUP($A71,'Andy FLEX'!$A$6:$N$278,9,FALSE),"")</x:f>
        <x:v>0</x:v>
      </x:c>
      <x:c r="S71" s="111" t="n">
        <x:f>IFERROR(VLOOKUP($A71,'Andy FLEX'!$A$6:$N$278,10,FALSE),"")</x:f>
        <x:v>65</x:v>
      </x:c>
      <x:c r="T71" s="111" t="n">
        <x:f>IFERROR(VLOOKUP($A71,'Andy FLEX'!$A$6:$N$278,11,FALSE),"")</x:f>
        <x:v>900</x:v>
      </x:c>
      <x:c r="U71" s="111" t="n">
        <x:f>IFERROR(VLOOKUP($A71,'Andy FLEX'!$A$6:$N$278,12,FALSE),"")</x:f>
        <x:v>7</x:v>
      </x:c>
      <x:c r="V71" s="111" t="n">
        <x:f>IFERROR(VLOOKUP($A71,'Andy FLEX'!$A$6:$N$278,13,FALSE),"")</x:f>
        <x:v>1</x:v>
      </x:c>
      <x:c r="W71" s="109" t="n">
        <x:f>IFERROR(VLOOKUP($A71,'Jason FLEX'!$A$6:$N$268,5,FALSE),"")</x:f>
        <x:v>85</x:v>
      </x:c>
      <x:c r="X71" s="110" t="n">
        <x:f>IFERROR(VLOOKUP($A71,'Jason FLEX'!$A$6:$N$268,6,FALSE),"")</x:f>
        <x:v>10.2</x:v>
      </x:c>
      <x:c r="Y71" s="111" t="n">
        <x:f>IFERROR(VLOOKUP($A71,'Jason FLEX'!$A$6:$N$268,7,FALSE),"")</x:f>
        <x:v>2</x:v>
      </x:c>
      <x:c r="Z71" s="111" t="n">
        <x:f>IFERROR(VLOOKUP($A71,'Jason FLEX'!$A$6:$N$268,8,FALSE),"")</x:f>
        <x:v>10</x:v>
      </x:c>
      <x:c r="AA71" s="111" t="n">
        <x:f>IFERROR(VLOOKUP($A71,'Jason FLEX'!$A$6:$N$268,9,FALSE),"")</x:f>
        <x:v>0</x:v>
      </x:c>
      <x:c r="AB71" s="111" t="n">
        <x:f>IFERROR(VLOOKUP($A71,'Jason FLEX'!$A$6:$N$268,10,FALSE),"")</x:f>
        <x:v>52</x:v>
      </x:c>
      <x:c r="AC71" s="111" t="n">
        <x:f>IFERROR(VLOOKUP($A71,'Jason FLEX'!$A$6:$N$268,11,FALSE),"")</x:f>
        <x:v>744</x:v>
      </x:c>
      <x:c r="AD71" s="111" t="n">
        <x:f>IFERROR(VLOOKUP($A71,'Jason FLEX'!$A$6:$N$268,12,FALSE),"")</x:f>
        <x:v>8</x:v>
      </x:c>
      <x:c r="AE71" s="111" t="n">
        <x:f>IFERROR(VLOOKUP($A71,'Jason FLEX'!$A$6:$N$268,13,FALSE),"")</x:f>
        <x:v>1</x:v>
      </x:c>
      <x:c r="AF71" s="110" t="n">
        <x:f>IF(COUNT(E71,N71,W71)=0,"",AVERAGE(E71,N71,W71))</x:f>
        <x:v>67.66666666666667</x:v>
      </x:c>
      <x:c r="AG71" s="110" t="n">
        <x:f>IF(COUNT(E71,N71,W71)=0,"",MAX(E71,N71,W71)-MIN(E71,N71,W71))</x:f>
        <x:v>31</x:v>
      </x:c>
      <x:c r="AH71" s="110" t="n">
        <x:f>IF(COUNT(F71,O71,X71)=0,"",AVERAGE(F71,O71,X71))</x:f>
        <x:v>11.4</x:v>
      </x:c>
      <x:c r="AI71" s="112" t="n">
        <x:f>IF(COUNT(G71,P71,Y71)=0,"",AVERAGE(G71,P71,Y71))</x:f>
        <x:v>3</x:v>
      </x:c>
      <x:c r="AJ71" s="112" t="n">
        <x:f>IF(COUNT(H71,Q71,Z71)=0,"",AVERAGE(H71,Q71,Z71))</x:f>
        <x:v>15.666666666666666</x:v>
      </x:c>
      <x:c r="AK71" s="112" t="n">
        <x:f>IF(COUNT(I71,R71,AA71)=0,"",AVERAGE(I71,R71,AA71))</x:f>
        <x:v>0</x:v>
      </x:c>
      <x:c r="AL71" s="112" t="n">
        <x:f>IF(COUNT(J71,S71,AB71)=0,"",AVERAGE(J71,S71,AB71))</x:f>
        <x:v>62.333333333333336</x:v>
      </x:c>
      <x:c r="AM71" s="112" t="n">
        <x:f>IF(COUNT(K71,T71,AC71)=0,"",AVERAGE(K71,T71,AC71))</x:f>
        <x:v>858.6666666666666</x:v>
      </x:c>
      <x:c r="AN71" s="112" t="n">
        <x:f>IF(COUNT(L71,U71,AD71)=0,"",AVERAGE(L71,U71,AD71))</x:f>
        <x:v>7.666666666666667</x:v>
      </x:c>
      <x:c r="AO71" s="112" t="n">
        <x:f>IF(COUNT(M71,V71,AE71)=0,"",AVERAGE(M71,V71,AE71))</x:f>
        <x:v>0.6666666666666666</x:v>
      </x:c>
    </x:row>
    <x:row r="72">
      <x:c r="A72" s="107" t="str">
        <x:v>Jadarian Price</x:v>
      </x:c>
      <x:c r="B72" s="108" t="str">
        <x:v>RB</x:v>
      </x:c>
      <x:c r="C72" s="108" t="str">
        <x:v>SEA</x:v>
      </x:c>
      <x:c r="D72" s="109" t="n">
        <x:v>11</x:v>
      </x:c>
      <x:c r="E72" s="109" t="n">
        <x:f>IFERROR(VLOOKUP($A72,'Mike FLEX'!$A$6:$N$278,5,FALSE),"")</x:f>
        <x:v>82</x:v>
      </x:c>
      <x:c r="F72" s="110" t="n">
        <x:f>IFERROR(VLOOKUP($A72,'Mike FLEX'!$A$6:$N$278,6,FALSE),"")</x:f>
        <x:v>10.4</x:v>
      </x:c>
      <x:c r="G72" s="111" t="n">
        <x:f>IFERROR(VLOOKUP($A72,'Mike FLEX'!$A$6:$N$278,7,FALSE),"")</x:f>
        <x:v>185</x:v>
      </x:c>
      <x:c r="H72" s="111" t="n">
        <x:f>IFERROR(VLOOKUP($A72,'Mike FLEX'!$A$6:$N$278,8,FALSE),"")</x:f>
        <x:v>795</x:v>
      </x:c>
      <x:c r="I72" s="111" t="n">
        <x:f>IFERROR(VLOOKUP($A72,'Mike FLEX'!$A$6:$N$278,9,FALSE),"")</x:f>
        <x:v>6</x:v>
      </x:c>
      <x:c r="J72" s="111" t="n">
        <x:f>IFERROR(VLOOKUP($A72,'Mike FLEX'!$A$6:$N$278,10,FALSE),"")</x:f>
        <x:v>34</x:v>
      </x:c>
      <x:c r="K72" s="111" t="n">
        <x:f>IFERROR(VLOOKUP($A72,'Mike FLEX'!$A$6:$N$278,11,FALSE),"")</x:f>
        <x:v>238</x:v>
      </x:c>
      <x:c r="L72" s="111" t="n">
        <x:f>IFERROR(VLOOKUP($A72,'Mike FLEX'!$A$6:$N$278,12,FALSE),"")</x:f>
        <x:v>1</x:v>
      </x:c>
      <x:c r="M72" s="111" t="n">
        <x:f>IFERROR(VLOOKUP($A72,'Mike FLEX'!$A$6:$N$278,13,FALSE),"")</x:f>
        <x:v>0</x:v>
      </x:c>
      <x:c r="N72" s="109" t="n">
        <x:f>IFERROR(VLOOKUP($A72,'Andy FLEX'!$A$6:$N$278,5,FALSE),"")</x:f>
        <x:v>66</x:v>
      </x:c>
      <x:c r="O72" s="110" t="n">
        <x:f>IFERROR(VLOOKUP($A72,'Andy FLEX'!$A$6:$N$278,6,FALSE),"")</x:f>
        <x:v>11.6</x:v>
      </x:c>
      <x:c r="P72" s="111" t="n">
        <x:f>IFERROR(VLOOKUP($A72,'Andy FLEX'!$A$6:$N$278,7,FALSE),"")</x:f>
        <x:v>239</x:v>
      </x:c>
      <x:c r="Q72" s="111" t="n">
        <x:f>IFERROR(VLOOKUP($A72,'Andy FLEX'!$A$6:$N$278,8,FALSE),"")</x:f>
        <x:v>975</x:v>
      </x:c>
      <x:c r="R72" s="111" t="n">
        <x:f>IFERROR(VLOOKUP($A72,'Andy FLEX'!$A$6:$N$278,9,FALSE),"")</x:f>
        <x:v>10</x:v>
      </x:c>
      <x:c r="S72" s="111" t="n">
        <x:f>IFERROR(VLOOKUP($A72,'Andy FLEX'!$A$6:$N$278,10,FALSE),"")</x:f>
        <x:v>16</x:v>
      </x:c>
      <x:c r="T72" s="111" t="n">
        <x:f>IFERROR(VLOOKUP($A72,'Andy FLEX'!$A$6:$N$278,11,FALSE),"")</x:f>
        <x:v>187</x:v>
      </x:c>
      <x:c r="U72" s="111" t="n">
        <x:f>IFERROR(VLOOKUP($A72,'Andy FLEX'!$A$6:$N$278,12,FALSE),"")</x:f>
        <x:v>2</x:v>
      </x:c>
      <x:c r="V72" s="111" t="n">
        <x:f>IFERROR(VLOOKUP($A72,'Andy FLEX'!$A$6:$N$278,13,FALSE),"")</x:f>
        <x:v>3</x:v>
      </x:c>
      <x:c r="W72" s="109" t="n">
        <x:f>IFERROR(VLOOKUP($A72,'Jason FLEX'!$A$6:$N$268,5,FALSE),"")</x:f>
        <x:v>58</x:v>
      </x:c>
      <x:c r="X72" s="110" t="n">
        <x:f>IFERROR(VLOOKUP($A72,'Jason FLEX'!$A$6:$N$268,6,FALSE),"")</x:f>
        <x:v>12.4</x:v>
      </x:c>
      <x:c r="Y72" s="111" t="n">
        <x:f>IFERROR(VLOOKUP($A72,'Jason FLEX'!$A$6:$N$268,7,FALSE),"")</x:f>
        <x:v>250</x:v>
      </x:c>
      <x:c r="Z72" s="111" t="n">
        <x:f>IFERROR(VLOOKUP($A72,'Jason FLEX'!$A$6:$N$268,8,FALSE),"")</x:f>
        <x:v>1100</x:v>
      </x:c>
      <x:c r="AA72" s="111" t="n">
        <x:f>IFERROR(VLOOKUP($A72,'Jason FLEX'!$A$6:$N$268,9,FALSE),"")</x:f>
        <x:v>8</x:v>
      </x:c>
      <x:c r="AB72" s="111" t="n">
        <x:f>IFERROR(VLOOKUP($A72,'Jason FLEX'!$A$6:$N$268,10,FALSE),"")</x:f>
        <x:v>30</x:v>
      </x:c>
      <x:c r="AC72" s="111" t="n">
        <x:f>IFERROR(VLOOKUP($A72,'Jason FLEX'!$A$6:$N$268,11,FALSE),"")</x:f>
        <x:v>195</x:v>
      </x:c>
      <x:c r="AD72" s="111" t="n">
        <x:f>IFERROR(VLOOKUP($A72,'Jason FLEX'!$A$6:$N$268,12,FALSE),"")</x:f>
        <x:v>0</x:v>
      </x:c>
      <x:c r="AE72" s="111" t="n">
        <x:f>IFERROR(VLOOKUP($A72,'Jason FLEX'!$A$6:$N$268,13,FALSE),"")</x:f>
        <x:v>1</x:v>
      </x:c>
      <x:c r="AF72" s="110" t="n">
        <x:f>IF(COUNT(E72,N72,W72)=0,"",AVERAGE(E72,N72,W72))</x:f>
        <x:v>68.66666666666667</x:v>
      </x:c>
      <x:c r="AG72" s="110" t="n">
        <x:f>IF(COUNT(E72,N72,W72)=0,"",MAX(E72,N72,W72)-MIN(E72,N72,W72))</x:f>
        <x:v>24</x:v>
      </x:c>
      <x:c r="AH72" s="110" t="n">
        <x:f>IF(COUNT(F72,O72,X72)=0,"",AVERAGE(F72,O72,X72))</x:f>
        <x:v>11.466666666666667</x:v>
      </x:c>
      <x:c r="AI72" s="112" t="n">
        <x:f>IF(COUNT(G72,P72,Y72)=0,"",AVERAGE(G72,P72,Y72))</x:f>
        <x:v>224.66666666666666</x:v>
      </x:c>
      <x:c r="AJ72" s="112" t="n">
        <x:f>IF(COUNT(H72,Q72,Z72)=0,"",AVERAGE(H72,Q72,Z72))</x:f>
        <x:v>956.6666666666666</x:v>
      </x:c>
      <x:c r="AK72" s="112" t="n">
        <x:f>IF(COUNT(I72,R72,AA72)=0,"",AVERAGE(I72,R72,AA72))</x:f>
        <x:v>8</x:v>
      </x:c>
      <x:c r="AL72" s="112" t="n">
        <x:f>IF(COUNT(J72,S72,AB72)=0,"",AVERAGE(J72,S72,AB72))</x:f>
        <x:v>26.666666666666668</x:v>
      </x:c>
      <x:c r="AM72" s="112" t="n">
        <x:f>IF(COUNT(K72,T72,AC72)=0,"",AVERAGE(K72,T72,AC72))</x:f>
        <x:v>206.66666666666666</x:v>
      </x:c>
      <x:c r="AN72" s="112" t="n">
        <x:f>IF(COUNT(L72,U72,AD72)=0,"",AVERAGE(L72,U72,AD72))</x:f>
        <x:v>1</x:v>
      </x:c>
      <x:c r="AO72" s="112" t="n">
        <x:f>IF(COUNT(M72,V72,AE72)=0,"",AVERAGE(M72,V72,AE72))</x:f>
        <x:v>1.3333333333333333</x:v>
      </x:c>
    </x:row>
    <x:row r="73">
      <x:c r="A73" s="107" t="str">
        <x:v>Michael Pittman Jr.</x:v>
      </x:c>
      <x:c r="B73" s="108" t="str">
        <x:v>WR</x:v>
      </x:c>
      <x:c r="C73" s="108" t="str">
        <x:v>PIT</x:v>
      </x:c>
      <x:c r="D73" s="109" t="n">
        <x:v>9</x:v>
      </x:c>
      <x:c r="E73" s="109" t="n">
        <x:f>IFERROR(VLOOKUP($A73,'Mike FLEX'!$A$6:$N$278,5,FALSE),"")</x:f>
        <x:v>76</x:v>
      </x:c>
      <x:c r="F73" s="110" t="n">
        <x:f>IFERROR(VLOOKUP($A73,'Mike FLEX'!$A$6:$N$278,6,FALSE),"")</x:f>
        <x:v>11</x:v>
      </x:c>
      <x:c r="G73" s="111" t="n">
        <x:f>IFERROR(VLOOKUP($A73,'Mike FLEX'!$A$6:$N$278,7,FALSE),"")</x:f>
        <x:v>0</x:v>
      </x:c>
      <x:c r="H73" s="111" t="n">
        <x:f>IFERROR(VLOOKUP($A73,'Mike FLEX'!$A$6:$N$278,8,FALSE),"")</x:f>
        <x:v>0</x:v>
      </x:c>
      <x:c r="I73" s="111" t="n">
        <x:f>IFERROR(VLOOKUP($A73,'Mike FLEX'!$A$6:$N$278,9,FALSE),"")</x:f>
        <x:v>0</x:v>
      </x:c>
      <x:c r="J73" s="111" t="n">
        <x:f>IFERROR(VLOOKUP($A73,'Mike FLEX'!$A$6:$N$278,10,FALSE),"")</x:f>
        <x:v>78</x:v>
      </x:c>
      <x:c r="K73" s="111" t="n">
        <x:f>IFERROR(VLOOKUP($A73,'Mike FLEX'!$A$6:$N$278,11,FALSE),"")</x:f>
        <x:v>818</x:v>
      </x:c>
      <x:c r="L73" s="111" t="n">
        <x:f>IFERROR(VLOOKUP($A73,'Mike FLEX'!$A$6:$N$278,12,FALSE),"")</x:f>
        <x:v>5</x:v>
      </x:c>
      <x:c r="M73" s="111" t="n">
        <x:f>IFERROR(VLOOKUP($A73,'Mike FLEX'!$A$6:$N$278,13,FALSE),"")</x:f>
        <x:v>1</x:v>
      </x:c>
      <x:c r="N73" s="109" t="n">
        <x:f>IFERROR(VLOOKUP($A73,'Andy FLEX'!$A$6:$N$278,5,FALSE),"")</x:f>
        <x:v>69</x:v>
      </x:c>
      <x:c r="O73" s="110" t="n">
        <x:f>IFERROR(VLOOKUP($A73,'Andy FLEX'!$A$6:$N$278,6,FALSE),"")</x:f>
        <x:v>11.2</x:v>
      </x:c>
      <x:c r="P73" s="111" t="n">
        <x:f>IFERROR(VLOOKUP($A73,'Andy FLEX'!$A$6:$N$278,7,FALSE),"")</x:f>
        <x:v>3</x:v>
      </x:c>
      <x:c r="Q73" s="111" t="n">
        <x:f>IFERROR(VLOOKUP($A73,'Andy FLEX'!$A$6:$N$278,8,FALSE),"")</x:f>
        <x:v>14</x:v>
      </x:c>
      <x:c r="R73" s="111" t="n">
        <x:f>IFERROR(VLOOKUP($A73,'Andy FLEX'!$A$6:$N$278,9,FALSE),"")</x:f>
        <x:v>0</x:v>
      </x:c>
      <x:c r="S73" s="111" t="n">
        <x:f>IFERROR(VLOOKUP($A73,'Andy FLEX'!$A$6:$N$278,10,FALSE),"")</x:f>
        <x:v>79</x:v>
      </x:c>
      <x:c r="T73" s="111" t="n">
        <x:f>IFERROR(VLOOKUP($A73,'Andy FLEX'!$A$6:$N$278,11,FALSE),"")</x:f>
        <x:v>760</x:v>
      </x:c>
      <x:c r="U73" s="111" t="n">
        <x:f>IFERROR(VLOOKUP($A73,'Andy FLEX'!$A$6:$N$278,12,FALSE),"")</x:f>
        <x:v>6</x:v>
      </x:c>
      <x:c r="V73" s="111" t="n">
        <x:f>IFERROR(VLOOKUP($A73,'Andy FLEX'!$A$6:$N$278,13,FALSE),"")</x:f>
        <x:v>1</x:v>
      </x:c>
      <x:c r="W73" s="109" t="n">
        <x:f>IFERROR(VLOOKUP($A73,'Jason FLEX'!$A$6:$N$268,5,FALSE),"")</x:f>
        <x:v>63</x:v>
      </x:c>
      <x:c r="X73" s="110" t="n">
        <x:f>IFERROR(VLOOKUP($A73,'Jason FLEX'!$A$6:$N$268,6,FALSE),"")</x:f>
        <x:v>11.8</x:v>
      </x:c>
      <x:c r="Y73" s="111" t="n">
        <x:f>IFERROR(VLOOKUP($A73,'Jason FLEX'!$A$6:$N$268,7,FALSE),"")</x:f>
        <x:v>0</x:v>
      </x:c>
      <x:c r="Z73" s="111" t="n">
        <x:f>IFERROR(VLOOKUP($A73,'Jason FLEX'!$A$6:$N$268,8,FALSE),"")</x:f>
        <x:v>0</x:v>
      </x:c>
      <x:c r="AA73" s="111" t="n">
        <x:f>IFERROR(VLOOKUP($A73,'Jason FLEX'!$A$6:$N$268,9,FALSE),"")</x:f>
        <x:v>0</x:v>
      </x:c>
      <x:c r="AB73" s="111" t="n">
        <x:f>IFERROR(VLOOKUP($A73,'Jason FLEX'!$A$6:$N$268,10,FALSE),"")</x:f>
        <x:v>86</x:v>
      </x:c>
      <x:c r="AC73" s="111" t="n">
        <x:f>IFERROR(VLOOKUP($A73,'Jason FLEX'!$A$6:$N$268,11,FALSE),"")</x:f>
        <x:v>850</x:v>
      </x:c>
      <x:c r="AD73" s="111" t="n">
        <x:f>IFERROR(VLOOKUP($A73,'Jason FLEX'!$A$6:$N$268,12,FALSE),"")</x:f>
        <x:v>5</x:v>
      </x:c>
      <x:c r="AE73" s="111" t="n">
        <x:f>IFERROR(VLOOKUP($A73,'Jason FLEX'!$A$6:$N$268,13,FALSE),"")</x:f>
        <x:v>0</x:v>
      </x:c>
      <x:c r="AF73" s="110" t="n">
        <x:f>IF(COUNT(E73,N73,W73)=0,"",AVERAGE(E73,N73,W73))</x:f>
        <x:v>69.33333333333333</x:v>
      </x:c>
      <x:c r="AG73" s="110" t="n">
        <x:f>IF(COUNT(E73,N73,W73)=0,"",MAX(E73,N73,W73)-MIN(E73,N73,W73))</x:f>
        <x:v>13</x:v>
      </x:c>
      <x:c r="AH73" s="110" t="n">
        <x:f>IF(COUNT(F73,O73,X73)=0,"",AVERAGE(F73,O73,X73))</x:f>
        <x:v>11.333333333333334</x:v>
      </x:c>
      <x:c r="AI73" s="112" t="n">
        <x:f>IF(COUNT(G73,P73,Y73)=0,"",AVERAGE(G73,P73,Y73))</x:f>
        <x:v>1</x:v>
      </x:c>
      <x:c r="AJ73" s="112" t="n">
        <x:f>IF(COUNT(H73,Q73,Z73)=0,"",AVERAGE(H73,Q73,Z73))</x:f>
        <x:v>4.666666666666667</x:v>
      </x:c>
      <x:c r="AK73" s="112" t="n">
        <x:f>IF(COUNT(I73,R73,AA73)=0,"",AVERAGE(I73,R73,AA73))</x:f>
        <x:v>0</x:v>
      </x:c>
      <x:c r="AL73" s="112" t="n">
        <x:f>IF(COUNT(J73,S73,AB73)=0,"",AVERAGE(J73,S73,AB73))</x:f>
        <x:v>81</x:v>
      </x:c>
      <x:c r="AM73" s="112" t="n">
        <x:f>IF(COUNT(K73,T73,AC73)=0,"",AVERAGE(K73,T73,AC73))</x:f>
        <x:v>809.3333333333334</x:v>
      </x:c>
      <x:c r="AN73" s="112" t="n">
        <x:f>IF(COUNT(L73,U73,AD73)=0,"",AVERAGE(L73,U73,AD73))</x:f>
        <x:v>5.333333333333333</x:v>
      </x:c>
      <x:c r="AO73" s="112" t="n">
        <x:f>IF(COUNT(M73,V73,AE73)=0,"",AVERAGE(M73,V73,AE73))</x:f>
        <x:v>0.6666666666666666</x:v>
      </x:c>
    </x:row>
    <x:row r="74">
      <x:c r="A74" s="107" t="str">
        <x:v>George Kittle</x:v>
      </x:c>
      <x:c r="B74" s="108" t="str">
        <x:v>TE</x:v>
      </x:c>
      <x:c r="C74" s="108" t="str">
        <x:v>SF</x:v>
      </x:c>
      <x:c r="D74" s="109" t="n">
        <x:v>8</x:v>
      </x:c>
      <x:c r="E74" s="109" t="n">
        <x:f>IFERROR(VLOOKUP($A74,'Mike FLEX'!$A$6:$N$278,5,FALSE),"")</x:f>
        <x:v>62</x:v>
      </x:c>
      <x:c r="F74" s="110" t="n">
        <x:f>IFERROR(VLOOKUP($A74,'Mike FLEX'!$A$6:$N$278,6,FALSE),"")</x:f>
        <x:v>11.8</x:v>
      </x:c>
      <x:c r="G74" s="111" t="n">
        <x:f>IFERROR(VLOOKUP($A74,'Mike FLEX'!$A$6:$N$278,7,FALSE),"")</x:f>
        <x:v>0</x:v>
      </x:c>
      <x:c r="H74" s="111" t="n">
        <x:f>IFERROR(VLOOKUP($A74,'Mike FLEX'!$A$6:$N$278,8,FALSE),"")</x:f>
        <x:v>0</x:v>
      </x:c>
      <x:c r="I74" s="111" t="n">
        <x:f>IFERROR(VLOOKUP($A74,'Mike FLEX'!$A$6:$N$278,9,FALSE),"")</x:f>
        <x:v>0</x:v>
      </x:c>
      <x:c r="J74" s="111" t="n">
        <x:f>IFERROR(VLOOKUP($A74,'Mike FLEX'!$A$6:$N$278,10,FALSE),"")</x:f>
        <x:v>79</x:v>
      </x:c>
      <x:c r="K74" s="111" t="n">
        <x:f>IFERROR(VLOOKUP($A74,'Mike FLEX'!$A$6:$N$278,11,FALSE),"")</x:f>
        <x:v>864</x:v>
      </x:c>
      <x:c r="L74" s="111" t="n">
        <x:f>IFERROR(VLOOKUP($A74,'Mike FLEX'!$A$6:$N$278,12,FALSE),"")</x:f>
        <x:v>6</x:v>
      </x:c>
      <x:c r="M74" s="111" t="n">
        <x:f>IFERROR(VLOOKUP($A74,'Mike FLEX'!$A$6:$N$278,13,FALSE),"")</x:f>
        <x:v>0</x:v>
      </x:c>
      <x:c r="N74" s="109" t="n">
        <x:f>IFERROR(VLOOKUP($A74,'Andy FLEX'!$A$6:$N$278,5,FALSE),"")</x:f>
        <x:v>71</x:v>
      </x:c>
      <x:c r="O74" s="110" t="n">
        <x:f>IFERROR(VLOOKUP($A74,'Andy FLEX'!$A$6:$N$278,6,FALSE),"")</x:f>
        <x:v>11</x:v>
      </x:c>
      <x:c r="P74" s="111" t="n">
        <x:f>IFERROR(VLOOKUP($A74,'Andy FLEX'!$A$6:$N$278,7,FALSE),"")</x:f>
        <x:v>3</x:v>
      </x:c>
      <x:c r="Q74" s="111" t="n">
        <x:f>IFERROR(VLOOKUP($A74,'Andy FLEX'!$A$6:$N$278,8,FALSE),"")</x:f>
        <x:v>13</x:v>
      </x:c>
      <x:c r="R74" s="111" t="n">
        <x:f>IFERROR(VLOOKUP($A74,'Andy FLEX'!$A$6:$N$278,9,FALSE),"")</x:f>
        <x:v>0</x:v>
      </x:c>
      <x:c r="S74" s="111" t="n">
        <x:f>IFERROR(VLOOKUP($A74,'Andy FLEX'!$A$6:$N$278,10,FALSE),"")</x:f>
        <x:v>82</x:v>
      </x:c>
      <x:c r="T74" s="111" t="n">
        <x:f>IFERROR(VLOOKUP($A74,'Andy FLEX'!$A$6:$N$278,11,FALSE),"")</x:f>
        <x:v>751</x:v>
      </x:c>
      <x:c r="U74" s="111" t="n">
        <x:f>IFERROR(VLOOKUP($A74,'Andy FLEX'!$A$6:$N$278,12,FALSE),"")</x:f>
        <x:v>5</x:v>
      </x:c>
      <x:c r="V74" s="111" t="n">
        <x:f>IFERROR(VLOOKUP($A74,'Andy FLEX'!$A$6:$N$278,13,FALSE),"")</x:f>
        <x:v>1</x:v>
      </x:c>
      <x:c r="W74" s="109" t="n">
        <x:f>IFERROR(VLOOKUP($A74,'Jason FLEX'!$A$6:$N$268,5,FALSE),"")</x:f>
        <x:v>77</x:v>
      </x:c>
      <x:c r="X74" s="110" t="n">
        <x:f>IFERROR(VLOOKUP($A74,'Jason FLEX'!$A$6:$N$268,6,FALSE),"")</x:f>
        <x:v>10.4</x:v>
      </x:c>
      <x:c r="Y74" s="111" t="n">
        <x:f>IFERROR(VLOOKUP($A74,'Jason FLEX'!$A$6:$N$268,7,FALSE),"")</x:f>
        <x:v>0</x:v>
      </x:c>
      <x:c r="Z74" s="111" t="n">
        <x:f>IFERROR(VLOOKUP($A74,'Jason FLEX'!$A$6:$N$268,8,FALSE),"")</x:f>
        <x:v>0</x:v>
      </x:c>
      <x:c r="AA74" s="111" t="n">
        <x:f>IFERROR(VLOOKUP($A74,'Jason FLEX'!$A$6:$N$268,9,FALSE),"")</x:f>
        <x:v>0</x:v>
      </x:c>
      <x:c r="AB74" s="111" t="n">
        <x:f>IFERROR(VLOOKUP($A74,'Jason FLEX'!$A$6:$N$268,10,FALSE),"")</x:f>
        <x:v>63</x:v>
      </x:c>
      <x:c r="AC74" s="111" t="n">
        <x:f>IFERROR(VLOOKUP($A74,'Jason FLEX'!$A$6:$N$268,11,FALSE),"")</x:f>
        <x:v>756</x:v>
      </x:c>
      <x:c r="AD74" s="111" t="n">
        <x:f>IFERROR(VLOOKUP($A74,'Jason FLEX'!$A$6:$N$268,12,FALSE),"")</x:f>
        <x:v>7</x:v>
      </x:c>
      <x:c r="AE74" s="111" t="n">
        <x:f>IFERROR(VLOOKUP($A74,'Jason FLEX'!$A$6:$N$268,13,FALSE),"")</x:f>
        <x:v>0</x:v>
      </x:c>
      <x:c r="AF74" s="110" t="n">
        <x:f>IF(COUNT(E74,N74,W74)=0,"",AVERAGE(E74,N74,W74))</x:f>
        <x:v>70</x:v>
      </x:c>
      <x:c r="AG74" s="110" t="n">
        <x:f>IF(COUNT(E74,N74,W74)=0,"",MAX(E74,N74,W74)-MIN(E74,N74,W74))</x:f>
        <x:v>15</x:v>
      </x:c>
      <x:c r="AH74" s="110" t="n">
        <x:f>IF(COUNT(F74,O74,X74)=0,"",AVERAGE(F74,O74,X74))</x:f>
        <x:v>11.066666666666668</x:v>
      </x:c>
      <x:c r="AI74" s="112" t="n">
        <x:f>IF(COUNT(G74,P74,Y74)=0,"",AVERAGE(G74,P74,Y74))</x:f>
        <x:v>1</x:v>
      </x:c>
      <x:c r="AJ74" s="112" t="n">
        <x:f>IF(COUNT(H74,Q74,Z74)=0,"",AVERAGE(H74,Q74,Z74))</x:f>
        <x:v>4.333333333333333</x:v>
      </x:c>
      <x:c r="AK74" s="112" t="n">
        <x:f>IF(COUNT(I74,R74,AA74)=0,"",AVERAGE(I74,R74,AA74))</x:f>
        <x:v>0</x:v>
      </x:c>
      <x:c r="AL74" s="112" t="n">
        <x:f>IF(COUNT(J74,S74,AB74)=0,"",AVERAGE(J74,S74,AB74))</x:f>
        <x:v>74.66666666666667</x:v>
      </x:c>
      <x:c r="AM74" s="112" t="n">
        <x:f>IF(COUNT(K74,T74,AC74)=0,"",AVERAGE(K74,T74,AC74))</x:f>
        <x:v>790.3333333333334</x:v>
      </x:c>
      <x:c r="AN74" s="112" t="n">
        <x:f>IF(COUNT(L74,U74,AD74)=0,"",AVERAGE(L74,U74,AD74))</x:f>
        <x:v>6</x:v>
      </x:c>
      <x:c r="AO74" s="112" t="n">
        <x:f>IF(COUNT(M74,V74,AE74)=0,"",AVERAGE(M74,V74,AE74))</x:f>
        <x:v>0.3333333333333333</x:v>
      </x:c>
    </x:row>
    <x:row r="75">
      <x:c r="A75" s="107" t="str">
        <x:v>Tucker Kraft</x:v>
      </x:c>
      <x:c r="B75" s="108" t="str">
        <x:v>TE</x:v>
      </x:c>
      <x:c r="C75" s="108" t="str">
        <x:v>GB</x:v>
      </x:c>
      <x:c r="D75" s="109" t="n">
        <x:v>11</x:v>
      </x:c>
      <x:c r="E75" s="109" t="n">
        <x:f>IFERROR(VLOOKUP($A75,'Mike FLEX'!$A$6:$N$278,5,FALSE),"")</x:f>
        <x:v>74</x:v>
      </x:c>
      <x:c r="F75" s="110" t="n">
        <x:f>IFERROR(VLOOKUP($A75,'Mike FLEX'!$A$6:$N$278,6,FALSE),"")</x:f>
        <x:v>11.1</x:v>
      </x:c>
      <x:c r="G75" s="111" t="n">
        <x:f>IFERROR(VLOOKUP($A75,'Mike FLEX'!$A$6:$N$278,7,FALSE),"")</x:f>
        <x:v>0</x:v>
      </x:c>
      <x:c r="H75" s="111" t="n">
        <x:f>IFERROR(VLOOKUP($A75,'Mike FLEX'!$A$6:$N$278,8,FALSE),"")</x:f>
        <x:v>0</x:v>
      </x:c>
      <x:c r="I75" s="111" t="n">
        <x:f>IFERROR(VLOOKUP($A75,'Mike FLEX'!$A$6:$N$278,9,FALSE),"")</x:f>
        <x:v>0</x:v>
      </x:c>
      <x:c r="J75" s="111" t="n">
        <x:f>IFERROR(VLOOKUP($A75,'Mike FLEX'!$A$6:$N$278,10,FALSE),"")</x:f>
        <x:v>61</x:v>
      </x:c>
      <x:c r="K75" s="111" t="n">
        <x:f>IFERROR(VLOOKUP($A75,'Mike FLEX'!$A$6:$N$278,11,FALSE),"")</x:f>
        <x:v>839</x:v>
      </x:c>
      <x:c r="L75" s="111" t="n">
        <x:f>IFERROR(VLOOKUP($A75,'Mike FLEX'!$A$6:$N$278,12,FALSE),"")</x:f>
        <x:v>7</x:v>
      </x:c>
      <x:c r="M75" s="111" t="n">
        <x:f>IFERROR(VLOOKUP($A75,'Mike FLEX'!$A$6:$N$278,13,FALSE),"")</x:f>
        <x:v>0</x:v>
      </x:c>
      <x:c r="N75" s="109" t="n">
        <x:f>IFERROR(VLOOKUP($A75,'Andy FLEX'!$A$6:$N$278,5,FALSE),"")</x:f>
        <x:v>62</x:v>
      </x:c>
      <x:c r="O75" s="110" t="n">
        <x:f>IFERROR(VLOOKUP($A75,'Andy FLEX'!$A$6:$N$278,6,FALSE),"")</x:f>
        <x:v>11.8</x:v>
      </x:c>
      <x:c r="P75" s="111" t="n">
        <x:f>IFERROR(VLOOKUP($A75,'Andy FLEX'!$A$6:$N$278,7,FALSE),"")</x:f>
        <x:v>3</x:v>
      </x:c>
      <x:c r="Q75" s="111" t="n">
        <x:f>IFERROR(VLOOKUP($A75,'Andy FLEX'!$A$6:$N$278,8,FALSE),"")</x:f>
        <x:v>13</x:v>
      </x:c>
      <x:c r="R75" s="111" t="n">
        <x:f>IFERROR(VLOOKUP($A75,'Andy FLEX'!$A$6:$N$278,9,FALSE),"")</x:f>
        <x:v>0</x:v>
      </x:c>
      <x:c r="S75" s="111" t="n">
        <x:f>IFERROR(VLOOKUP($A75,'Andy FLEX'!$A$6:$N$278,10,FALSE),"")</x:f>
        <x:v>69</x:v>
      </x:c>
      <x:c r="T75" s="111" t="n">
        <x:f>IFERROR(VLOOKUP($A75,'Andy FLEX'!$A$6:$N$278,11,FALSE),"")</x:f>
        <x:v>825</x:v>
      </x:c>
      <x:c r="U75" s="111" t="n">
        <x:f>IFERROR(VLOOKUP($A75,'Andy FLEX'!$A$6:$N$278,12,FALSE),"")</x:f>
        <x:v>8</x:v>
      </x:c>
      <x:c r="V75" s="111" t="n">
        <x:f>IFERROR(VLOOKUP($A75,'Andy FLEX'!$A$6:$N$278,13,FALSE),"")</x:f>
        <x:v>1</x:v>
      </x:c>
      <x:c r="W75" s="109" t="n">
        <x:f>IFERROR(VLOOKUP($A75,'Jason FLEX'!$A$6:$N$268,5,FALSE),"")</x:f>
        <x:v>74</x:v>
      </x:c>
      <x:c r="X75" s="110" t="n">
        <x:f>IFERROR(VLOOKUP($A75,'Jason FLEX'!$A$6:$N$268,6,FALSE),"")</x:f>
        <x:v>10.8</x:v>
      </x:c>
      <x:c r="Y75" s="111" t="n">
        <x:f>IFERROR(VLOOKUP($A75,'Jason FLEX'!$A$6:$N$268,7,FALSE),"")</x:f>
        <x:v>0</x:v>
      </x:c>
      <x:c r="Z75" s="111" t="n">
        <x:f>IFERROR(VLOOKUP($A75,'Jason FLEX'!$A$6:$N$268,8,FALSE),"")</x:f>
        <x:v>0</x:v>
      </x:c>
      <x:c r="AA75" s="111" t="n">
        <x:f>IFERROR(VLOOKUP($A75,'Jason FLEX'!$A$6:$N$268,9,FALSE),"")</x:f>
        <x:v>0</x:v>
      </x:c>
      <x:c r="AB75" s="111" t="n">
        <x:f>IFERROR(VLOOKUP($A75,'Jason FLEX'!$A$6:$N$268,10,FALSE),"")</x:f>
        <x:v>60</x:v>
      </x:c>
      <x:c r="AC75" s="111" t="n">
        <x:f>IFERROR(VLOOKUP($A75,'Jason FLEX'!$A$6:$N$268,11,FALSE),"")</x:f>
        <x:v>835</x:v>
      </x:c>
      <x:c r="AD75" s="111" t="n">
        <x:f>IFERROR(VLOOKUP($A75,'Jason FLEX'!$A$6:$N$268,12,FALSE),"")</x:f>
        <x:v>7</x:v>
      </x:c>
      <x:c r="AE75" s="111" t="n">
        <x:f>IFERROR(VLOOKUP($A75,'Jason FLEX'!$A$6:$N$268,13,FALSE),"")</x:f>
        <x:v>0</x:v>
      </x:c>
      <x:c r="AF75" s="110" t="n">
        <x:f>IF(COUNT(E75,N75,W75)=0,"",AVERAGE(E75,N75,W75))</x:f>
        <x:v>70</x:v>
      </x:c>
      <x:c r="AG75" s="110" t="n">
        <x:f>IF(COUNT(E75,N75,W75)=0,"",MAX(E75,N75,W75)-MIN(E75,N75,W75))</x:f>
        <x:v>12</x:v>
      </x:c>
      <x:c r="AH75" s="110" t="n">
        <x:f>IF(COUNT(F75,O75,X75)=0,"",AVERAGE(F75,O75,X75))</x:f>
        <x:v>11.233333333333334</x:v>
      </x:c>
      <x:c r="AI75" s="112" t="n">
        <x:f>IF(COUNT(G75,P75,Y75)=0,"",AVERAGE(G75,P75,Y75))</x:f>
        <x:v>1</x:v>
      </x:c>
      <x:c r="AJ75" s="112" t="n">
        <x:f>IF(COUNT(H75,Q75,Z75)=0,"",AVERAGE(H75,Q75,Z75))</x:f>
        <x:v>4.333333333333333</x:v>
      </x:c>
      <x:c r="AK75" s="112" t="n">
        <x:f>IF(COUNT(I75,R75,AA75)=0,"",AVERAGE(I75,R75,AA75))</x:f>
        <x:v>0</x:v>
      </x:c>
      <x:c r="AL75" s="112" t="n">
        <x:f>IF(COUNT(J75,S75,AB75)=0,"",AVERAGE(J75,S75,AB75))</x:f>
        <x:v>63.333333333333336</x:v>
      </x:c>
      <x:c r="AM75" s="112" t="n">
        <x:f>IF(COUNT(K75,T75,AC75)=0,"",AVERAGE(K75,T75,AC75))</x:f>
        <x:v>833</x:v>
      </x:c>
      <x:c r="AN75" s="112" t="n">
        <x:f>IF(COUNT(L75,U75,AD75)=0,"",AVERAGE(L75,U75,AD75))</x:f>
        <x:v>7.333333333333333</x:v>
      </x:c>
      <x:c r="AO75" s="112" t="n">
        <x:f>IF(COUNT(M75,V75,AE75)=0,"",AVERAGE(M75,V75,AE75))</x:f>
        <x:v>0.3333333333333333</x:v>
      </x:c>
    </x:row>
    <x:row r="76">
      <x:c r="A76" s="107" t="str">
        <x:v>MarShawn Lloyd</x:v>
      </x:c>
      <x:c r="B76" s="108" t="str">
        <x:v>RB</x:v>
      </x:c>
      <x:c r="C76" s="108" t="str">
        <x:v>GB</x:v>
      </x:c>
      <x:c r="D76" s="109" t="n">
        <x:v>11</x:v>
      </x:c>
      <x:c r="E76" s="109" t="n">
        <x:f>IFERROR(VLOOKUP($A76,'Mike FLEX'!$A$6:$N$278,5,FALSE),"")</x:f>
        <x:v>55</x:v>
      </x:c>
      <x:c r="F76" s="110" t="n">
        <x:f>IFERROR(VLOOKUP($A76,'Mike FLEX'!$A$6:$N$278,6,FALSE),"")</x:f>
        <x:v>12.4</x:v>
      </x:c>
      <x:c r="G76" s="111" t="n">
        <x:f>IFERROR(VLOOKUP($A76,'Mike FLEX'!$A$6:$N$278,7,FALSE),"")</x:f>
        <x:v>241</x:v>
      </x:c>
      <x:c r="H76" s="111" t="n">
        <x:f>IFERROR(VLOOKUP($A76,'Mike FLEX'!$A$6:$N$278,8,FALSE),"")</x:f>
        <x:v>989</x:v>
      </x:c>
      <x:c r="I76" s="111" t="n">
        <x:f>IFERROR(VLOOKUP($A76,'Mike FLEX'!$A$6:$N$278,9,FALSE),"")</x:f>
        <x:v>7</x:v>
      </x:c>
      <x:c r="J76" s="111" t="n">
        <x:f>IFERROR(VLOOKUP($A76,'Mike FLEX'!$A$6:$N$278,10,FALSE),"")</x:f>
        <x:v>37</x:v>
      </x:c>
      <x:c r="K76" s="111" t="n">
        <x:f>IFERROR(VLOOKUP($A76,'Mike FLEX'!$A$6:$N$278,11,FALSE),"")</x:f>
        <x:v>255</x:v>
      </x:c>
      <x:c r="L76" s="111" t="n">
        <x:f>IFERROR(VLOOKUP($A76,'Mike FLEX'!$A$6:$N$278,12,FALSE),"")</x:f>
        <x:v>1</x:v>
      </x:c>
      <x:c r="M76" s="111" t="n">
        <x:f>IFERROR(VLOOKUP($A76,'Mike FLEX'!$A$6:$N$278,13,FALSE),"")</x:f>
        <x:v>0</x:v>
      </x:c>
      <x:c r="N76" s="109" t="n">
        <x:f>IFERROR(VLOOKUP($A76,'Andy FLEX'!$A$6:$N$278,5,FALSE),"")</x:f>
        <x:v>83</x:v>
      </x:c>
      <x:c r="O76" s="110" t="n">
        <x:f>IFERROR(VLOOKUP($A76,'Andy FLEX'!$A$6:$N$278,6,FALSE),"")</x:f>
        <x:v>10.2</x:v>
      </x:c>
      <x:c r="P76" s="111" t="n">
        <x:f>IFERROR(VLOOKUP($A76,'Andy FLEX'!$A$6:$N$278,7,FALSE),"")</x:f>
        <x:v>213</x:v>
      </x:c>
      <x:c r="Q76" s="111" t="n">
        <x:f>IFERROR(VLOOKUP($A76,'Andy FLEX'!$A$6:$N$278,8,FALSE),"")</x:f>
        <x:v>959</x:v>
      </x:c>
      <x:c r="R76" s="111" t="n">
        <x:f>IFERROR(VLOOKUP($A76,'Andy FLEX'!$A$6:$N$278,9,FALSE),"")</x:f>
        <x:v>5</x:v>
      </x:c>
      <x:c r="S76" s="111" t="n">
        <x:f>IFERROR(VLOOKUP($A76,'Andy FLEX'!$A$6:$N$278,10,FALSE),"")</x:f>
        <x:v>22</x:v>
      </x:c>
      <x:c r="T76" s="111" t="n">
        <x:f>IFERROR(VLOOKUP($A76,'Andy FLEX'!$A$6:$N$278,11,FALSE),"")</x:f>
        <x:v>194</x:v>
      </x:c>
      <x:c r="U76" s="111" t="n">
        <x:f>IFERROR(VLOOKUP($A76,'Andy FLEX'!$A$6:$N$278,12,FALSE),"")</x:f>
        <x:v>2</x:v>
      </x:c>
      <x:c r="V76" s="111" t="n">
        <x:f>IFERROR(VLOOKUP($A76,'Andy FLEX'!$A$6:$N$278,13,FALSE),"")</x:f>
        <x:v>2</x:v>
      </x:c>
      <x:c r="W76" s="109" t="n">
        <x:f>IFERROR(VLOOKUP($A76,'Jason FLEX'!$A$6:$N$268,5,FALSE),"")</x:f>
        <x:v>73</x:v>
      </x:c>
      <x:c r="X76" s="110" t="n">
        <x:f>IFERROR(VLOOKUP($A76,'Jason FLEX'!$A$6:$N$268,6,FALSE),"")</x:f>
        <x:v>10.9</x:v>
      </x:c>
      <x:c r="Y76" s="111" t="n">
        <x:f>IFERROR(VLOOKUP($A76,'Jason FLEX'!$A$6:$N$268,7,FALSE),"")</x:f>
        <x:v>195</x:v>
      </x:c>
      <x:c r="Z76" s="111" t="n">
        <x:f>IFERROR(VLOOKUP($A76,'Jason FLEX'!$A$6:$N$268,8,FALSE),"")</x:f>
        <x:v>839</x:v>
      </x:c>
      <x:c r="AA76" s="111" t="n">
        <x:f>IFERROR(VLOOKUP($A76,'Jason FLEX'!$A$6:$N$268,9,FALSE),"")</x:f>
        <x:v>6</x:v>
      </x:c>
      <x:c r="AB76" s="111" t="n">
        <x:f>IFERROR(VLOOKUP($A76,'Jason FLEX'!$A$6:$N$268,10,FALSE),"")</x:f>
        <x:v>32</x:v>
      </x:c>
      <x:c r="AC76" s="111" t="n">
        <x:f>IFERROR(VLOOKUP($A76,'Jason FLEX'!$A$6:$N$268,11,FALSE),"")</x:f>
        <x:v>236</x:v>
      </x:c>
      <x:c r="AD76" s="111" t="n">
        <x:f>IFERROR(VLOOKUP($A76,'Jason FLEX'!$A$6:$N$268,12,FALSE),"")</x:f>
        <x:v>2</x:v>
      </x:c>
      <x:c r="AE76" s="111" t="n">
        <x:f>IFERROR(VLOOKUP($A76,'Jason FLEX'!$A$6:$N$268,13,FALSE),"")</x:f>
        <x:v>1</x:v>
      </x:c>
      <x:c r="AF76" s="110" t="n">
        <x:f>IF(COUNT(E76,N76,W76)=0,"",AVERAGE(E76,N76,W76))</x:f>
        <x:v>70.33333333333333</x:v>
      </x:c>
      <x:c r="AG76" s="110" t="n">
        <x:f>IF(COUNT(E76,N76,W76)=0,"",MAX(E76,N76,W76)-MIN(E76,N76,W76))</x:f>
        <x:v>28</x:v>
      </x:c>
      <x:c r="AH76" s="110" t="n">
        <x:f>IF(COUNT(F76,O76,X76)=0,"",AVERAGE(F76,O76,X76))</x:f>
        <x:v>11.166666666666666</x:v>
      </x:c>
      <x:c r="AI76" s="112" t="n">
        <x:f>IF(COUNT(G76,P76,Y76)=0,"",AVERAGE(G76,P76,Y76))</x:f>
        <x:v>216.33333333333334</x:v>
      </x:c>
      <x:c r="AJ76" s="112" t="n">
        <x:f>IF(COUNT(H76,Q76,Z76)=0,"",AVERAGE(H76,Q76,Z76))</x:f>
        <x:v>929</x:v>
      </x:c>
      <x:c r="AK76" s="112" t="n">
        <x:f>IF(COUNT(I76,R76,AA76)=0,"",AVERAGE(I76,R76,AA76))</x:f>
        <x:v>6</x:v>
      </x:c>
      <x:c r="AL76" s="112" t="n">
        <x:f>IF(COUNT(J76,S76,AB76)=0,"",AVERAGE(J76,S76,AB76))</x:f>
        <x:v>30.333333333333332</x:v>
      </x:c>
      <x:c r="AM76" s="112" t="n">
        <x:f>IF(COUNT(K76,T76,AC76)=0,"",AVERAGE(K76,T76,AC76))</x:f>
        <x:v>228.33333333333334</x:v>
      </x:c>
      <x:c r="AN76" s="112" t="n">
        <x:f>IF(COUNT(L76,U76,AD76)=0,"",AVERAGE(L76,U76,AD76))</x:f>
        <x:v>1.6666666666666667</x:v>
      </x:c>
      <x:c r="AO76" s="112" t="n">
        <x:f>IF(COUNT(M76,V76,AE76)=0,"",AVERAGE(M76,V76,AE76))</x:f>
        <x:v>1</x:v>
      </x:c>
    </x:row>
    <x:row r="77">
      <x:c r="A77" s="107" t="str">
        <x:v>Rhamondre Stevenson</x:v>
      </x:c>
      <x:c r="B77" s="108" t="str">
        <x:v>RB</x:v>
      </x:c>
      <x:c r="C77" s="108" t="str">
        <x:v>NE</x:v>
      </x:c>
      <x:c r="D77" s="109" t="n">
        <x:v>11</x:v>
      </x:c>
      <x:c r="E77" s="109" t="n">
        <x:f>IFERROR(VLOOKUP($A77,'Mike FLEX'!$A$6:$N$278,5,FALSE),"")</x:f>
        <x:v>81</x:v>
      </x:c>
      <x:c r="F77" s="110" t="n">
        <x:f>IFERROR(VLOOKUP($A77,'Mike FLEX'!$A$6:$N$278,6,FALSE),"")</x:f>
        <x:v>10.6</x:v>
      </x:c>
      <x:c r="G77" s="111" t="n">
        <x:f>IFERROR(VLOOKUP($A77,'Mike FLEX'!$A$6:$N$278,7,FALSE),"")</x:f>
        <x:v>194</x:v>
      </x:c>
      <x:c r="H77" s="111" t="n">
        <x:f>IFERROR(VLOOKUP($A77,'Mike FLEX'!$A$6:$N$278,8,FALSE),"")</x:f>
        <x:v>852</x:v>
      </x:c>
      <x:c r="I77" s="111" t="n">
        <x:f>IFERROR(VLOOKUP($A77,'Mike FLEX'!$A$6:$N$278,9,FALSE),"")</x:f>
        <x:v>6</x:v>
      </x:c>
      <x:c r="J77" s="111" t="n">
        <x:f>IFERROR(VLOOKUP($A77,'Mike FLEX'!$A$6:$N$278,10,FALSE),"")</x:f>
        <x:v>33</x:v>
      </x:c>
      <x:c r="K77" s="111" t="n">
        <x:f>IFERROR(VLOOKUP($A77,'Mike FLEX'!$A$6:$N$278,11,FALSE),"")</x:f>
        <x:v>241</x:v>
      </x:c>
      <x:c r="L77" s="111" t="n">
        <x:f>IFERROR(VLOOKUP($A77,'Mike FLEX'!$A$6:$N$278,12,FALSE),"")</x:f>
        <x:v>1</x:v>
      </x:c>
      <x:c r="M77" s="111" t="n">
        <x:f>IFERROR(VLOOKUP($A77,'Mike FLEX'!$A$6:$N$278,13,FALSE),"")</x:f>
        <x:v>4</x:v>
      </x:c>
      <x:c r="N77" s="109" t="n">
        <x:f>IFERROR(VLOOKUP($A77,'Andy FLEX'!$A$6:$N$278,5,FALSE),"")</x:f>
        <x:v>61</x:v>
      </x:c>
      <x:c r="O77" s="110" t="n">
        <x:f>IFERROR(VLOOKUP($A77,'Andy FLEX'!$A$6:$N$278,6,FALSE),"")</x:f>
        <x:v>11.9</x:v>
      </x:c>
      <x:c r="P77" s="111" t="n">
        <x:f>IFERROR(VLOOKUP($A77,'Andy FLEX'!$A$6:$N$278,7,FALSE),"")</x:f>
        <x:v>194</x:v>
      </x:c>
      <x:c r="Q77" s="111" t="n">
        <x:f>IFERROR(VLOOKUP($A77,'Andy FLEX'!$A$6:$N$278,8,FALSE),"")</x:f>
        <x:v>761</x:v>
      </x:c>
      <x:c r="R77" s="111" t="n">
        <x:f>IFERROR(VLOOKUP($A77,'Andy FLEX'!$A$6:$N$278,9,FALSE),"")</x:f>
        <x:v>8</x:v>
      </x:c>
      <x:c r="S77" s="111" t="n">
        <x:f>IFERROR(VLOOKUP($A77,'Andy FLEX'!$A$6:$N$278,10,FALSE),"")</x:f>
        <x:v>37</x:v>
      </x:c>
      <x:c r="T77" s="111" t="n">
        <x:f>IFERROR(VLOOKUP($A77,'Andy FLEX'!$A$6:$N$278,11,FALSE),"")</x:f>
        <x:v>329</x:v>
      </x:c>
      <x:c r="U77" s="111" t="n">
        <x:f>IFERROR(VLOOKUP($A77,'Andy FLEX'!$A$6:$N$278,12,FALSE),"")</x:f>
        <x:v>2</x:v>
      </x:c>
      <x:c r="V77" s="111" t="n">
        <x:f>IFERROR(VLOOKUP($A77,'Andy FLEX'!$A$6:$N$278,13,FALSE),"")</x:f>
        <x:v>2</x:v>
      </x:c>
      <x:c r="W77" s="109" t="n">
        <x:f>IFERROR(VLOOKUP($A77,'Jason FLEX'!$A$6:$N$268,5,FALSE),"")</x:f>
        <x:v>72</x:v>
      </x:c>
      <x:c r="X77" s="110" t="n">
        <x:f>IFERROR(VLOOKUP($A77,'Jason FLEX'!$A$6:$N$268,6,FALSE),"")</x:f>
        <x:v>10.9</x:v>
      </x:c>
      <x:c r="Y77" s="111" t="n">
        <x:f>IFERROR(VLOOKUP($A77,'Jason FLEX'!$A$6:$N$268,7,FALSE),"")</x:f>
        <x:v>165</x:v>
      </x:c>
      <x:c r="Z77" s="111" t="n">
        <x:f>IFERROR(VLOOKUP($A77,'Jason FLEX'!$A$6:$N$268,8,FALSE),"")</x:f>
        <x:v>751</x:v>
      </x:c>
      <x:c r="AA77" s="111" t="n">
        <x:f>IFERROR(VLOOKUP($A77,'Jason FLEX'!$A$6:$N$268,9,FALSE),"")</x:f>
        <x:v>7</x:v>
      </x:c>
      <x:c r="AB77" s="111" t="n">
        <x:f>IFERROR(VLOOKUP($A77,'Jason FLEX'!$A$6:$N$268,10,FALSE),"")</x:f>
        <x:v>39</x:v>
      </x:c>
      <x:c r="AC77" s="111" t="n">
        <x:f>IFERROR(VLOOKUP($A77,'Jason FLEX'!$A$6:$N$268,11,FALSE),"")</x:f>
        <x:v>304</x:v>
      </x:c>
      <x:c r="AD77" s="111" t="n">
        <x:f>IFERROR(VLOOKUP($A77,'Jason FLEX'!$A$6:$N$268,12,FALSE),"")</x:f>
        <x:v>1</x:v>
      </x:c>
      <x:c r="AE77" s="111" t="n">
        <x:f>IFERROR(VLOOKUP($A77,'Jason FLEX'!$A$6:$N$268,13,FALSE),"")</x:f>
        <x:v>2</x:v>
      </x:c>
      <x:c r="AF77" s="110" t="n">
        <x:f>IF(COUNT(E77,N77,W77)=0,"",AVERAGE(E77,N77,W77))</x:f>
        <x:v>71.33333333333333</x:v>
      </x:c>
      <x:c r="AG77" s="110" t="n">
        <x:f>IF(COUNT(E77,N77,W77)=0,"",MAX(E77,N77,W77)-MIN(E77,N77,W77))</x:f>
        <x:v>20</x:v>
      </x:c>
      <x:c r="AH77" s="110" t="n">
        <x:f>IF(COUNT(F77,O77,X77)=0,"",AVERAGE(F77,O77,X77))</x:f>
        <x:v>11.133333333333333</x:v>
      </x:c>
      <x:c r="AI77" s="112" t="n">
        <x:f>IF(COUNT(G77,P77,Y77)=0,"",AVERAGE(G77,P77,Y77))</x:f>
        <x:v>184.33333333333334</x:v>
      </x:c>
      <x:c r="AJ77" s="112" t="n">
        <x:f>IF(COUNT(H77,Q77,Z77)=0,"",AVERAGE(H77,Q77,Z77))</x:f>
        <x:v>788</x:v>
      </x:c>
      <x:c r="AK77" s="112" t="n">
        <x:f>IF(COUNT(I77,R77,AA77)=0,"",AVERAGE(I77,R77,AA77))</x:f>
        <x:v>7</x:v>
      </x:c>
      <x:c r="AL77" s="112" t="n">
        <x:f>IF(COUNT(J77,S77,AB77)=0,"",AVERAGE(J77,S77,AB77))</x:f>
        <x:v>36.333333333333336</x:v>
      </x:c>
      <x:c r="AM77" s="112" t="n">
        <x:f>IF(COUNT(K77,T77,AC77)=0,"",AVERAGE(K77,T77,AC77))</x:f>
        <x:v>291.3333333333333</x:v>
      </x:c>
      <x:c r="AN77" s="112" t="n">
        <x:f>IF(COUNT(L77,U77,AD77)=0,"",AVERAGE(L77,U77,AD77))</x:f>
        <x:v>1.3333333333333333</x:v>
      </x:c>
      <x:c r="AO77" s="112" t="n">
        <x:f>IF(COUNT(M77,V77,AE77)=0,"",AVERAGE(M77,V77,AE77))</x:f>
        <x:v>2.6666666666666665</x:v>
      </x:c>
    </x:row>
    <x:row r="78">
      <x:c r="A78" s="107" t="str">
        <x:v>Wan'Dale Robinson</x:v>
      </x:c>
      <x:c r="B78" s="108" t="str">
        <x:v>WR</x:v>
      </x:c>
      <x:c r="C78" s="108" t="str">
        <x:v>TEN</x:v>
      </x:c>
      <x:c r="D78" s="109" t="n">
        <x:v>9</x:v>
      </x:c>
      <x:c r="E78" s="109" t="n">
        <x:f>IFERROR(VLOOKUP($A78,'Mike FLEX'!$A$6:$N$278,5,FALSE),"")</x:f>
        <x:v>80</x:v>
      </x:c>
      <x:c r="F78" s="110" t="n">
        <x:f>IFERROR(VLOOKUP($A78,'Mike FLEX'!$A$6:$N$278,6,FALSE),"")</x:f>
        <x:v>10.6</x:v>
      </x:c>
      <x:c r="G78" s="111" t="n">
        <x:f>IFERROR(VLOOKUP($A78,'Mike FLEX'!$A$6:$N$278,7,FALSE),"")</x:f>
        <x:v>4</x:v>
      </x:c>
      <x:c r="H78" s="111" t="n">
        <x:f>IFERROR(VLOOKUP($A78,'Mike FLEX'!$A$6:$N$278,8,FALSE),"")</x:f>
        <x:v>23</x:v>
      </x:c>
      <x:c r="I78" s="111" t="n">
        <x:f>IFERROR(VLOOKUP($A78,'Mike FLEX'!$A$6:$N$278,9,FALSE),"")</x:f>
        <x:v>0</x:v>
      </x:c>
      <x:c r="J78" s="111" t="n">
        <x:f>IFERROR(VLOOKUP($A78,'Mike FLEX'!$A$6:$N$278,10,FALSE),"")</x:f>
        <x:v>78</x:v>
      </x:c>
      <x:c r="K78" s="111" t="n">
        <x:f>IFERROR(VLOOKUP($A78,'Mike FLEX'!$A$6:$N$278,11,FALSE),"")</x:f>
        <x:v>782</x:v>
      </x:c>
      <x:c r="L78" s="111" t="n">
        <x:f>IFERROR(VLOOKUP($A78,'Mike FLEX'!$A$6:$N$278,12,FALSE),"")</x:f>
        <x:v>3</x:v>
      </x:c>
      <x:c r="M78" s="111" t="n">
        <x:f>IFERROR(VLOOKUP($A78,'Mike FLEX'!$A$6:$N$278,13,FALSE),"")</x:f>
        <x:v>0</x:v>
      </x:c>
      <x:c r="N78" s="109" t="n">
        <x:f>IFERROR(VLOOKUP($A78,'Andy FLEX'!$A$6:$N$278,5,FALSE),"")</x:f>
        <x:v>59</x:v>
      </x:c>
      <x:c r="O78" s="110" t="n">
        <x:f>IFERROR(VLOOKUP($A78,'Andy FLEX'!$A$6:$N$278,6,FALSE),"")</x:f>
        <x:v>12</x:v>
      </x:c>
      <x:c r="P78" s="111" t="n">
        <x:f>IFERROR(VLOOKUP($A78,'Andy FLEX'!$A$6:$N$278,7,FALSE),"")</x:f>
        <x:v>7</x:v>
      </x:c>
      <x:c r="Q78" s="111" t="n">
        <x:f>IFERROR(VLOOKUP($A78,'Andy FLEX'!$A$6:$N$278,8,FALSE),"")</x:f>
        <x:v>32</x:v>
      </x:c>
      <x:c r="R78" s="111" t="n">
        <x:f>IFERROR(VLOOKUP($A78,'Andy FLEX'!$A$6:$N$278,9,FALSE),"")</x:f>
        <x:v>0</x:v>
      </x:c>
      <x:c r="S78" s="111" t="n">
        <x:f>IFERROR(VLOOKUP($A78,'Andy FLEX'!$A$6:$N$278,10,FALSE),"")</x:f>
        <x:v>88</x:v>
      </x:c>
      <x:c r="T78" s="111" t="n">
        <x:f>IFERROR(VLOOKUP($A78,'Andy FLEX'!$A$6:$N$278,11,FALSE),"")</x:f>
        <x:v>949</x:v>
      </x:c>
      <x:c r="U78" s="111" t="n">
        <x:f>IFERROR(VLOOKUP($A78,'Andy FLEX'!$A$6:$N$278,12,FALSE),"")</x:f>
        <x:v>3</x:v>
      </x:c>
      <x:c r="V78" s="111" t="n">
        <x:f>IFERROR(VLOOKUP($A78,'Andy FLEX'!$A$6:$N$278,13,FALSE),"")</x:f>
        <x:v>1</x:v>
      </x:c>
      <x:c r="W78" s="109" t="n">
        <x:f>IFERROR(VLOOKUP($A78,'Jason FLEX'!$A$6:$N$268,5,FALSE),"")</x:f>
        <x:v>75</x:v>
      </x:c>
      <x:c r="X78" s="110" t="n">
        <x:f>IFERROR(VLOOKUP($A78,'Jason FLEX'!$A$6:$N$268,6,FALSE),"")</x:f>
        <x:v>10.7</x:v>
      </x:c>
      <x:c r="Y78" s="111" t="n">
        <x:f>IFERROR(VLOOKUP($A78,'Jason FLEX'!$A$6:$N$268,7,FALSE),"")</x:f>
        <x:v>10</x:v>
      </x:c>
      <x:c r="Z78" s="111" t="n">
        <x:f>IFERROR(VLOOKUP($A78,'Jason FLEX'!$A$6:$N$268,8,FALSE),"")</x:f>
        <x:v>45</x:v>
      </x:c>
      <x:c r="AA78" s="111" t="n">
        <x:f>IFERROR(VLOOKUP($A78,'Jason FLEX'!$A$6:$N$268,9,FALSE),"")</x:f>
        <x:v>1</x:v>
      </x:c>
      <x:c r="AB78" s="111" t="n">
        <x:f>IFERROR(VLOOKUP($A78,'Jason FLEX'!$A$6:$N$268,10,FALSE),"")</x:f>
        <x:v>77</x:v>
      </x:c>
      <x:c r="AC78" s="111" t="n">
        <x:f>IFERROR(VLOOKUP($A78,'Jason FLEX'!$A$6:$N$268,11,FALSE),"")</x:f>
        <x:v>716</x:v>
      </x:c>
      <x:c r="AD78" s="111" t="n">
        <x:f>IFERROR(VLOOKUP($A78,'Jason FLEX'!$A$6:$N$268,12,FALSE),"")</x:f>
        <x:v>4</x:v>
      </x:c>
      <x:c r="AE78" s="111" t="n">
        <x:f>IFERROR(VLOOKUP($A78,'Jason FLEX'!$A$6:$N$268,13,FALSE),"")</x:f>
        <x:v>0</x:v>
      </x:c>
      <x:c r="AF78" s="110" t="n">
        <x:f>IF(COUNT(E78,N78,W78)=0,"",AVERAGE(E78,N78,W78))</x:f>
        <x:v>71.33333333333333</x:v>
      </x:c>
      <x:c r="AG78" s="110" t="n">
        <x:f>IF(COUNT(E78,N78,W78)=0,"",MAX(E78,N78,W78)-MIN(E78,N78,W78))</x:f>
        <x:v>21</x:v>
      </x:c>
      <x:c r="AH78" s="110" t="n">
        <x:f>IF(COUNT(F78,O78,X78)=0,"",AVERAGE(F78,O78,X78))</x:f>
        <x:v>11.1</x:v>
      </x:c>
      <x:c r="AI78" s="112" t="n">
        <x:f>IF(COUNT(G78,P78,Y78)=0,"",AVERAGE(G78,P78,Y78))</x:f>
        <x:v>7</x:v>
      </x:c>
      <x:c r="AJ78" s="112" t="n">
        <x:f>IF(COUNT(H78,Q78,Z78)=0,"",AVERAGE(H78,Q78,Z78))</x:f>
        <x:v>33.333333333333336</x:v>
      </x:c>
      <x:c r="AK78" s="112" t="n">
        <x:f>IF(COUNT(I78,R78,AA78)=0,"",AVERAGE(I78,R78,AA78))</x:f>
        <x:v>0.3333333333333333</x:v>
      </x:c>
      <x:c r="AL78" s="112" t="n">
        <x:f>IF(COUNT(J78,S78,AB78)=0,"",AVERAGE(J78,S78,AB78))</x:f>
        <x:v>81</x:v>
      </x:c>
      <x:c r="AM78" s="112" t="n">
        <x:f>IF(COUNT(K78,T78,AC78)=0,"",AVERAGE(K78,T78,AC78))</x:f>
        <x:v>815.6666666666666</x:v>
      </x:c>
      <x:c r="AN78" s="112" t="n">
        <x:f>IF(COUNT(L78,U78,AD78)=0,"",AVERAGE(L78,U78,AD78))</x:f>
        <x:v>3.3333333333333335</x:v>
      </x:c>
      <x:c r="AO78" s="112" t="n">
        <x:f>IF(COUNT(M78,V78,AE78)=0,"",AVERAGE(M78,V78,AE78))</x:f>
        <x:v>0.3333333333333333</x:v>
      </x:c>
    </x:row>
    <x:row r="79">
      <x:c r="A79" s="107" t="str">
        <x:v>Sam LaPorta</x:v>
      </x:c>
      <x:c r="B79" s="108" t="str">
        <x:v>TE</x:v>
      </x:c>
      <x:c r="C79" s="108" t="str">
        <x:v>DET</x:v>
      </x:c>
      <x:c r="D79" s="109" t="n">
        <x:v>6</x:v>
      </x:c>
      <x:c r="E79" s="109" t="n">
        <x:f>IFERROR(VLOOKUP($A79,'Mike FLEX'!$A$6:$N$278,5,FALSE),"")</x:f>
        <x:v>78</x:v>
      </x:c>
      <x:c r="F79" s="110" t="n">
        <x:f>IFERROR(VLOOKUP($A79,'Mike FLEX'!$A$6:$N$278,6,FALSE),"")</x:f>
        <x:v>10.9</x:v>
      </x:c>
      <x:c r="G79" s="111" t="n">
        <x:f>IFERROR(VLOOKUP($A79,'Mike FLEX'!$A$6:$N$278,7,FALSE),"")</x:f>
        <x:v>0</x:v>
      </x:c>
      <x:c r="H79" s="111" t="n">
        <x:f>IFERROR(VLOOKUP($A79,'Mike FLEX'!$A$6:$N$278,8,FALSE),"")</x:f>
        <x:v>0</x:v>
      </x:c>
      <x:c r="I79" s="111" t="n">
        <x:f>IFERROR(VLOOKUP($A79,'Mike FLEX'!$A$6:$N$278,9,FALSE),"")</x:f>
        <x:v>0</x:v>
      </x:c>
      <x:c r="J79" s="111" t="n">
        <x:f>IFERROR(VLOOKUP($A79,'Mike FLEX'!$A$6:$N$278,10,FALSE),"")</x:f>
        <x:v>71</x:v>
      </x:c>
      <x:c r="K79" s="111" t="n">
        <x:f>IFERROR(VLOOKUP($A79,'Mike FLEX'!$A$6:$N$278,11,FALSE),"")</x:f>
        <x:v>821</x:v>
      </x:c>
      <x:c r="L79" s="111" t="n">
        <x:f>IFERROR(VLOOKUP($A79,'Mike FLEX'!$A$6:$N$278,12,FALSE),"")</x:f>
        <x:v>6</x:v>
      </x:c>
      <x:c r="M79" s="111" t="n">
        <x:f>IFERROR(VLOOKUP($A79,'Mike FLEX'!$A$6:$N$278,13,FALSE),"")</x:f>
        <x:v>0</x:v>
      </x:c>
      <x:c r="N79" s="109" t="n">
        <x:f>IFERROR(VLOOKUP($A79,'Andy FLEX'!$A$6:$N$278,5,FALSE),"")</x:f>
        <x:v>86</x:v>
      </x:c>
      <x:c r="O79" s="110" t="n">
        <x:f>IFERROR(VLOOKUP($A79,'Andy FLEX'!$A$6:$N$278,6,FALSE),"")</x:f>
        <x:v>10.1</x:v>
      </x:c>
      <x:c r="P79" s="111" t="n">
        <x:f>IFERROR(VLOOKUP($A79,'Andy FLEX'!$A$6:$N$278,7,FALSE),"")</x:f>
        <x:v>0</x:v>
      </x:c>
      <x:c r="Q79" s="111" t="n">
        <x:f>IFERROR(VLOOKUP($A79,'Andy FLEX'!$A$6:$N$278,8,FALSE),"")</x:f>
        <x:v>0</x:v>
      </x:c>
      <x:c r="R79" s="111" t="n">
        <x:f>IFERROR(VLOOKUP($A79,'Andy FLEX'!$A$6:$N$278,9,FALSE),"")</x:f>
        <x:v>0</x:v>
      </x:c>
      <x:c r="S79" s="111" t="n">
        <x:f>IFERROR(VLOOKUP($A79,'Andy FLEX'!$A$6:$N$278,10,FALSE),"")</x:f>
        <x:v>69</x:v>
      </x:c>
      <x:c r="T79" s="111" t="n">
        <x:f>IFERROR(VLOOKUP($A79,'Andy FLEX'!$A$6:$N$278,11,FALSE),"")</x:f>
        <x:v>693</x:v>
      </x:c>
      <x:c r="U79" s="111" t="n">
        <x:f>IFERROR(VLOOKUP($A79,'Andy FLEX'!$A$6:$N$278,12,FALSE),"")</x:f>
        <x:v>6</x:v>
      </x:c>
      <x:c r="V79" s="111" t="n">
        <x:f>IFERROR(VLOOKUP($A79,'Andy FLEX'!$A$6:$N$278,13,FALSE),"")</x:f>
        <x:v>0</x:v>
      </x:c>
      <x:c r="W79" s="109" t="n">
        <x:f>IFERROR(VLOOKUP($A79,'Jason FLEX'!$A$6:$N$268,5,FALSE),"")</x:f>
        <x:v>67</x:v>
      </x:c>
      <x:c r="X79" s="110" t="n">
        <x:f>IFERROR(VLOOKUP($A79,'Jason FLEX'!$A$6:$N$268,6,FALSE),"")</x:f>
        <x:v>11.6</x:v>
      </x:c>
      <x:c r="Y79" s="111" t="n">
        <x:f>IFERROR(VLOOKUP($A79,'Jason FLEX'!$A$6:$N$268,7,FALSE),"")</x:f>
        <x:v>0</x:v>
      </x:c>
      <x:c r="Z79" s="111" t="n">
        <x:f>IFERROR(VLOOKUP($A79,'Jason FLEX'!$A$6:$N$268,8,FALSE),"")</x:f>
        <x:v>0</x:v>
      </x:c>
      <x:c r="AA79" s="111" t="n">
        <x:f>IFERROR(VLOOKUP($A79,'Jason FLEX'!$A$6:$N$268,9,FALSE),"")</x:f>
        <x:v>0</x:v>
      </x:c>
      <x:c r="AB79" s="111" t="n">
        <x:f>IFERROR(VLOOKUP($A79,'Jason FLEX'!$A$6:$N$268,10,FALSE),"")</x:f>
        <x:v>74</x:v>
      </x:c>
      <x:c r="AC79" s="111" t="n">
        <x:f>IFERROR(VLOOKUP($A79,'Jason FLEX'!$A$6:$N$268,11,FALSE),"")</x:f>
        <x:v>873</x:v>
      </x:c>
      <x:c r="AD79" s="111" t="n">
        <x:f>IFERROR(VLOOKUP($A79,'Jason FLEX'!$A$6:$N$268,12,FALSE),"")</x:f>
        <x:v>6</x:v>
      </x:c>
      <x:c r="AE79" s="111" t="n">
        <x:f>IFERROR(VLOOKUP($A79,'Jason FLEX'!$A$6:$N$268,13,FALSE),"")</x:f>
        <x:v>0</x:v>
      </x:c>
      <x:c r="AF79" s="110" t="n">
        <x:f>IF(COUNT(E79,N79,W79)=0,"",AVERAGE(E79,N79,W79))</x:f>
        <x:v>77</x:v>
      </x:c>
      <x:c r="AG79" s="110" t="n">
        <x:f>IF(COUNT(E79,N79,W79)=0,"",MAX(E79,N79,W79)-MIN(E79,N79,W79))</x:f>
        <x:v>19</x:v>
      </x:c>
      <x:c r="AH79" s="110" t="n">
        <x:f>IF(COUNT(F79,O79,X79)=0,"",AVERAGE(F79,O79,X79))</x:f>
        <x:v>10.866666666666667</x:v>
      </x:c>
      <x:c r="AI79" s="112" t="n">
        <x:f>IF(COUNT(G79,P79,Y79)=0,"",AVERAGE(G79,P79,Y79))</x:f>
        <x:v>0</x:v>
      </x:c>
      <x:c r="AJ79" s="112" t="n">
        <x:f>IF(COUNT(H79,Q79,Z79)=0,"",AVERAGE(H79,Q79,Z79))</x:f>
        <x:v>0</x:v>
      </x:c>
      <x:c r="AK79" s="112" t="n">
        <x:f>IF(COUNT(I79,R79,AA79)=0,"",AVERAGE(I79,R79,AA79))</x:f>
        <x:v>0</x:v>
      </x:c>
      <x:c r="AL79" s="112" t="n">
        <x:f>IF(COUNT(J79,S79,AB79)=0,"",AVERAGE(J79,S79,AB79))</x:f>
        <x:v>71.33333333333333</x:v>
      </x:c>
      <x:c r="AM79" s="112" t="n">
        <x:f>IF(COUNT(K79,T79,AC79)=0,"",AVERAGE(K79,T79,AC79))</x:f>
        <x:v>795.6666666666666</x:v>
      </x:c>
      <x:c r="AN79" s="112" t="n">
        <x:f>IF(COUNT(L79,U79,AD79)=0,"",AVERAGE(L79,U79,AD79))</x:f>
        <x:v>6</x:v>
      </x:c>
      <x:c r="AO79" s="112" t="n">
        <x:f>IF(COUNT(M79,V79,AE79)=0,"",AVERAGE(M79,V79,AE79))</x:f>
        <x:v>0</x:v>
      </x:c>
    </x:row>
    <x:row r="80">
      <x:c r="A80" s="107" t="str">
        <x:v>Courtland Sutton</x:v>
      </x:c>
      <x:c r="B80" s="108" t="str">
        <x:v>WR</x:v>
      </x:c>
      <x:c r="C80" s="108" t="str">
        <x:v>DEN</x:v>
      </x:c>
      <x:c r="D80" s="109" t="n">
        <x:v>10</x:v>
      </x:c>
      <x:c r="E80" s="109" t="n">
        <x:f>IFERROR(VLOOKUP($A80,'Mike FLEX'!$A$6:$N$278,5,FALSE),"")</x:f>
        <x:v>75</x:v>
      </x:c>
      <x:c r="F80" s="110" t="n">
        <x:f>IFERROR(VLOOKUP($A80,'Mike FLEX'!$A$6:$N$278,6,FALSE),"")</x:f>
        <x:v>11.1</x:v>
      </x:c>
      <x:c r="G80" s="111" t="n">
        <x:f>IFERROR(VLOOKUP($A80,'Mike FLEX'!$A$6:$N$278,7,FALSE),"")</x:f>
        <x:v>0</x:v>
      </x:c>
      <x:c r="H80" s="111" t="n">
        <x:f>IFERROR(VLOOKUP($A80,'Mike FLEX'!$A$6:$N$278,8,FALSE),"")</x:f>
        <x:v>0</x:v>
      </x:c>
      <x:c r="I80" s="111" t="n">
        <x:f>IFERROR(VLOOKUP($A80,'Mike FLEX'!$A$6:$N$278,9,FALSE),"")</x:f>
        <x:v>0</x:v>
      </x:c>
      <x:c r="J80" s="111" t="n">
        <x:f>IFERROR(VLOOKUP($A80,'Mike FLEX'!$A$6:$N$278,10,FALSE),"")</x:f>
        <x:v>67</x:v>
      </x:c>
      <x:c r="K80" s="111" t="n">
        <x:f>IFERROR(VLOOKUP($A80,'Mike FLEX'!$A$6:$N$278,11,FALSE),"")</x:f>
        <x:v>907</x:v>
      </x:c>
      <x:c r="L80" s="111" t="n">
        <x:f>IFERROR(VLOOKUP($A80,'Mike FLEX'!$A$6:$N$278,12,FALSE),"")</x:f>
        <x:v>6</x:v>
      </x:c>
      <x:c r="M80" s="111" t="n">
        <x:f>IFERROR(VLOOKUP($A80,'Mike FLEX'!$A$6:$N$278,13,FALSE),"")</x:f>
        <x:v>1</x:v>
      </x:c>
      <x:c r="N80" s="109" t="n">
        <x:f>IFERROR(VLOOKUP($A80,'Andy FLEX'!$A$6:$N$278,5,FALSE),"")</x:f>
        <x:v>85</x:v>
      </x:c>
      <x:c r="O80" s="110" t="n">
        <x:f>IFERROR(VLOOKUP($A80,'Andy FLEX'!$A$6:$N$278,6,FALSE),"")</x:f>
        <x:v>10.1</x:v>
      </x:c>
      <x:c r="P80" s="111" t="n">
        <x:f>IFERROR(VLOOKUP($A80,'Andy FLEX'!$A$6:$N$278,7,FALSE),"")</x:f>
        <x:v>1</x:v>
      </x:c>
      <x:c r="Q80" s="111" t="n">
        <x:f>IFERROR(VLOOKUP($A80,'Andy FLEX'!$A$6:$N$278,8,FALSE),"")</x:f>
        <x:v>3</x:v>
      </x:c>
      <x:c r="R80" s="111" t="n">
        <x:f>IFERROR(VLOOKUP($A80,'Andy FLEX'!$A$6:$N$278,9,FALSE),"")</x:f>
        <x:v>0</x:v>
      </x:c>
      <x:c r="S80" s="111" t="n">
        <x:f>IFERROR(VLOOKUP($A80,'Andy FLEX'!$A$6:$N$278,10,FALSE),"")</x:f>
        <x:v>60</x:v>
      </x:c>
      <x:c r="T80" s="111" t="n">
        <x:f>IFERROR(VLOOKUP($A80,'Andy FLEX'!$A$6:$N$278,11,FALSE),"")</x:f>
        <x:v>809</x:v>
      </x:c>
      <x:c r="U80" s="111" t="n">
        <x:f>IFERROR(VLOOKUP($A80,'Andy FLEX'!$A$6:$N$278,12,FALSE),"")</x:f>
        <x:v>5</x:v>
      </x:c>
      <x:c r="V80" s="111" t="n">
        <x:f>IFERROR(VLOOKUP($A80,'Andy FLEX'!$A$6:$N$278,13,FALSE),"")</x:f>
        <x:v>1</x:v>
      </x:c>
      <x:c r="W80" s="109" t="n">
        <x:f>IFERROR(VLOOKUP($A80,'Jason FLEX'!$A$6:$N$268,5,FALSE),"")</x:f>
        <x:v>76</x:v>
      </x:c>
      <x:c r="X80" s="110" t="n">
        <x:f>IFERROR(VLOOKUP($A80,'Jason FLEX'!$A$6:$N$268,6,FALSE),"")</x:f>
        <x:v>10.6</x:v>
      </x:c>
      <x:c r="Y80" s="111" t="n">
        <x:f>IFERROR(VLOOKUP($A80,'Jason FLEX'!$A$6:$N$268,7,FALSE),"")</x:f>
        <x:v>0</x:v>
      </x:c>
      <x:c r="Z80" s="111" t="n">
        <x:f>IFERROR(VLOOKUP($A80,'Jason FLEX'!$A$6:$N$268,8,FALSE),"")</x:f>
        <x:v>0</x:v>
      </x:c>
      <x:c r="AA80" s="111" t="n">
        <x:f>IFERROR(VLOOKUP($A80,'Jason FLEX'!$A$6:$N$268,9,FALSE),"")</x:f>
        <x:v>0</x:v>
      </x:c>
      <x:c r="AB80" s="111" t="n">
        <x:f>IFERROR(VLOOKUP($A80,'Jason FLEX'!$A$6:$N$268,10,FALSE),"")</x:f>
        <x:v>61</x:v>
      </x:c>
      <x:c r="AC80" s="111" t="n">
        <x:f>IFERROR(VLOOKUP($A80,'Jason FLEX'!$A$6:$N$268,11,FALSE),"")</x:f>
        <x:v>800</x:v>
      </x:c>
      <x:c r="AD80" s="111" t="n">
        <x:f>IFERROR(VLOOKUP($A80,'Jason FLEX'!$A$6:$N$268,12,FALSE),"")</x:f>
        <x:v>7</x:v>
      </x:c>
      <x:c r="AE80" s="111" t="n">
        <x:f>IFERROR(VLOOKUP($A80,'Jason FLEX'!$A$6:$N$268,13,FALSE),"")</x:f>
        <x:v>1</x:v>
      </x:c>
      <x:c r="AF80" s="110" t="n">
        <x:f>IF(COUNT(E80,N80,W80)=0,"",AVERAGE(E80,N80,W80))</x:f>
        <x:v>78.66666666666667</x:v>
      </x:c>
      <x:c r="AG80" s="110" t="n">
        <x:f>IF(COUNT(E80,N80,W80)=0,"",MAX(E80,N80,W80)-MIN(E80,N80,W80))</x:f>
        <x:v>10</x:v>
      </x:c>
      <x:c r="AH80" s="110" t="n">
        <x:f>IF(COUNT(F80,O80,X80)=0,"",AVERAGE(F80,O80,X80))</x:f>
        <x:v>10.6</x:v>
      </x:c>
      <x:c r="AI80" s="112" t="n">
        <x:f>IF(COUNT(G80,P80,Y80)=0,"",AVERAGE(G80,P80,Y80))</x:f>
        <x:v>0.3333333333333333</x:v>
      </x:c>
      <x:c r="AJ80" s="112" t="n">
        <x:f>IF(COUNT(H80,Q80,Z80)=0,"",AVERAGE(H80,Q80,Z80))</x:f>
        <x:v>1</x:v>
      </x:c>
      <x:c r="AK80" s="112" t="n">
        <x:f>IF(COUNT(I80,R80,AA80)=0,"",AVERAGE(I80,R80,AA80))</x:f>
        <x:v>0</x:v>
      </x:c>
      <x:c r="AL80" s="112" t="n">
        <x:f>IF(COUNT(J80,S80,AB80)=0,"",AVERAGE(J80,S80,AB80))</x:f>
        <x:v>62.666666666666664</x:v>
      </x:c>
      <x:c r="AM80" s="112" t="n">
        <x:f>IF(COUNT(K80,T80,AC80)=0,"",AVERAGE(K80,T80,AC80))</x:f>
        <x:v>838.6666666666666</x:v>
      </x:c>
      <x:c r="AN80" s="112" t="n">
        <x:f>IF(COUNT(L80,U80,AD80)=0,"",AVERAGE(L80,U80,AD80))</x:f>
        <x:v>6</x:v>
      </x:c>
      <x:c r="AO80" s="112" t="n">
        <x:f>IF(COUNT(M80,V80,AE80)=0,"",AVERAGE(M80,V80,AE80))</x:f>
        <x:v>1</x:v>
      </x:c>
    </x:row>
    <x:row r="81">
      <x:c r="A81" s="107" t="str">
        <x:v>Jordan Addison</x:v>
      </x:c>
      <x:c r="B81" s="108" t="str">
        <x:v>WR</x:v>
      </x:c>
      <x:c r="C81" s="108" t="str">
        <x:v>MIN</x:v>
      </x:c>
      <x:c r="D81" s="109" t="n">
        <x:v>6</x:v>
      </x:c>
      <x:c r="E81" s="109" t="n">
        <x:f>IFERROR(VLOOKUP($A81,'Mike FLEX'!$A$6:$N$278,5,FALSE),"")</x:f>
        <x:v>77</x:v>
      </x:c>
      <x:c r="F81" s="110" t="n">
        <x:f>IFERROR(VLOOKUP($A81,'Mike FLEX'!$A$6:$N$278,6,FALSE),"")</x:f>
        <x:v>11</x:v>
      </x:c>
      <x:c r="G81" s="111" t="n">
        <x:f>IFERROR(VLOOKUP($A81,'Mike FLEX'!$A$6:$N$278,7,FALSE),"")</x:f>
        <x:v>2</x:v>
      </x:c>
      <x:c r="H81" s="111" t="n">
        <x:f>IFERROR(VLOOKUP($A81,'Mike FLEX'!$A$6:$N$278,8,FALSE),"")</x:f>
        <x:v>25</x:v>
      </x:c>
      <x:c r="I81" s="111" t="n">
        <x:f>IFERROR(VLOOKUP($A81,'Mike FLEX'!$A$6:$N$278,9,FALSE),"")</x:f>
        <x:v>0</x:v>
      </x:c>
      <x:c r="J81" s="111" t="n">
        <x:f>IFERROR(VLOOKUP($A81,'Mike FLEX'!$A$6:$N$278,10,FALSE),"")</x:f>
        <x:v>60</x:v>
      </x:c>
      <x:c r="K81" s="111" t="n">
        <x:f>IFERROR(VLOOKUP($A81,'Mike FLEX'!$A$6:$N$278,11,FALSE),"")</x:f>
        <x:v>823</x:v>
      </x:c>
      <x:c r="L81" s="111" t="n">
        <x:f>IFERROR(VLOOKUP($A81,'Mike FLEX'!$A$6:$N$278,12,FALSE),"")</x:f>
        <x:v>7</x:v>
      </x:c>
      <x:c r="M81" s="111" t="n">
        <x:f>IFERROR(VLOOKUP($A81,'Mike FLEX'!$A$6:$N$278,13,FALSE),"")</x:f>
        <x:v>0</x:v>
      </x:c>
      <x:c r="N81" s="109" t="n">
        <x:f>IFERROR(VLOOKUP($A81,'Andy FLEX'!$A$6:$N$278,5,FALSE),"")</x:f>
        <x:v>80</x:v>
      </x:c>
      <x:c r="O81" s="110" t="n">
        <x:f>IFERROR(VLOOKUP($A81,'Andy FLEX'!$A$6:$N$278,6,FALSE),"")</x:f>
        <x:v>10.3</x:v>
      </x:c>
      <x:c r="P81" s="111" t="n">
        <x:f>IFERROR(VLOOKUP($A81,'Andy FLEX'!$A$6:$N$278,7,FALSE),"")</x:f>
        <x:v>8</x:v>
      </x:c>
      <x:c r="Q81" s="111" t="n">
        <x:f>IFERROR(VLOOKUP($A81,'Andy FLEX'!$A$6:$N$278,8,FALSE),"")</x:f>
        <x:v>49</x:v>
      </x:c>
      <x:c r="R81" s="111" t="n">
        <x:f>IFERROR(VLOOKUP($A81,'Andy FLEX'!$A$6:$N$278,9,FALSE),"")</x:f>
        <x:v>1</x:v>
      </x:c>
      <x:c r="S81" s="111" t="n">
        <x:f>IFERROR(VLOOKUP($A81,'Andy FLEX'!$A$6:$N$278,10,FALSE),"")</x:f>
        <x:v>55</x:v>
      </x:c>
      <x:c r="T81" s="111" t="n">
        <x:f>IFERROR(VLOOKUP($A81,'Andy FLEX'!$A$6:$N$278,11,FALSE),"")</x:f>
        <x:v>779</x:v>
      </x:c>
      <x:c r="U81" s="111" t="n">
        <x:f>IFERROR(VLOOKUP($A81,'Andy FLEX'!$A$6:$N$278,12,FALSE),"")</x:f>
        <x:v>6</x:v>
      </x:c>
      <x:c r="V81" s="111" t="n">
        <x:f>IFERROR(VLOOKUP($A81,'Andy FLEX'!$A$6:$N$278,13,FALSE),"")</x:f>
        <x:v>1</x:v>
      </x:c>
      <x:c r="W81" s="109" t="n">
        <x:f>IFERROR(VLOOKUP($A81,'Jason FLEX'!$A$6:$N$268,5,FALSE),"")</x:f>
        <x:v>81</x:v>
      </x:c>
      <x:c r="X81" s="110" t="n">
        <x:f>IFERROR(VLOOKUP($A81,'Jason FLEX'!$A$6:$N$268,6,FALSE),"")</x:f>
        <x:v>10.3</x:v>
      </x:c>
      <x:c r="Y81" s="111" t="n">
        <x:f>IFERROR(VLOOKUP($A81,'Jason FLEX'!$A$6:$N$268,7,FALSE),"")</x:f>
        <x:v>3</x:v>
      </x:c>
      <x:c r="Z81" s="111" t="n">
        <x:f>IFERROR(VLOOKUP($A81,'Jason FLEX'!$A$6:$N$268,8,FALSE),"")</x:f>
        <x:v>45</x:v>
      </x:c>
      <x:c r="AA81" s="111" t="n">
        <x:f>IFERROR(VLOOKUP($A81,'Jason FLEX'!$A$6:$N$268,9,FALSE),"")</x:f>
        <x:v>1</x:v>
      </x:c>
      <x:c r="AB81" s="111" t="n">
        <x:f>IFERROR(VLOOKUP($A81,'Jason FLEX'!$A$6:$N$268,10,FALSE),"")</x:f>
        <x:v>55</x:v>
      </x:c>
      <x:c r="AC81" s="111" t="n">
        <x:f>IFERROR(VLOOKUP($A81,'Jason FLEX'!$A$6:$N$268,11,FALSE),"")</x:f>
        <x:v>770</x:v>
      </x:c>
      <x:c r="AD81" s="111" t="n">
        <x:f>IFERROR(VLOOKUP($A81,'Jason FLEX'!$A$6:$N$268,12,FALSE),"")</x:f>
        <x:v>6</x:v>
      </x:c>
      <x:c r="AE81" s="111" t="n">
        <x:f>IFERROR(VLOOKUP($A81,'Jason FLEX'!$A$6:$N$268,13,FALSE),"")</x:f>
        <x:v>0</x:v>
      </x:c>
      <x:c r="AF81" s="110" t="n">
        <x:f>IF(COUNT(E81,N81,W81)=0,"",AVERAGE(E81,N81,W81))</x:f>
        <x:v>79.33333333333333</x:v>
      </x:c>
      <x:c r="AG81" s="110" t="n">
        <x:f>IF(COUNT(E81,N81,W81)=0,"",MAX(E81,N81,W81)-MIN(E81,N81,W81))</x:f>
        <x:v>4</x:v>
      </x:c>
      <x:c r="AH81" s="110" t="n">
        <x:f>IF(COUNT(F81,O81,X81)=0,"",AVERAGE(F81,O81,X81))</x:f>
        <x:v>10.533333333333333</x:v>
      </x:c>
      <x:c r="AI81" s="112" t="n">
        <x:f>IF(COUNT(G81,P81,Y81)=0,"",AVERAGE(G81,P81,Y81))</x:f>
        <x:v>4.333333333333333</x:v>
      </x:c>
      <x:c r="AJ81" s="112" t="n">
        <x:f>IF(COUNT(H81,Q81,Z81)=0,"",AVERAGE(H81,Q81,Z81))</x:f>
        <x:v>39.666666666666664</x:v>
      </x:c>
      <x:c r="AK81" s="112" t="n">
        <x:f>IF(COUNT(I81,R81,AA81)=0,"",AVERAGE(I81,R81,AA81))</x:f>
        <x:v>0.6666666666666666</x:v>
      </x:c>
      <x:c r="AL81" s="112" t="n">
        <x:f>IF(COUNT(J81,S81,AB81)=0,"",AVERAGE(J81,S81,AB81))</x:f>
        <x:v>56.666666666666664</x:v>
      </x:c>
      <x:c r="AM81" s="112" t="n">
        <x:f>IF(COUNT(K81,T81,AC81)=0,"",AVERAGE(K81,T81,AC81))</x:f>
        <x:v>790.6666666666666</x:v>
      </x:c>
      <x:c r="AN81" s="112" t="n">
        <x:f>IF(COUNT(L81,U81,AD81)=0,"",AVERAGE(L81,U81,AD81))</x:f>
        <x:v>6.333333333333333</x:v>
      </x:c>
      <x:c r="AO81" s="112" t="n">
        <x:f>IF(COUNT(M81,V81,AE81)=0,"",AVERAGE(M81,V81,AE81))</x:f>
        <x:v>0.3333333333333333</x:v>
      </x:c>
    </x:row>
    <x:row r="82">
      <x:c r="A82" s="107" t="str">
        <x:v>Stefon Diggs</x:v>
      </x:c>
      <x:c r="B82" s="108" t="str">
        <x:v>WR</x:v>
      </x:c>
      <x:c r="C82" s="108" t="str">
        <x:v>WAS</x:v>
      </x:c>
      <x:c r="D82" s="109" t="n">
        <x:v>7</x:v>
      </x:c>
      <x:c r="E82" s="109" t="n">
        <x:f>IFERROR(VLOOKUP($A82,'Mike FLEX'!$A$6:$N$278,5,FALSE),"")</x:f>
        <x:v>57</x:v>
      </x:c>
      <x:c r="F82" s="110" t="n">
        <x:f>IFERROR(VLOOKUP($A82,'Mike FLEX'!$A$6:$N$278,6,FALSE),"")</x:f>
        <x:v>12.2</x:v>
      </x:c>
      <x:c r="G82" s="111" t="n">
        <x:f>IFERROR(VLOOKUP($A82,'Mike FLEX'!$A$6:$N$278,7,FALSE),"")</x:f>
        <x:v>0</x:v>
      </x:c>
      <x:c r="H82" s="111" t="n">
        <x:f>IFERROR(VLOOKUP($A82,'Mike FLEX'!$A$6:$N$278,8,FALSE),"")</x:f>
        <x:v>0</x:v>
      </x:c>
      <x:c r="I82" s="111" t="n">
        <x:f>IFERROR(VLOOKUP($A82,'Mike FLEX'!$A$6:$N$278,9,FALSE),"")</x:f>
        <x:v>0</x:v>
      </x:c>
      <x:c r="J82" s="111" t="n">
        <x:f>IFERROR(VLOOKUP($A82,'Mike FLEX'!$A$6:$N$278,10,FALSE),"")</x:f>
        <x:v>85</x:v>
      </x:c>
      <x:c r="K82" s="111" t="n">
        <x:f>IFERROR(VLOOKUP($A82,'Mike FLEX'!$A$6:$N$278,11,FALSE),"")</x:f>
        <x:v>897</x:v>
      </x:c>
      <x:c r="L82" s="111" t="n">
        <x:f>IFERROR(VLOOKUP($A82,'Mike FLEX'!$A$6:$N$278,12,FALSE),"")</x:f>
        <x:v>5</x:v>
      </x:c>
      <x:c r="M82" s="111" t="n">
        <x:f>IFERROR(VLOOKUP($A82,'Mike FLEX'!$A$6:$N$278,13,FALSE),"")</x:f>
        <x:v>0</x:v>
      </x:c>
      <x:c r="N82" s="109" t="n">
        <x:f>IFERROR(VLOOKUP($A82,'Andy FLEX'!$A$6:$N$278,5,FALSE),"")</x:f>
        <x:v>77</x:v>
      </x:c>
      <x:c r="O82" s="110" t="n">
        <x:f>IFERROR(VLOOKUP($A82,'Andy FLEX'!$A$6:$N$278,6,FALSE),"")</x:f>
        <x:v>10.5</x:v>
      </x:c>
      <x:c r="P82" s="111" t="n">
        <x:f>IFERROR(VLOOKUP($A82,'Andy FLEX'!$A$6:$N$278,7,FALSE),"")</x:f>
        <x:v>2</x:v>
      </x:c>
      <x:c r="Q82" s="111" t="n">
        <x:f>IFERROR(VLOOKUP($A82,'Andy FLEX'!$A$6:$N$278,8,FALSE),"")</x:f>
        <x:v>10</x:v>
      </x:c>
      <x:c r="R82" s="111" t="n">
        <x:f>IFERROR(VLOOKUP($A82,'Andy FLEX'!$A$6:$N$278,9,FALSE),"")</x:f>
        <x:v>0</x:v>
      </x:c>
      <x:c r="S82" s="111" t="n">
        <x:f>IFERROR(VLOOKUP($A82,'Andy FLEX'!$A$6:$N$278,10,FALSE),"")</x:f>
        <x:v>68</x:v>
      </x:c>
      <x:c r="T82" s="111" t="n">
        <x:f>IFERROR(VLOOKUP($A82,'Andy FLEX'!$A$6:$N$278,11,FALSE),"")</x:f>
        <x:v>820</x:v>
      </x:c>
      <x:c r="U82" s="111" t="n">
        <x:f>IFERROR(VLOOKUP($A82,'Andy FLEX'!$A$6:$N$278,12,FALSE),"")</x:f>
        <x:v>5</x:v>
      </x:c>
      <x:c r="V82" s="111" t="n">
        <x:f>IFERROR(VLOOKUP($A82,'Andy FLEX'!$A$6:$N$278,13,FALSE),"")</x:f>
        <x:v>1</x:v>
      </x:c>
      <x:c r="W82" s="109" t="n">
        <x:f>IFERROR(VLOOKUP($A82,'Jason FLEX'!$A$6:$N$268,5,FALSE),"")</x:f>
        <x:v>104</x:v>
      </x:c>
      <x:c r="X82" s="110" t="n">
        <x:f>IFERROR(VLOOKUP($A82,'Jason FLEX'!$A$6:$N$268,6,FALSE),"")</x:f>
        <x:v>9.4</x:v>
      </x:c>
      <x:c r="Y82" s="111" t="n">
        <x:f>IFERROR(VLOOKUP($A82,'Jason FLEX'!$A$6:$N$268,7,FALSE),"")</x:f>
        <x:v>0</x:v>
      </x:c>
      <x:c r="Z82" s="111" t="n">
        <x:f>IFERROR(VLOOKUP($A82,'Jason FLEX'!$A$6:$N$268,8,FALSE),"")</x:f>
        <x:v>0</x:v>
      </x:c>
      <x:c r="AA82" s="111" t="n">
        <x:f>IFERROR(VLOOKUP($A82,'Jason FLEX'!$A$6:$N$268,9,FALSE),"")</x:f>
        <x:v>0</x:v>
      </x:c>
      <x:c r="AB82" s="111" t="n">
        <x:f>IFERROR(VLOOKUP($A82,'Jason FLEX'!$A$6:$N$268,10,FALSE),"")</x:f>
        <x:v>61</x:v>
      </x:c>
      <x:c r="AC82" s="111" t="n">
        <x:f>IFERROR(VLOOKUP($A82,'Jason FLEX'!$A$6:$N$268,11,FALSE),"")</x:f>
        <x:v>749</x:v>
      </x:c>
      <x:c r="AD82" s="111" t="n">
        <x:f>IFERROR(VLOOKUP($A82,'Jason FLEX'!$A$6:$N$268,12,FALSE),"")</x:f>
        <x:v>4</x:v>
      </x:c>
      <x:c r="AE82" s="111" t="n">
        <x:f>IFERROR(VLOOKUP($A82,'Jason FLEX'!$A$6:$N$268,13,FALSE),"")</x:f>
        <x:v>0</x:v>
      </x:c>
      <x:c r="AF82" s="110" t="n">
        <x:f>IF(COUNT(E82,N82,W82)=0,"",AVERAGE(E82,N82,W82))</x:f>
        <x:v>79.33333333333333</x:v>
      </x:c>
      <x:c r="AG82" s="110" t="n">
        <x:f>IF(COUNT(E82,N82,W82)=0,"",MAX(E82,N82,W82)-MIN(E82,N82,W82))</x:f>
        <x:v>47</x:v>
      </x:c>
      <x:c r="AH82" s="110" t="n">
        <x:f>IF(COUNT(F82,O82,X82)=0,"",AVERAGE(F82,O82,X82))</x:f>
        <x:v>10.700000000000001</x:v>
      </x:c>
      <x:c r="AI82" s="112" t="n">
        <x:f>IF(COUNT(G82,P82,Y82)=0,"",AVERAGE(G82,P82,Y82))</x:f>
        <x:v>0.6666666666666666</x:v>
      </x:c>
      <x:c r="AJ82" s="112" t="n">
        <x:f>IF(COUNT(H82,Q82,Z82)=0,"",AVERAGE(H82,Q82,Z82))</x:f>
        <x:v>3.3333333333333335</x:v>
      </x:c>
      <x:c r="AK82" s="112" t="n">
        <x:f>IF(COUNT(I82,R82,AA82)=0,"",AVERAGE(I82,R82,AA82))</x:f>
        <x:v>0</x:v>
      </x:c>
      <x:c r="AL82" s="112" t="n">
        <x:f>IF(COUNT(J82,S82,AB82)=0,"",AVERAGE(J82,S82,AB82))</x:f>
        <x:v>71.33333333333333</x:v>
      </x:c>
      <x:c r="AM82" s="112" t="n">
        <x:f>IF(COUNT(K82,T82,AC82)=0,"",AVERAGE(K82,T82,AC82))</x:f>
        <x:v>822</x:v>
      </x:c>
      <x:c r="AN82" s="112" t="n">
        <x:f>IF(COUNT(L82,U82,AD82)=0,"",AVERAGE(L82,U82,AD82))</x:f>
        <x:v>4.666666666666667</x:v>
      </x:c>
      <x:c r="AO82" s="112" t="n">
        <x:f>IF(COUNT(M82,V82,AE82)=0,"",AVERAGE(M82,V82,AE82))</x:f>
        <x:v>0.3333333333333333</x:v>
      </x:c>
    </x:row>
    <x:row r="83">
      <x:c r="A83" s="107" t="str">
        <x:v>Michael Wilson</x:v>
      </x:c>
      <x:c r="B83" s="108" t="str">
        <x:v>WR</x:v>
      </x:c>
      <x:c r="C83" s="108" t="str">
        <x:v>ARI</x:v>
      </x:c>
      <x:c r="D83" s="109" t="n">
        <x:v>14</x:v>
      </x:c>
      <x:c r="E83" s="109" t="n">
        <x:f>IFERROR(VLOOKUP($A83,'Mike FLEX'!$A$6:$N$278,5,FALSE),"")</x:f>
        <x:v>68</x:v>
      </x:c>
      <x:c r="F83" s="110" t="n">
        <x:f>IFERROR(VLOOKUP($A83,'Mike FLEX'!$A$6:$N$278,6,FALSE),"")</x:f>
        <x:v>11.5</x:v>
      </x:c>
      <x:c r="G83" s="111" t="n">
        <x:f>IFERROR(VLOOKUP($A83,'Mike FLEX'!$A$6:$N$278,7,FALSE),"")</x:f>
        <x:v>0</x:v>
      </x:c>
      <x:c r="H83" s="111" t="n">
        <x:f>IFERROR(VLOOKUP($A83,'Mike FLEX'!$A$6:$N$278,8,FALSE),"")</x:f>
        <x:v>0</x:v>
      </x:c>
      <x:c r="I83" s="111" t="n">
        <x:f>IFERROR(VLOOKUP($A83,'Mike FLEX'!$A$6:$N$278,9,FALSE),"")</x:f>
        <x:v>0</x:v>
      </x:c>
      <x:c r="J83" s="111" t="n">
        <x:f>IFERROR(VLOOKUP($A83,'Mike FLEX'!$A$6:$N$278,10,FALSE),"")</x:f>
        <x:v>70</x:v>
      </x:c>
      <x:c r="K83" s="111" t="n">
        <x:f>IFERROR(VLOOKUP($A83,'Mike FLEX'!$A$6:$N$278,11,FALSE),"")</x:f>
        <x:v>906</x:v>
      </x:c>
      <x:c r="L83" s="111" t="n">
        <x:f>IFERROR(VLOOKUP($A83,'Mike FLEX'!$A$6:$N$278,12,FALSE),"")</x:f>
        <x:v>6</x:v>
      </x:c>
      <x:c r="M83" s="111" t="n">
        <x:f>IFERROR(VLOOKUP($A83,'Mike FLEX'!$A$6:$N$278,13,FALSE),"")</x:f>
        <x:v>0</x:v>
      </x:c>
      <x:c r="N83" s="109" t="n">
        <x:f>IFERROR(VLOOKUP($A83,'Andy FLEX'!$A$6:$N$278,5,FALSE),"")</x:f>
        <x:v>67</x:v>
      </x:c>
      <x:c r="O83" s="110" t="n">
        <x:f>IFERROR(VLOOKUP($A83,'Andy FLEX'!$A$6:$N$278,6,FALSE),"")</x:f>
        <x:v>11.6</x:v>
      </x:c>
      <x:c r="P83" s="111" t="n">
        <x:f>IFERROR(VLOOKUP($A83,'Andy FLEX'!$A$6:$N$278,7,FALSE),"")</x:f>
        <x:v>0</x:v>
      </x:c>
      <x:c r="Q83" s="111" t="n">
        <x:f>IFERROR(VLOOKUP($A83,'Andy FLEX'!$A$6:$N$278,8,FALSE),"")</x:f>
        <x:v>3</x:v>
      </x:c>
      <x:c r="R83" s="111" t="n">
        <x:f>IFERROR(VLOOKUP($A83,'Andy FLEX'!$A$6:$N$278,9,FALSE),"")</x:f>
        <x:v>0</x:v>
      </x:c>
      <x:c r="S83" s="111" t="n">
        <x:f>IFERROR(VLOOKUP($A83,'Andy FLEX'!$A$6:$N$278,10,FALSE),"")</x:f>
        <x:v>75</x:v>
      </x:c>
      <x:c r="T83" s="111" t="n">
        <x:f>IFERROR(VLOOKUP($A83,'Andy FLEX'!$A$6:$N$278,11,FALSE),"")</x:f>
        <x:v>912</x:v>
      </x:c>
      <x:c r="U83" s="111" t="n">
        <x:f>IFERROR(VLOOKUP($A83,'Andy FLEX'!$A$6:$N$278,12,FALSE),"")</x:f>
        <x:v>5</x:v>
      </x:c>
      <x:c r="V83" s="111" t="n">
        <x:f>IFERROR(VLOOKUP($A83,'Andy FLEX'!$A$6:$N$278,13,FALSE),"")</x:f>
        <x:v>0</x:v>
      </x:c>
      <x:c r="W83" s="109" t="n">
        <x:f>IFERROR(VLOOKUP($A83,'Jason FLEX'!$A$6:$N$268,5,FALSE),"")</x:f>
        <x:v>106</x:v>
      </x:c>
      <x:c r="X83" s="110" t="n">
        <x:f>IFERROR(VLOOKUP($A83,'Jason FLEX'!$A$6:$N$268,6,FALSE),"")</x:f>
        <x:v>9.3</x:v>
      </x:c>
      <x:c r="Y83" s="111" t="n">
        <x:f>IFERROR(VLOOKUP($A83,'Jason FLEX'!$A$6:$N$268,7,FALSE),"")</x:f>
        <x:v>0</x:v>
      </x:c>
      <x:c r="Z83" s="111" t="n">
        <x:f>IFERROR(VLOOKUP($A83,'Jason FLEX'!$A$6:$N$268,8,FALSE),"")</x:f>
        <x:v>0</x:v>
      </x:c>
      <x:c r="AA83" s="111" t="n">
        <x:f>IFERROR(VLOOKUP($A83,'Jason FLEX'!$A$6:$N$268,9,FALSE),"")</x:f>
        <x:v>0</x:v>
      </x:c>
      <x:c r="AB83" s="111" t="n">
        <x:f>IFERROR(VLOOKUP($A83,'Jason FLEX'!$A$6:$N$268,10,FALSE),"")</x:f>
        <x:v>61</x:v>
      </x:c>
      <x:c r="AC83" s="111" t="n">
        <x:f>IFERROR(VLOOKUP($A83,'Jason FLEX'!$A$6:$N$268,11,FALSE),"")</x:f>
        <x:v>747</x:v>
      </x:c>
      <x:c r="AD83" s="111" t="n">
        <x:f>IFERROR(VLOOKUP($A83,'Jason FLEX'!$A$6:$N$268,12,FALSE),"")</x:f>
        <x:v>4</x:v>
      </x:c>
      <x:c r="AE83" s="111" t="n">
        <x:f>IFERROR(VLOOKUP($A83,'Jason FLEX'!$A$6:$N$268,13,FALSE),"")</x:f>
        <x:v>0</x:v>
      </x:c>
      <x:c r="AF83" s="110" t="n">
        <x:f>IF(COUNT(E83,N83,W83)=0,"",AVERAGE(E83,N83,W83))</x:f>
        <x:v>80.33333333333333</x:v>
      </x:c>
      <x:c r="AG83" s="110" t="n">
        <x:f>IF(COUNT(E83,N83,W83)=0,"",MAX(E83,N83,W83)-MIN(E83,N83,W83))</x:f>
        <x:v>39</x:v>
      </x:c>
      <x:c r="AH83" s="110" t="n">
        <x:f>IF(COUNT(F83,O83,X83)=0,"",AVERAGE(F83,O83,X83))</x:f>
        <x:v>10.800000000000002</x:v>
      </x:c>
      <x:c r="AI83" s="112" t="n">
        <x:f>IF(COUNT(G83,P83,Y83)=0,"",AVERAGE(G83,P83,Y83))</x:f>
        <x:v>0</x:v>
      </x:c>
      <x:c r="AJ83" s="112" t="n">
        <x:f>IF(COUNT(H83,Q83,Z83)=0,"",AVERAGE(H83,Q83,Z83))</x:f>
        <x:v>1</x:v>
      </x:c>
      <x:c r="AK83" s="112" t="n">
        <x:f>IF(COUNT(I83,R83,AA83)=0,"",AVERAGE(I83,R83,AA83))</x:f>
        <x:v>0</x:v>
      </x:c>
      <x:c r="AL83" s="112" t="n">
        <x:f>IF(COUNT(J83,S83,AB83)=0,"",AVERAGE(J83,S83,AB83))</x:f>
        <x:v>68.66666666666667</x:v>
      </x:c>
      <x:c r="AM83" s="112" t="n">
        <x:f>IF(COUNT(K83,T83,AC83)=0,"",AVERAGE(K83,T83,AC83))</x:f>
        <x:v>855</x:v>
      </x:c>
      <x:c r="AN83" s="112" t="n">
        <x:f>IF(COUNT(L83,U83,AD83)=0,"",AVERAGE(L83,U83,AD83))</x:f>
        <x:v>5</x:v>
      </x:c>
      <x:c r="AO83" s="112" t="n">
        <x:f>IF(COUNT(M83,V83,AE83)=0,"",AVERAGE(M83,V83,AE83))</x:f>
        <x:v>0</x:v>
      </x:c>
    </x:row>
    <x:row r="84">
      <x:c r="A84" s="107" t="str">
        <x:v>Rico Dowdle</x:v>
      </x:c>
      <x:c r="B84" s="108" t="str">
        <x:v>RB</x:v>
      </x:c>
      <x:c r="C84" s="108" t="str">
        <x:v>PIT</x:v>
      </x:c>
      <x:c r="D84" s="109" t="n">
        <x:v>9</x:v>
      </x:c>
      <x:c r="E84" s="109" t="n">
        <x:f>IFERROR(VLOOKUP($A84,'Mike FLEX'!$A$6:$N$278,5,FALSE),"")</x:f>
        <x:v>65</x:v>
      </x:c>
      <x:c r="F84" s="110" t="n">
        <x:f>IFERROR(VLOOKUP($A84,'Mike FLEX'!$A$6:$N$278,6,FALSE),"")</x:f>
        <x:v>11.6</x:v>
      </x:c>
      <x:c r="G84" s="111" t="n">
        <x:f>IFERROR(VLOOKUP($A84,'Mike FLEX'!$A$6:$N$278,7,FALSE),"")</x:f>
        <x:v>228</x:v>
      </x:c>
      <x:c r="H84" s="111" t="n">
        <x:f>IFERROR(VLOOKUP($A84,'Mike FLEX'!$A$6:$N$278,8,FALSE),"")</x:f>
        <x:v>1028</x:v>
      </x:c>
      <x:c r="I84" s="111" t="n">
        <x:f>IFERROR(VLOOKUP($A84,'Mike FLEX'!$A$6:$N$278,9,FALSE),"")</x:f>
        <x:v>5</x:v>
      </x:c>
      <x:c r="J84" s="111" t="n">
        <x:f>IFERROR(VLOOKUP($A84,'Mike FLEX'!$A$6:$N$278,10,FALSE),"")</x:f>
        <x:v>33</x:v>
      </x:c>
      <x:c r="K84" s="111" t="n">
        <x:f>IFERROR(VLOOKUP($A84,'Mike FLEX'!$A$6:$N$278,11,FALSE),"")</x:f>
        <x:v>244</x:v>
      </x:c>
      <x:c r="L84" s="111" t="n">
        <x:f>IFERROR(VLOOKUP($A84,'Mike FLEX'!$A$6:$N$278,12,FALSE),"")</x:f>
        <x:v>2</x:v>
      </x:c>
      <x:c r="M84" s="111" t="n">
        <x:f>IFERROR(VLOOKUP($A84,'Mike FLEX'!$A$6:$N$278,13,FALSE),"")</x:f>
        <x:v>1</x:v>
      </x:c>
      <x:c r="N84" s="109" t="n">
        <x:f>IFERROR(VLOOKUP($A84,'Andy FLEX'!$A$6:$N$278,5,FALSE),"")</x:f>
        <x:v>68</x:v>
      </x:c>
      <x:c r="O84" s="110" t="n">
        <x:f>IFERROR(VLOOKUP($A84,'Andy FLEX'!$A$6:$N$278,6,FALSE),"")</x:f>
        <x:v>11.6</x:v>
      </x:c>
      <x:c r="P84" s="111" t="n">
        <x:f>IFERROR(VLOOKUP($A84,'Andy FLEX'!$A$6:$N$278,7,FALSE),"")</x:f>
        <x:v>215</x:v>
      </x:c>
      <x:c r="Q84" s="111" t="n">
        <x:f>IFERROR(VLOOKUP($A84,'Andy FLEX'!$A$6:$N$278,8,FALSE),"")</x:f>
        <x:v>958</x:v>
      </x:c>
      <x:c r="R84" s="111" t="n">
        <x:f>IFERROR(VLOOKUP($A84,'Andy FLEX'!$A$6:$N$278,9,FALSE),"")</x:f>
        <x:v>7</x:v>
      </x:c>
      <x:c r="S84" s="111" t="n">
        <x:f>IFERROR(VLOOKUP($A84,'Andy FLEX'!$A$6:$N$278,10,FALSE),"")</x:f>
        <x:v>32</x:v>
      </x:c>
      <x:c r="T84" s="111" t="n">
        <x:f>IFERROR(VLOOKUP($A84,'Andy FLEX'!$A$6:$N$278,11,FALSE),"")</x:f>
        <x:v>265</x:v>
      </x:c>
      <x:c r="U84" s="111" t="n">
        <x:f>IFERROR(VLOOKUP($A84,'Andy FLEX'!$A$6:$N$278,12,FALSE),"")</x:f>
        <x:v>1</x:v>
      </x:c>
      <x:c r="V84" s="111" t="n">
        <x:f>IFERROR(VLOOKUP($A84,'Andy FLEX'!$A$6:$N$278,13,FALSE),"")</x:f>
        <x:v>2</x:v>
      </x:c>
      <x:c r="W84" s="109" t="n">
        <x:f>IFERROR(VLOOKUP($A84,'Jason FLEX'!$A$6:$N$268,5,FALSE),"")</x:f>
        <x:v>112</x:v>
      </x:c>
      <x:c r="X84" s="110" t="n">
        <x:f>IFERROR(VLOOKUP($A84,'Jason FLEX'!$A$6:$N$268,6,FALSE),"")</x:f>
        <x:v>9.2</x:v>
      </x:c>
      <x:c r="Y84" s="111" t="n">
        <x:f>IFERROR(VLOOKUP($A84,'Jason FLEX'!$A$6:$N$268,7,FALSE),"")</x:f>
        <x:v>175</x:v>
      </x:c>
      <x:c r="Z84" s="111" t="n">
        <x:f>IFERROR(VLOOKUP($A84,'Jason FLEX'!$A$6:$N$268,8,FALSE),"")</x:f>
        <x:v>770</x:v>
      </x:c>
      <x:c r="AA84" s="111" t="n">
        <x:f>IFERROR(VLOOKUP($A84,'Jason FLEX'!$A$6:$N$268,9,FALSE),"")</x:f>
        <x:v>6</x:v>
      </x:c>
      <x:c r="AB84" s="111" t="n">
        <x:f>IFERROR(VLOOKUP($A84,'Jason FLEX'!$A$6:$N$268,10,FALSE),"")</x:f>
        <x:v>25</x:v>
      </x:c>
      <x:c r="AC84" s="111" t="n">
        <x:f>IFERROR(VLOOKUP($A84,'Jason FLEX'!$A$6:$N$268,11,FALSE),"")</x:f>
        <x:v>163</x:v>
      </x:c>
      <x:c r="AD84" s="111" t="n">
        <x:f>IFERROR(VLOOKUP($A84,'Jason FLEX'!$A$6:$N$268,12,FALSE),"")</x:f>
        <x:v>1</x:v>
      </x:c>
      <x:c r="AE84" s="111" t="n">
        <x:f>IFERROR(VLOOKUP($A84,'Jason FLEX'!$A$6:$N$268,13,FALSE),"")</x:f>
        <x:v>1</x:v>
      </x:c>
      <x:c r="AF84" s="110" t="n">
        <x:f>IF(COUNT(E84,N84,W84)=0,"",AVERAGE(E84,N84,W84))</x:f>
        <x:v>81.66666666666667</x:v>
      </x:c>
      <x:c r="AG84" s="110" t="n">
        <x:f>IF(COUNT(E84,N84,W84)=0,"",MAX(E84,N84,W84)-MIN(E84,N84,W84))</x:f>
        <x:v>47</x:v>
      </x:c>
      <x:c r="AH84" s="110" t="n">
        <x:f>IF(COUNT(F84,O84,X84)=0,"",AVERAGE(F84,O84,X84))</x:f>
        <x:v>10.799999999999999</x:v>
      </x:c>
      <x:c r="AI84" s="112" t="n">
        <x:f>IF(COUNT(G84,P84,Y84)=0,"",AVERAGE(G84,P84,Y84))</x:f>
        <x:v>206</x:v>
      </x:c>
      <x:c r="AJ84" s="112" t="n">
        <x:f>IF(COUNT(H84,Q84,Z84)=0,"",AVERAGE(H84,Q84,Z84))</x:f>
        <x:v>918.6666666666666</x:v>
      </x:c>
      <x:c r="AK84" s="112" t="n">
        <x:f>IF(COUNT(I84,R84,AA84)=0,"",AVERAGE(I84,R84,AA84))</x:f>
        <x:v>6</x:v>
      </x:c>
      <x:c r="AL84" s="112" t="n">
        <x:f>IF(COUNT(J84,S84,AB84)=0,"",AVERAGE(J84,S84,AB84))</x:f>
        <x:v>30</x:v>
      </x:c>
      <x:c r="AM84" s="112" t="n">
        <x:f>IF(COUNT(K84,T84,AC84)=0,"",AVERAGE(K84,T84,AC84))</x:f>
        <x:v>224</x:v>
      </x:c>
      <x:c r="AN84" s="112" t="n">
        <x:f>IF(COUNT(L84,U84,AD84)=0,"",AVERAGE(L84,U84,AD84))</x:f>
        <x:v>1.3333333333333333</x:v>
      </x:c>
      <x:c r="AO84" s="112" t="n">
        <x:f>IF(COUNT(M84,V84,AE84)=0,"",AVERAGE(M84,V84,AE84))</x:f>
        <x:v>1.3333333333333333</x:v>
      </x:c>
    </x:row>
    <x:row r="85">
      <x:c r="A85" s="107" t="str">
        <x:v>Kyle Pitts Sr.</x:v>
      </x:c>
      <x:c r="B85" s="108" t="str">
        <x:v>TE</x:v>
      </x:c>
      <x:c r="C85" s="108" t="str">
        <x:v>ATL</x:v>
      </x:c>
      <x:c r="D85" s="109" t="n">
        <x:v>11</x:v>
      </x:c>
      <x:c r="E85" s="109" t="n">
        <x:f>IFERROR(VLOOKUP($A85,'Mike FLEX'!$A$6:$N$278,5,FALSE),"")</x:f>
        <x:v>107</x:v>
      </x:c>
      <x:c r="F85" s="110" t="n">
        <x:f>IFERROR(VLOOKUP($A85,'Mike FLEX'!$A$6:$N$278,6,FALSE),"")</x:f>
        <x:v>9.1</x:v>
      </x:c>
      <x:c r="G85" s="111" t="n">
        <x:f>IFERROR(VLOOKUP($A85,'Mike FLEX'!$A$6:$N$278,7,FALSE),"")</x:f>
        <x:v>0</x:v>
      </x:c>
      <x:c r="H85" s="111" t="n">
        <x:f>IFERROR(VLOOKUP($A85,'Mike FLEX'!$A$6:$N$278,8,FALSE),"")</x:f>
        <x:v>0</x:v>
      </x:c>
      <x:c r="I85" s="111" t="n">
        <x:f>IFERROR(VLOOKUP($A85,'Mike FLEX'!$A$6:$N$278,9,FALSE),"")</x:f>
        <x:v>0</x:v>
      </x:c>
      <x:c r="J85" s="111" t="n">
        <x:f>IFERROR(VLOOKUP($A85,'Mike FLEX'!$A$6:$N$278,10,FALSE),"")</x:f>
        <x:v>62</x:v>
      </x:c>
      <x:c r="K85" s="111" t="n">
        <x:f>IFERROR(VLOOKUP($A85,'Mike FLEX'!$A$6:$N$278,11,FALSE),"")</x:f>
        <x:v>731</x:v>
      </x:c>
      <x:c r="L85" s="111" t="n">
        <x:f>IFERROR(VLOOKUP($A85,'Mike FLEX'!$A$6:$N$278,12,FALSE),"")</x:f>
        <x:v>3</x:v>
      </x:c>
      <x:c r="M85" s="111" t="n">
        <x:f>IFERROR(VLOOKUP($A85,'Mike FLEX'!$A$6:$N$278,13,FALSE),"")</x:f>
        <x:v>0</x:v>
      </x:c>
      <x:c r="N85" s="109" t="n">
        <x:f>IFERROR(VLOOKUP($A85,'Andy FLEX'!$A$6:$N$278,5,FALSE),"")</x:f>
        <x:v>72</x:v>
      </x:c>
      <x:c r="O85" s="110" t="n">
        <x:f>IFERROR(VLOOKUP($A85,'Andy FLEX'!$A$6:$N$278,6,FALSE),"")</x:f>
        <x:v>10.9</x:v>
      </x:c>
      <x:c r="P85" s="111" t="n">
        <x:f>IFERROR(VLOOKUP($A85,'Andy FLEX'!$A$6:$N$278,7,FALSE),"")</x:f>
        <x:v>0</x:v>
      </x:c>
      <x:c r="Q85" s="111" t="n">
        <x:f>IFERROR(VLOOKUP($A85,'Andy FLEX'!$A$6:$N$278,8,FALSE),"")</x:f>
        <x:v>0</x:v>
      </x:c>
      <x:c r="R85" s="111" t="n">
        <x:f>IFERROR(VLOOKUP($A85,'Andy FLEX'!$A$6:$N$278,9,FALSE),"")</x:f>
        <x:v>0</x:v>
      </x:c>
      <x:c r="S85" s="111" t="n">
        <x:f>IFERROR(VLOOKUP($A85,'Andy FLEX'!$A$6:$N$278,10,FALSE),"")</x:f>
        <x:v>83</x:v>
      </x:c>
      <x:c r="T85" s="111" t="n">
        <x:f>IFERROR(VLOOKUP($A85,'Andy FLEX'!$A$6:$N$278,11,FALSE),"")</x:f>
        <x:v>799</x:v>
      </x:c>
      <x:c r="U85" s="111" t="n">
        <x:f>IFERROR(VLOOKUP($A85,'Andy FLEX'!$A$6:$N$278,12,FALSE),"")</x:f>
        <x:v>4</x:v>
      </x:c>
      <x:c r="V85" s="111" t="n">
        <x:f>IFERROR(VLOOKUP($A85,'Andy FLEX'!$A$6:$N$278,13,FALSE),"")</x:f>
        <x:v>0</x:v>
      </x:c>
      <x:c r="W85" s="109" t="n">
        <x:f>IFERROR(VLOOKUP($A85,'Jason FLEX'!$A$6:$N$268,5,FALSE),"")</x:f>
        <x:v>71</x:v>
      </x:c>
      <x:c r="X85" s="110" t="n">
        <x:f>IFERROR(VLOOKUP($A85,'Jason FLEX'!$A$6:$N$268,6,FALSE),"")</x:f>
        <x:v>11.2</x:v>
      </x:c>
      <x:c r="Y85" s="111" t="n">
        <x:f>IFERROR(VLOOKUP($A85,'Jason FLEX'!$A$6:$N$268,7,FALSE),"")</x:f>
        <x:v>0</x:v>
      </x:c>
      <x:c r="Z85" s="111" t="n">
        <x:f>IFERROR(VLOOKUP($A85,'Jason FLEX'!$A$6:$N$268,8,FALSE),"")</x:f>
        <x:v>0</x:v>
      </x:c>
      <x:c r="AA85" s="111" t="n">
        <x:f>IFERROR(VLOOKUP($A85,'Jason FLEX'!$A$6:$N$268,9,FALSE),"")</x:f>
        <x:v>0</x:v>
      </x:c>
      <x:c r="AB85" s="111" t="n">
        <x:f>IFERROR(VLOOKUP($A85,'Jason FLEX'!$A$6:$N$268,10,FALSE),"")</x:f>
        <x:v>76</x:v>
      </x:c>
      <x:c r="AC85" s="111" t="n">
        <x:f>IFERROR(VLOOKUP($A85,'Jason FLEX'!$A$6:$N$268,11,FALSE),"")</x:f>
        <x:v>836</x:v>
      </x:c>
      <x:c r="AD85" s="111" t="n">
        <x:f>IFERROR(VLOOKUP($A85,'Jason FLEX'!$A$6:$N$268,12,FALSE),"")</x:f>
        <x:v>5</x:v>
      </x:c>
      <x:c r="AE85" s="111" t="n">
        <x:f>IFERROR(VLOOKUP($A85,'Jason FLEX'!$A$6:$N$268,13,FALSE),"")</x:f>
        <x:v>1</x:v>
      </x:c>
      <x:c r="AF85" s="110" t="n">
        <x:f>IF(COUNT(E85,N85,W85)=0,"",AVERAGE(E85,N85,W85))</x:f>
        <x:v>83.33333333333333</x:v>
      </x:c>
      <x:c r="AG85" s="110" t="n">
        <x:f>IF(COUNT(E85,N85,W85)=0,"",MAX(E85,N85,W85)-MIN(E85,N85,W85))</x:f>
        <x:v>36</x:v>
      </x:c>
      <x:c r="AH85" s="110" t="n">
        <x:f>IF(COUNT(F85,O85,X85)=0,"",AVERAGE(F85,O85,X85))</x:f>
        <x:v>10.4</x:v>
      </x:c>
      <x:c r="AI85" s="112" t="n">
        <x:f>IF(COUNT(G85,P85,Y85)=0,"",AVERAGE(G85,P85,Y85))</x:f>
        <x:v>0</x:v>
      </x:c>
      <x:c r="AJ85" s="112" t="n">
        <x:f>IF(COUNT(H85,Q85,Z85)=0,"",AVERAGE(H85,Q85,Z85))</x:f>
        <x:v>0</x:v>
      </x:c>
      <x:c r="AK85" s="112" t="n">
        <x:f>IF(COUNT(I85,R85,AA85)=0,"",AVERAGE(I85,R85,AA85))</x:f>
        <x:v>0</x:v>
      </x:c>
      <x:c r="AL85" s="112" t="n">
        <x:f>IF(COUNT(J85,S85,AB85)=0,"",AVERAGE(J85,S85,AB85))</x:f>
        <x:v>73.66666666666667</x:v>
      </x:c>
      <x:c r="AM85" s="112" t="n">
        <x:f>IF(COUNT(K85,T85,AC85)=0,"",AVERAGE(K85,T85,AC85))</x:f>
        <x:v>788.6666666666666</x:v>
      </x:c>
      <x:c r="AN85" s="112" t="n">
        <x:f>IF(COUNT(L85,U85,AD85)=0,"",AVERAGE(L85,U85,AD85))</x:f>
        <x:v>4</x:v>
      </x:c>
      <x:c r="AO85" s="112" t="n">
        <x:f>IF(COUNT(M85,V85,AE85)=0,"",AVERAGE(M85,V85,AE85))</x:f>
        <x:v>0.3333333333333333</x:v>
      </x:c>
    </x:row>
    <x:row r="86">
      <x:c r="A86" s="107" t="str">
        <x:v>De'Zhaun Stribling</x:v>
      </x:c>
      <x:c r="B86" s="108" t="str">
        <x:v>WR</x:v>
      </x:c>
      <x:c r="C86" s="108" t="str">
        <x:v>SF</x:v>
      </x:c>
      <x:c r="D86" s="109" t="n">
        <x:v>8</x:v>
      </x:c>
      <x:c r="E86" s="109" t="n">
        <x:f>IFERROR(VLOOKUP($A86,'Mike FLEX'!$A$6:$N$278,5,FALSE),"")</x:f>
        <x:v>67</x:v>
      </x:c>
      <x:c r="F86" s="110" t="n">
        <x:f>IFERROR(VLOOKUP($A86,'Mike FLEX'!$A$6:$N$278,6,FALSE),"")</x:f>
        <x:v>11.6</x:v>
      </x:c>
      <x:c r="G86" s="111" t="n">
        <x:f>IFERROR(VLOOKUP($A86,'Mike FLEX'!$A$6:$N$278,7,FALSE),"")</x:f>
        <x:v>0</x:v>
      </x:c>
      <x:c r="H86" s="111" t="n">
        <x:f>IFERROR(VLOOKUP($A86,'Mike FLEX'!$A$6:$N$278,8,FALSE),"")</x:f>
        <x:v>0</x:v>
      </x:c>
      <x:c r="I86" s="111" t="n">
        <x:f>IFERROR(VLOOKUP($A86,'Mike FLEX'!$A$6:$N$278,9,FALSE),"")</x:f>
        <x:v>0</x:v>
      </x:c>
      <x:c r="J86" s="111" t="n">
        <x:f>IFERROR(VLOOKUP($A86,'Mike FLEX'!$A$6:$N$278,10,FALSE),"")</x:f>
        <x:v>74</x:v>
      </x:c>
      <x:c r="K86" s="111" t="n">
        <x:f>IFERROR(VLOOKUP($A86,'Mike FLEX'!$A$6:$N$278,11,FALSE),"")</x:f>
        <x:v>901</x:v>
      </x:c>
      <x:c r="L86" s="111" t="n">
        <x:f>IFERROR(VLOOKUP($A86,'Mike FLEX'!$A$6:$N$278,12,FALSE),"")</x:f>
        <x:v>5</x:v>
      </x:c>
      <x:c r="M86" s="111" t="n">
        <x:f>IFERROR(VLOOKUP($A86,'Mike FLEX'!$A$6:$N$278,13,FALSE),"")</x:f>
        <x:v>0</x:v>
      </x:c>
      <x:c r="N86" s="109" t="n">
        <x:f>IFERROR(VLOOKUP($A86,'Andy FLEX'!$A$6:$N$278,5,FALSE),"")</x:f>
        <x:v>92</x:v>
      </x:c>
      <x:c r="O86" s="110" t="n">
        <x:f>IFERROR(VLOOKUP($A86,'Andy FLEX'!$A$6:$N$278,6,FALSE),"")</x:f>
        <x:v>9.8</x:v>
      </x:c>
      <x:c r="P86" s="111" t="n">
        <x:f>IFERROR(VLOOKUP($A86,'Andy FLEX'!$A$6:$N$278,7,FALSE),"")</x:f>
        <x:v>5</x:v>
      </x:c>
      <x:c r="Q86" s="111" t="n">
        <x:f>IFERROR(VLOOKUP($A86,'Andy FLEX'!$A$6:$N$278,8,FALSE),"")</x:f>
        <x:v>27</x:v>
      </x:c>
      <x:c r="R86" s="111" t="n">
        <x:f>IFERROR(VLOOKUP($A86,'Andy FLEX'!$A$6:$N$278,9,FALSE),"")</x:f>
        <x:v>0</x:v>
      </x:c>
      <x:c r="S86" s="111" t="n">
        <x:f>IFERROR(VLOOKUP($A86,'Andy FLEX'!$A$6:$N$278,10,FALSE),"")</x:f>
        <x:v>58</x:v>
      </x:c>
      <x:c r="T86" s="111" t="n">
        <x:f>IFERROR(VLOOKUP($A86,'Andy FLEX'!$A$6:$N$278,11,FALSE),"")</x:f>
        <x:v>759</x:v>
      </x:c>
      <x:c r="U86" s="111" t="n">
        <x:f>IFERROR(VLOOKUP($A86,'Andy FLEX'!$A$6:$N$278,12,FALSE),"")</x:f>
        <x:v>5</x:v>
      </x:c>
      <x:c r="V86" s="111" t="n">
        <x:f>IFERROR(VLOOKUP($A86,'Andy FLEX'!$A$6:$N$278,13,FALSE),"")</x:f>
        <x:v>0</x:v>
      </x:c>
      <x:c r="W86" s="109" t="n">
        <x:f>IFERROR(VLOOKUP($A86,'Jason FLEX'!$A$6:$N$268,5,FALSE),"")</x:f>
        <x:v>95</x:v>
      </x:c>
      <x:c r="X86" s="110" t="n">
        <x:f>IFERROR(VLOOKUP($A86,'Jason FLEX'!$A$6:$N$268,6,FALSE),"")</x:f>
        <x:v>9.8</x:v>
      </x:c>
      <x:c r="Y86" s="111" t="n">
        <x:f>IFERROR(VLOOKUP($A86,'Jason FLEX'!$A$6:$N$268,7,FALSE),"")</x:f>
        <x:v>0</x:v>
      </x:c>
      <x:c r="Z86" s="111" t="n">
        <x:f>IFERROR(VLOOKUP($A86,'Jason FLEX'!$A$6:$N$268,8,FALSE),"")</x:f>
        <x:v>0</x:v>
      </x:c>
      <x:c r="AA86" s="111" t="n">
        <x:f>IFERROR(VLOOKUP($A86,'Jason FLEX'!$A$6:$N$268,9,FALSE),"")</x:f>
        <x:v>0</x:v>
      </x:c>
      <x:c r="AB86" s="111" t="n">
        <x:f>IFERROR(VLOOKUP($A86,'Jason FLEX'!$A$6:$N$268,10,FALSE),"")</x:f>
        <x:v>57</x:v>
      </x:c>
      <x:c r="AC86" s="111" t="n">
        <x:f>IFERROR(VLOOKUP($A86,'Jason FLEX'!$A$6:$N$268,11,FALSE),"")</x:f>
        <x:v>741</x:v>
      </x:c>
      <x:c r="AD86" s="111" t="n">
        <x:f>IFERROR(VLOOKUP($A86,'Jason FLEX'!$A$6:$N$268,12,FALSE),"")</x:f>
        <x:v>6</x:v>
      </x:c>
      <x:c r="AE86" s="111" t="n">
        <x:f>IFERROR(VLOOKUP($A86,'Jason FLEX'!$A$6:$N$268,13,FALSE),"")</x:f>
        <x:v>0</x:v>
      </x:c>
      <x:c r="AF86" s="110" t="n">
        <x:f>IF(COUNT(E86,N86,W86)=0,"",AVERAGE(E86,N86,W86))</x:f>
        <x:v>84.66666666666667</x:v>
      </x:c>
      <x:c r="AG86" s="110" t="n">
        <x:f>IF(COUNT(E86,N86,W86)=0,"",MAX(E86,N86,W86)-MIN(E86,N86,W86))</x:f>
        <x:v>28</x:v>
      </x:c>
      <x:c r="AH86" s="110" t="n">
        <x:f>IF(COUNT(F86,O86,X86)=0,"",AVERAGE(F86,O86,X86))</x:f>
        <x:v>10.4</x:v>
      </x:c>
      <x:c r="AI86" s="112" t="n">
        <x:f>IF(COUNT(G86,P86,Y86)=0,"",AVERAGE(G86,P86,Y86))</x:f>
        <x:v>1.6666666666666667</x:v>
      </x:c>
      <x:c r="AJ86" s="112" t="n">
        <x:f>IF(COUNT(H86,Q86,Z86)=0,"",AVERAGE(H86,Q86,Z86))</x:f>
        <x:v>9</x:v>
      </x:c>
      <x:c r="AK86" s="112" t="n">
        <x:f>IF(COUNT(I86,R86,AA86)=0,"",AVERAGE(I86,R86,AA86))</x:f>
        <x:v>0</x:v>
      </x:c>
      <x:c r="AL86" s="112" t="n">
        <x:f>IF(COUNT(J86,S86,AB86)=0,"",AVERAGE(J86,S86,AB86))</x:f>
        <x:v>63</x:v>
      </x:c>
      <x:c r="AM86" s="112" t="n">
        <x:f>IF(COUNT(K86,T86,AC86)=0,"",AVERAGE(K86,T86,AC86))</x:f>
        <x:v>800.3333333333334</x:v>
      </x:c>
      <x:c r="AN86" s="112" t="n">
        <x:f>IF(COUNT(L86,U86,AD86)=0,"",AVERAGE(L86,U86,AD86))</x:f>
        <x:v>5.333333333333333</x:v>
      </x:c>
      <x:c r="AO86" s="112" t="n">
        <x:f>IF(COUNT(M86,V86,AE86)=0,"",AVERAGE(M86,V86,AE86))</x:f>
        <x:v>0</x:v>
      </x:c>
    </x:row>
    <x:row r="87">
      <x:c r="A87" s="107" t="str">
        <x:v>Jaylen Warren</x:v>
      </x:c>
      <x:c r="B87" s="108" t="str">
        <x:v>RB</x:v>
      </x:c>
      <x:c r="C87" s="108" t="str">
        <x:v>PIT</x:v>
      </x:c>
      <x:c r="D87" s="109" t="n">
        <x:v>9</x:v>
      </x:c>
      <x:c r="E87" s="109" t="n">
        <x:f>IFERROR(VLOOKUP($A87,'Mike FLEX'!$A$6:$N$278,5,FALSE),"")</x:f>
        <x:v>90</x:v>
      </x:c>
      <x:c r="F87" s="110" t="n">
        <x:f>IFERROR(VLOOKUP($A87,'Mike FLEX'!$A$6:$N$278,6,FALSE),"")</x:f>
        <x:v>10.1</x:v>
      </x:c>
      <x:c r="G87" s="111" t="n">
        <x:f>IFERROR(VLOOKUP($A87,'Mike FLEX'!$A$6:$N$278,7,FALSE),"")</x:f>
        <x:v>134</x:v>
      </x:c>
      <x:c r="H87" s="111" t="n">
        <x:f>IFERROR(VLOOKUP($A87,'Mike FLEX'!$A$6:$N$278,8,FALSE),"")</x:f>
        <x:v>618</x:v>
      </x:c>
      <x:c r="I87" s="111" t="n">
        <x:f>IFERROR(VLOOKUP($A87,'Mike FLEX'!$A$6:$N$278,9,FALSE),"")</x:f>
        <x:v>3</x:v>
      </x:c>
      <x:c r="J87" s="111" t="n">
        <x:f>IFERROR(VLOOKUP($A87,'Mike FLEX'!$A$6:$N$278,10,FALSE),"")</x:f>
        <x:v>50</x:v>
      </x:c>
      <x:c r="K87" s="111" t="n">
        <x:f>IFERROR(VLOOKUP($A87,'Mike FLEX'!$A$6:$N$278,11,FALSE),"")</x:f>
        <x:v>369</x:v>
      </x:c>
      <x:c r="L87" s="111" t="n">
        <x:f>IFERROR(VLOOKUP($A87,'Mike FLEX'!$A$6:$N$278,12,FALSE),"")</x:f>
        <x:v>1</x:v>
      </x:c>
      <x:c r="M87" s="111" t="n">
        <x:f>IFERROR(VLOOKUP($A87,'Mike FLEX'!$A$6:$N$278,13,FALSE),"")</x:f>
        <x:v>2</x:v>
      </x:c>
      <x:c r="N87" s="109" t="n">
        <x:f>IFERROR(VLOOKUP($A87,'Andy FLEX'!$A$6:$N$278,5,FALSE),"")</x:f>
        <x:v>82</x:v>
      </x:c>
      <x:c r="O87" s="110" t="n">
        <x:f>IFERROR(VLOOKUP($A87,'Andy FLEX'!$A$6:$N$278,6,FALSE),"")</x:f>
        <x:v>10.3</x:v>
      </x:c>
      <x:c r="P87" s="111" t="n">
        <x:f>IFERROR(VLOOKUP($A87,'Andy FLEX'!$A$6:$N$278,7,FALSE),"")</x:f>
        <x:v>169</x:v>
      </x:c>
      <x:c r="Q87" s="111" t="n">
        <x:f>IFERROR(VLOOKUP($A87,'Andy FLEX'!$A$6:$N$278,8,FALSE),"")</x:f>
        <x:v>748</x:v>
      </x:c>
      <x:c r="R87" s="111" t="n">
        <x:f>IFERROR(VLOOKUP($A87,'Andy FLEX'!$A$6:$N$278,9,FALSE),"")</x:f>
        <x:v>6</x:v>
      </x:c>
      <x:c r="S87" s="111" t="n">
        <x:f>IFERROR(VLOOKUP($A87,'Andy FLEX'!$A$6:$N$278,10,FALSE),"")</x:f>
        <x:v>33</x:v>
      </x:c>
      <x:c r="T87" s="111" t="n">
        <x:f>IFERROR(VLOOKUP($A87,'Andy FLEX'!$A$6:$N$278,11,FALSE),"")</x:f>
        <x:v>264</x:v>
      </x:c>
      <x:c r="U87" s="111" t="n">
        <x:f>IFERROR(VLOOKUP($A87,'Andy FLEX'!$A$6:$N$278,12,FALSE),"")</x:f>
        <x:v>2</x:v>
      </x:c>
      <x:c r="V87" s="111" t="n">
        <x:f>IFERROR(VLOOKUP($A87,'Andy FLEX'!$A$6:$N$278,13,FALSE),"")</x:f>
        <x:v>2</x:v>
      </x:c>
      <x:c r="W87" s="109" t="n">
        <x:f>IFERROR(VLOOKUP($A87,'Jason FLEX'!$A$6:$N$268,5,FALSE),"")</x:f>
        <x:v>84</x:v>
      </x:c>
      <x:c r="X87" s="110" t="n">
        <x:f>IFERROR(VLOOKUP($A87,'Jason FLEX'!$A$6:$N$268,6,FALSE),"")</x:f>
        <x:v>10.2</x:v>
      </x:c>
      <x:c r="Y87" s="111" t="n">
        <x:f>IFERROR(VLOOKUP($A87,'Jason FLEX'!$A$6:$N$268,7,FALSE),"")</x:f>
        <x:v>150</x:v>
      </x:c>
      <x:c r="Z87" s="111" t="n">
        <x:f>IFERROR(VLOOKUP($A87,'Jason FLEX'!$A$6:$N$268,8,FALSE),"")</x:f>
        <x:v>669</x:v>
      </x:c>
      <x:c r="AA87" s="111" t="n">
        <x:f>IFERROR(VLOOKUP($A87,'Jason FLEX'!$A$6:$N$268,9,FALSE),"")</x:f>
        <x:v>6</x:v>
      </x:c>
      <x:c r="AB87" s="111" t="n">
        <x:f>IFERROR(VLOOKUP($A87,'Jason FLEX'!$A$6:$N$268,10,FALSE),"")</x:f>
        <x:v>42</x:v>
      </x:c>
      <x:c r="AC87" s="111" t="n">
        <x:f>IFERROR(VLOOKUP($A87,'Jason FLEX'!$A$6:$N$268,11,FALSE),"")</x:f>
        <x:v>286</x:v>
      </x:c>
      <x:c r="AD87" s="111" t="n">
        <x:f>IFERROR(VLOOKUP($A87,'Jason FLEX'!$A$6:$N$268,12,FALSE),"")</x:f>
        <x:v>1</x:v>
      </x:c>
      <x:c r="AE87" s="111" t="n">
        <x:f>IFERROR(VLOOKUP($A87,'Jason FLEX'!$A$6:$N$268,13,FALSE),"")</x:f>
        <x:v>2</x:v>
      </x:c>
      <x:c r="AF87" s="110" t="n">
        <x:f>IF(COUNT(E87,N87,W87)=0,"",AVERAGE(E87,N87,W87))</x:f>
        <x:v>85.33333333333333</x:v>
      </x:c>
      <x:c r="AG87" s="110" t="n">
        <x:f>IF(COUNT(E87,N87,W87)=0,"",MAX(E87,N87,W87)-MIN(E87,N87,W87))</x:f>
        <x:v>8</x:v>
      </x:c>
      <x:c r="AH87" s="110" t="n">
        <x:f>IF(COUNT(F87,O87,X87)=0,"",AVERAGE(F87,O87,X87))</x:f>
        <x:v>10.2</x:v>
      </x:c>
      <x:c r="AI87" s="112" t="n">
        <x:f>IF(COUNT(G87,P87,Y87)=0,"",AVERAGE(G87,P87,Y87))</x:f>
        <x:v>151</x:v>
      </x:c>
      <x:c r="AJ87" s="112" t="n">
        <x:f>IF(COUNT(H87,Q87,Z87)=0,"",AVERAGE(H87,Q87,Z87))</x:f>
        <x:v>678.3333333333334</x:v>
      </x:c>
      <x:c r="AK87" s="112" t="n">
        <x:f>IF(COUNT(I87,R87,AA87)=0,"",AVERAGE(I87,R87,AA87))</x:f>
        <x:v>5</x:v>
      </x:c>
      <x:c r="AL87" s="112" t="n">
        <x:f>IF(COUNT(J87,S87,AB87)=0,"",AVERAGE(J87,S87,AB87))</x:f>
        <x:v>41.666666666666664</x:v>
      </x:c>
      <x:c r="AM87" s="112" t="n">
        <x:f>IF(COUNT(K87,T87,AC87)=0,"",AVERAGE(K87,T87,AC87))</x:f>
        <x:v>306.3333333333333</x:v>
      </x:c>
      <x:c r="AN87" s="112" t="n">
        <x:f>IF(COUNT(L87,U87,AD87)=0,"",AVERAGE(L87,U87,AD87))</x:f>
        <x:v>1.3333333333333333</x:v>
      </x:c>
      <x:c r="AO87" s="112" t="n">
        <x:f>IF(COUNT(M87,V87,AE87)=0,"",AVERAGE(M87,V87,AE87))</x:f>
        <x:v>2</x:v>
      </x:c>
    </x:row>
    <x:row r="88">
      <x:c r="A88" s="107" t="str">
        <x:v>Jacory Croskey-Merritt</x:v>
      </x:c>
      <x:c r="B88" s="108" t="str">
        <x:v>RB</x:v>
      </x:c>
      <x:c r="C88" s="108" t="str">
        <x:v>WAS</x:v>
      </x:c>
      <x:c r="D88" s="109" t="n">
        <x:v>7</x:v>
      </x:c>
      <x:c r="E88" s="109" t="n">
        <x:f>IFERROR(VLOOKUP($A88,'Mike FLEX'!$A$6:$N$278,5,FALSE),"")</x:f>
        <x:v>79</x:v>
      </x:c>
      <x:c r="F88" s="110" t="n">
        <x:f>IFERROR(VLOOKUP($A88,'Mike FLEX'!$A$6:$N$278,6,FALSE),"")</x:f>
        <x:v>10.7</x:v>
      </x:c>
      <x:c r="G88" s="111" t="n">
        <x:f>IFERROR(VLOOKUP($A88,'Mike FLEX'!$A$6:$N$278,7,FALSE),"")</x:f>
        <x:v>239</x:v>
      </x:c>
      <x:c r="H88" s="111" t="n">
        <x:f>IFERROR(VLOOKUP($A88,'Mike FLEX'!$A$6:$N$278,8,FALSE),"")</x:f>
        <x:v>1050</x:v>
      </x:c>
      <x:c r="I88" s="111" t="n">
        <x:f>IFERROR(VLOOKUP($A88,'Mike FLEX'!$A$6:$N$278,9,FALSE),"")</x:f>
        <x:v>7</x:v>
      </x:c>
      <x:c r="J88" s="111" t="n">
        <x:f>IFERROR(VLOOKUP($A88,'Mike FLEX'!$A$6:$N$278,10,FALSE),"")</x:f>
        <x:v>20</x:v>
      </x:c>
      <x:c r="K88" s="111" t="n">
        <x:f>IFERROR(VLOOKUP($A88,'Mike FLEX'!$A$6:$N$278,11,FALSE),"")</x:f>
        <x:v>146</x:v>
      </x:c>
      <x:c r="L88" s="111" t="n">
        <x:f>IFERROR(VLOOKUP($A88,'Mike FLEX'!$A$6:$N$278,12,FALSE),"")</x:f>
        <x:v>1</x:v>
      </x:c>
      <x:c r="M88" s="111" t="n">
        <x:f>IFERROR(VLOOKUP($A88,'Mike FLEX'!$A$6:$N$278,13,FALSE),"")</x:f>
        <x:v>3</x:v>
      </x:c>
      <x:c r="N88" s="109" t="n">
        <x:f>IFERROR(VLOOKUP($A88,'Andy FLEX'!$A$6:$N$278,5,FALSE),"")</x:f>
        <x:v>73</x:v>
      </x:c>
      <x:c r="O88" s="110" t="n">
        <x:f>IFERROR(VLOOKUP($A88,'Andy FLEX'!$A$6:$N$278,6,FALSE),"")</x:f>
        <x:v>10.8</x:v>
      </x:c>
      <x:c r="P88" s="111" t="n">
        <x:f>IFERROR(VLOOKUP($A88,'Andy FLEX'!$A$6:$N$278,7,FALSE),"")</x:f>
        <x:v>230</x:v>
      </x:c>
      <x:c r="Q88" s="111" t="n">
        <x:f>IFERROR(VLOOKUP($A88,'Andy FLEX'!$A$6:$N$278,8,FALSE),"")</x:f>
        <x:v>1005</x:v>
      </x:c>
      <x:c r="R88" s="111" t="n">
        <x:f>IFERROR(VLOOKUP($A88,'Andy FLEX'!$A$6:$N$278,9,FALSE),"")</x:f>
        <x:v>7</x:v>
      </x:c>
      <x:c r="S88" s="111" t="n">
        <x:f>IFERROR(VLOOKUP($A88,'Andy FLEX'!$A$6:$N$278,10,FALSE),"")</x:f>
        <x:v>25</x:v>
      </x:c>
      <x:c r="T88" s="111" t="n">
        <x:f>IFERROR(VLOOKUP($A88,'Andy FLEX'!$A$6:$N$278,11,FALSE),"")</x:f>
        <x:v>181</x:v>
      </x:c>
      <x:c r="U88" s="111" t="n">
        <x:f>IFERROR(VLOOKUP($A88,'Andy FLEX'!$A$6:$N$278,12,FALSE),"")</x:f>
        <x:v>0</x:v>
      </x:c>
      <x:c r="V88" s="111" t="n">
        <x:f>IFERROR(VLOOKUP($A88,'Andy FLEX'!$A$6:$N$278,13,FALSE),"")</x:f>
        <x:v>3</x:v>
      </x:c>
      <x:c r="W88" s="109" t="n">
        <x:f>IFERROR(VLOOKUP($A88,'Jason FLEX'!$A$6:$N$268,5,FALSE),"")</x:f>
        <x:v>105</x:v>
      </x:c>
      <x:c r="X88" s="110" t="n">
        <x:f>IFERROR(VLOOKUP($A88,'Jason FLEX'!$A$6:$N$268,6,FALSE),"")</x:f>
        <x:v>9.4</x:v>
      </x:c>
      <x:c r="Y88" s="111" t="n">
        <x:f>IFERROR(VLOOKUP($A88,'Jason FLEX'!$A$6:$N$268,7,FALSE),"")</x:f>
        <x:v>205</x:v>
      </x:c>
      <x:c r="Z88" s="111" t="n">
        <x:f>IFERROR(VLOOKUP($A88,'Jason FLEX'!$A$6:$N$268,8,FALSE),"")</x:f>
        <x:v>902</x:v>
      </x:c>
      <x:c r="AA88" s="111" t="n">
        <x:f>IFERROR(VLOOKUP($A88,'Jason FLEX'!$A$6:$N$268,9,FALSE),"")</x:f>
        <x:v>7</x:v>
      </x:c>
      <x:c r="AB88" s="111" t="n">
        <x:f>IFERROR(VLOOKUP($A88,'Jason FLEX'!$A$6:$N$268,10,FALSE),"")</x:f>
        <x:v>17</x:v>
      </x:c>
      <x:c r="AC88" s="111" t="n">
        <x:f>IFERROR(VLOOKUP($A88,'Jason FLEX'!$A$6:$N$268,11,FALSE),"")</x:f>
        <x:v>128</x:v>
      </x:c>
      <x:c r="AD88" s="111" t="n">
        <x:f>IFERROR(VLOOKUP($A88,'Jason FLEX'!$A$6:$N$268,12,FALSE),"")</x:f>
        <x:v>0</x:v>
      </x:c>
      <x:c r="AE88" s="111" t="n">
        <x:f>IFERROR(VLOOKUP($A88,'Jason FLEX'!$A$6:$N$268,13,FALSE),"")</x:f>
        <x:v>2</x:v>
      </x:c>
      <x:c r="AF88" s="110" t="n">
        <x:f>IF(COUNT(E88,N88,W88)=0,"",AVERAGE(E88,N88,W88))</x:f>
        <x:v>85.66666666666667</x:v>
      </x:c>
      <x:c r="AG88" s="110" t="n">
        <x:f>IF(COUNT(E88,N88,W88)=0,"",MAX(E88,N88,W88)-MIN(E88,N88,W88))</x:f>
        <x:v>32</x:v>
      </x:c>
      <x:c r="AH88" s="110" t="n">
        <x:f>IF(COUNT(F88,O88,X88)=0,"",AVERAGE(F88,O88,X88))</x:f>
        <x:v>10.299999999999999</x:v>
      </x:c>
      <x:c r="AI88" s="112" t="n">
        <x:f>IF(COUNT(G88,P88,Y88)=0,"",AVERAGE(G88,P88,Y88))</x:f>
        <x:v>224.66666666666666</x:v>
      </x:c>
      <x:c r="AJ88" s="112" t="n">
        <x:f>IF(COUNT(H88,Q88,Z88)=0,"",AVERAGE(H88,Q88,Z88))</x:f>
        <x:v>985.6666666666666</x:v>
      </x:c>
      <x:c r="AK88" s="112" t="n">
        <x:f>IF(COUNT(I88,R88,AA88)=0,"",AVERAGE(I88,R88,AA88))</x:f>
        <x:v>7</x:v>
      </x:c>
      <x:c r="AL88" s="112" t="n">
        <x:f>IF(COUNT(J88,S88,AB88)=0,"",AVERAGE(J88,S88,AB88))</x:f>
        <x:v>20.666666666666668</x:v>
      </x:c>
      <x:c r="AM88" s="112" t="n">
        <x:f>IF(COUNT(K88,T88,AC88)=0,"",AVERAGE(K88,T88,AC88))</x:f>
        <x:v>151.66666666666666</x:v>
      </x:c>
      <x:c r="AN88" s="112" t="n">
        <x:f>IF(COUNT(L88,U88,AD88)=0,"",AVERAGE(L88,U88,AD88))</x:f>
        <x:v>0.3333333333333333</x:v>
      </x:c>
      <x:c r="AO88" s="112" t="n">
        <x:f>IF(COUNT(M88,V88,AE88)=0,"",AVERAGE(M88,V88,AE88))</x:f>
        <x:v>2.6666666666666665</x:v>
      </x:c>
    </x:row>
    <x:row r="89">
      <x:c r="A89" s="107" t="str">
        <x:v>Kenny Gainwell</x:v>
      </x:c>
      <x:c r="B89" s="108" t="str">
        <x:v>RB</x:v>
      </x:c>
      <x:c r="C89" s="108" t="str">
        <x:v>TB</x:v>
      </x:c>
      <x:c r="D89" s="109" t="n">
        <x:v>10</x:v>
      </x:c>
      <x:c r="E89" s="109" t="n">
        <x:f>IFERROR(VLOOKUP($A89,'Mike FLEX'!$A$6:$N$278,5,FALSE),"")</x:f>
        <x:v>83</x:v>
      </x:c>
      <x:c r="F89" s="110" t="n">
        <x:f>IFERROR(VLOOKUP($A89,'Mike FLEX'!$A$6:$N$278,6,FALSE),"")</x:f>
        <x:v>10.4</x:v>
      </x:c>
      <x:c r="G89" s="111" t="n">
        <x:f>IFERROR(VLOOKUP($A89,'Mike FLEX'!$A$6:$N$278,7,FALSE),"")</x:f>
        <x:v>184</x:v>
      </x:c>
      <x:c r="H89" s="111" t="n">
        <x:f>IFERROR(VLOOKUP($A89,'Mike FLEX'!$A$6:$N$278,8,FALSE),"")</x:f>
        <x:v>736</x:v>
      </x:c>
      <x:c r="I89" s="111" t="n">
        <x:f>IFERROR(VLOOKUP($A89,'Mike FLEX'!$A$6:$N$278,9,FALSE),"")</x:f>
        <x:v>5</x:v>
      </x:c>
      <x:c r="J89" s="111" t="n">
        <x:f>IFERROR(VLOOKUP($A89,'Mike FLEX'!$A$6:$N$278,10,FALSE),"")</x:f>
        <x:v>36</x:v>
      </x:c>
      <x:c r="K89" s="111" t="n">
        <x:f>IFERROR(VLOOKUP($A89,'Mike FLEX'!$A$6:$N$278,11,FALSE),"")</x:f>
        <x:v>287</x:v>
      </x:c>
      <x:c r="L89" s="111" t="n">
        <x:f>IFERROR(VLOOKUP($A89,'Mike FLEX'!$A$6:$N$278,12,FALSE),"")</x:f>
        <x:v>1</x:v>
      </x:c>
      <x:c r="M89" s="111" t="n">
        <x:f>IFERROR(VLOOKUP($A89,'Mike FLEX'!$A$6:$N$278,13,FALSE),"")</x:f>
        <x:v>0</x:v>
      </x:c>
      <x:c r="N89" s="109" t="n">
        <x:f>IFERROR(VLOOKUP($A89,'Andy FLEX'!$A$6:$N$278,5,FALSE),"")</x:f>
        <x:v>79</x:v>
      </x:c>
      <x:c r="O89" s="110" t="n">
        <x:f>IFERROR(VLOOKUP($A89,'Andy FLEX'!$A$6:$N$278,6,FALSE),"")</x:f>
        <x:v>10.4</x:v>
      </x:c>
      <x:c r="P89" s="111" t="n">
        <x:f>IFERROR(VLOOKUP($A89,'Andy FLEX'!$A$6:$N$278,7,FALSE),"")</x:f>
        <x:v>101</x:v>
      </x:c>
      <x:c r="Q89" s="111" t="n">
        <x:f>IFERROR(VLOOKUP($A89,'Andy FLEX'!$A$6:$N$278,8,FALSE),"")</x:f>
        <x:v>451</x:v>
      </x:c>
      <x:c r="R89" s="111" t="n">
        <x:f>IFERROR(VLOOKUP($A89,'Andy FLEX'!$A$6:$N$278,9,FALSE),"")</x:f>
        <x:v>4</x:v>
      </x:c>
      <x:c r="S89" s="111" t="n">
        <x:f>IFERROR(VLOOKUP($A89,'Andy FLEX'!$A$6:$N$278,10,FALSE),"")</x:f>
        <x:v>54</x:v>
      </x:c>
      <x:c r="T89" s="111" t="n">
        <x:f>IFERROR(VLOOKUP($A89,'Andy FLEX'!$A$6:$N$278,11,FALSE),"")</x:f>
        <x:v>410</x:v>
      </x:c>
      <x:c r="U89" s="111" t="n">
        <x:f>IFERROR(VLOOKUP($A89,'Andy FLEX'!$A$6:$N$278,12,FALSE),"")</x:f>
        <x:v>3</x:v>
      </x:c>
      <x:c r="V89" s="111" t="n">
        <x:f>IFERROR(VLOOKUP($A89,'Andy FLEX'!$A$6:$N$278,13,FALSE),"")</x:f>
        <x:v>1</x:v>
      </x:c>
      <x:c r="W89" s="109" t="n">
        <x:f>IFERROR(VLOOKUP($A89,'Jason FLEX'!$A$6:$N$268,5,FALSE),"")</x:f>
        <x:v>96</x:v>
      </x:c>
      <x:c r="X89" s="110" t="n">
        <x:f>IFERROR(VLOOKUP($A89,'Jason FLEX'!$A$6:$N$268,6,FALSE),"")</x:f>
        <x:v>9.7</x:v>
      </x:c>
      <x:c r="Y89" s="111" t="n">
        <x:f>IFERROR(VLOOKUP($A89,'Jason FLEX'!$A$6:$N$268,7,FALSE),"")</x:f>
        <x:v>135</x:v>
      </x:c>
      <x:c r="Z89" s="111" t="n">
        <x:f>IFERROR(VLOOKUP($A89,'Jason FLEX'!$A$6:$N$268,8,FALSE),"")</x:f>
        <x:v>581</x:v>
      </x:c>
      <x:c r="AA89" s="111" t="n">
        <x:f>IFERROR(VLOOKUP($A89,'Jason FLEX'!$A$6:$N$268,9,FALSE),"")</x:f>
        <x:v>4</x:v>
      </x:c>
      <x:c r="AB89" s="111" t="n">
        <x:f>IFERROR(VLOOKUP($A89,'Jason FLEX'!$A$6:$N$268,10,FALSE),"")</x:f>
        <x:v>44</x:v>
      </x:c>
      <x:c r="AC89" s="111" t="n">
        <x:f>IFERROR(VLOOKUP($A89,'Jason FLEX'!$A$6:$N$268,11,FALSE),"")</x:f>
        <x:v>292</x:v>
      </x:c>
      <x:c r="AD89" s="111" t="n">
        <x:f>IFERROR(VLOOKUP($A89,'Jason FLEX'!$A$6:$N$268,12,FALSE),"")</x:f>
        <x:v>2</x:v>
      </x:c>
      <x:c r="AE89" s="111" t="n">
        <x:f>IFERROR(VLOOKUP($A89,'Jason FLEX'!$A$6:$N$268,13,FALSE),"")</x:f>
        <x:v>1</x:v>
      </x:c>
      <x:c r="AF89" s="110" t="n">
        <x:f>IF(COUNT(E89,N89,W89)=0,"",AVERAGE(E89,N89,W89))</x:f>
        <x:v>86</x:v>
      </x:c>
      <x:c r="AG89" s="110" t="n">
        <x:f>IF(COUNT(E89,N89,W89)=0,"",MAX(E89,N89,W89)-MIN(E89,N89,W89))</x:f>
        <x:v>17</x:v>
      </x:c>
      <x:c r="AH89" s="110" t="n">
        <x:f>IF(COUNT(F89,O89,X89)=0,"",AVERAGE(F89,O89,X89))</x:f>
        <x:v>10.166666666666666</x:v>
      </x:c>
      <x:c r="AI89" s="112" t="n">
        <x:f>IF(COUNT(G89,P89,Y89)=0,"",AVERAGE(G89,P89,Y89))</x:f>
        <x:v>140</x:v>
      </x:c>
      <x:c r="AJ89" s="112" t="n">
        <x:f>IF(COUNT(H89,Q89,Z89)=0,"",AVERAGE(H89,Q89,Z89))</x:f>
        <x:v>589.3333333333334</x:v>
      </x:c>
      <x:c r="AK89" s="112" t="n">
        <x:f>IF(COUNT(I89,R89,AA89)=0,"",AVERAGE(I89,R89,AA89))</x:f>
        <x:v>4.333333333333333</x:v>
      </x:c>
      <x:c r="AL89" s="112" t="n">
        <x:f>IF(COUNT(J89,S89,AB89)=0,"",AVERAGE(J89,S89,AB89))</x:f>
        <x:v>44.666666666666664</x:v>
      </x:c>
      <x:c r="AM89" s="112" t="n">
        <x:f>IF(COUNT(K89,T89,AC89)=0,"",AVERAGE(K89,T89,AC89))</x:f>
        <x:v>329.6666666666667</x:v>
      </x:c>
      <x:c r="AN89" s="112" t="n">
        <x:f>IF(COUNT(L89,U89,AD89)=0,"",AVERAGE(L89,U89,AD89))</x:f>
        <x:v>2</x:v>
      </x:c>
      <x:c r="AO89" s="112" t="n">
        <x:f>IF(COUNT(M89,V89,AE89)=0,"",AVERAGE(M89,V89,AE89))</x:f>
        <x:v>0.6666666666666666</x:v>
      </x:c>
    </x:row>
    <x:row r="90">
      <x:c r="A90" s="107" t="str">
        <x:v>Jayden Reed</x:v>
      </x:c>
      <x:c r="B90" s="108" t="str">
        <x:v>WR</x:v>
      </x:c>
      <x:c r="C90" s="108" t="str">
        <x:v>GB</x:v>
      </x:c>
      <x:c r="D90" s="109" t="n">
        <x:v>11</x:v>
      </x:c>
      <x:c r="E90" s="109" t="n">
        <x:f>IFERROR(VLOOKUP($A90,'Mike FLEX'!$A$6:$N$278,5,FALSE),"")</x:f>
        <x:v>88</x:v>
      </x:c>
      <x:c r="F90" s="110" t="n">
        <x:f>IFERROR(VLOOKUP($A90,'Mike FLEX'!$A$6:$N$278,6,FALSE),"")</x:f>
        <x:v>10.2</x:v>
      </x:c>
      <x:c r="G90" s="111" t="n">
        <x:f>IFERROR(VLOOKUP($A90,'Mike FLEX'!$A$6:$N$278,7,FALSE),"")</x:f>
        <x:v>10</x:v>
      </x:c>
      <x:c r="H90" s="111" t="n">
        <x:f>IFERROR(VLOOKUP($A90,'Mike FLEX'!$A$6:$N$278,8,FALSE),"")</x:f>
        <x:v>87</x:v>
      </x:c>
      <x:c r="I90" s="111" t="n">
        <x:f>IFERROR(VLOOKUP($A90,'Mike FLEX'!$A$6:$N$278,9,FALSE),"")</x:f>
        <x:v>1</x:v>
      </x:c>
      <x:c r="J90" s="111" t="n">
        <x:f>IFERROR(VLOOKUP($A90,'Mike FLEX'!$A$6:$N$278,10,FALSE),"")</x:f>
        <x:v>55</x:v>
      </x:c>
      <x:c r="K90" s="111" t="n">
        <x:f>IFERROR(VLOOKUP($A90,'Mike FLEX'!$A$6:$N$278,11,FALSE),"")</x:f>
        <x:v>726</x:v>
      </x:c>
      <x:c r="L90" s="111" t="n">
        <x:f>IFERROR(VLOOKUP($A90,'Mike FLEX'!$A$6:$N$278,12,FALSE),"")</x:f>
        <x:v>5</x:v>
      </x:c>
      <x:c r="M90" s="111" t="n">
        <x:f>IFERROR(VLOOKUP($A90,'Mike FLEX'!$A$6:$N$278,13,FALSE),"")</x:f>
        <x:v>0</x:v>
      </x:c>
      <x:c r="N90" s="109" t="n">
        <x:f>IFERROR(VLOOKUP($A90,'Andy FLEX'!$A$6:$N$278,5,FALSE),"")</x:f>
        <x:v>104</x:v>
      </x:c>
      <x:c r="O90" s="110" t="n">
        <x:f>IFERROR(VLOOKUP($A90,'Andy FLEX'!$A$6:$N$278,6,FALSE),"")</x:f>
        <x:v>9</x:v>
      </x:c>
      <x:c r="P90" s="111" t="n">
        <x:f>IFERROR(VLOOKUP($A90,'Andy FLEX'!$A$6:$N$278,7,FALSE),"")</x:f>
        <x:v>18</x:v>
      </x:c>
      <x:c r="Q90" s="111" t="n">
        <x:f>IFERROR(VLOOKUP($A90,'Andy FLEX'!$A$6:$N$278,8,FALSE),"")</x:f>
        <x:v>101</x:v>
      </x:c>
      <x:c r="R90" s="111" t="n">
        <x:f>IFERROR(VLOOKUP($A90,'Andy FLEX'!$A$6:$N$278,9,FALSE),"")</x:f>
        <x:v>0</x:v>
      </x:c>
      <x:c r="S90" s="111" t="n">
        <x:f>IFERROR(VLOOKUP($A90,'Andy FLEX'!$A$6:$N$278,10,FALSE),"")</x:f>
        <x:v>55</x:v>
      </x:c>
      <x:c r="T90" s="111" t="n">
        <x:f>IFERROR(VLOOKUP($A90,'Andy FLEX'!$A$6:$N$278,11,FALSE),"")</x:f>
        <x:v>655</x:v>
      </x:c>
      <x:c r="U90" s="111" t="n">
        <x:f>IFERROR(VLOOKUP($A90,'Andy FLEX'!$A$6:$N$278,12,FALSE),"")</x:f>
        <x:v>4</x:v>
      </x:c>
      <x:c r="V90" s="111" t="n">
        <x:f>IFERROR(VLOOKUP($A90,'Andy FLEX'!$A$6:$N$278,13,FALSE),"")</x:f>
        <x:v>1</x:v>
      </x:c>
      <x:c r="W90" s="109" t="n">
        <x:f>IFERROR(VLOOKUP($A90,'Jason FLEX'!$A$6:$N$268,5,FALSE),"")</x:f>
        <x:v>68</x:v>
      </x:c>
      <x:c r="X90" s="110" t="n">
        <x:f>IFERROR(VLOOKUP($A90,'Jason FLEX'!$A$6:$N$268,6,FALSE),"")</x:f>
        <x:v>11.5</x:v>
      </x:c>
      <x:c r="Y90" s="111" t="n">
        <x:f>IFERROR(VLOOKUP($A90,'Jason FLEX'!$A$6:$N$268,7,FALSE),"")</x:f>
        <x:v>10</x:v>
      </x:c>
      <x:c r="Z90" s="111" t="n">
        <x:f>IFERROR(VLOOKUP($A90,'Jason FLEX'!$A$6:$N$268,8,FALSE),"")</x:f>
        <x:v>70</x:v>
      </x:c>
      <x:c r="AA90" s="111" t="n">
        <x:f>IFERROR(VLOOKUP($A90,'Jason FLEX'!$A$6:$N$268,9,FALSE),"")</x:f>
        <x:v>1</x:v>
      </x:c>
      <x:c r="AB90" s="111" t="n">
        <x:f>IFERROR(VLOOKUP($A90,'Jason FLEX'!$A$6:$N$268,10,FALSE),"")</x:f>
        <x:v>71</x:v>
      </x:c>
      <x:c r="AC90" s="111" t="n">
        <x:f>IFERROR(VLOOKUP($A90,'Jason FLEX'!$A$6:$N$268,11,FALSE),"")</x:f>
        <x:v>875</x:v>
      </x:c>
      <x:c r="AD90" s="111" t="n">
        <x:f>IFERROR(VLOOKUP($A90,'Jason FLEX'!$A$6:$N$268,12,FALSE),"")</x:f>
        <x:v>5</x:v>
      </x:c>
      <x:c r="AE90" s="111" t="n">
        <x:f>IFERROR(VLOOKUP($A90,'Jason FLEX'!$A$6:$N$268,13,FALSE),"")</x:f>
        <x:v>1</x:v>
      </x:c>
      <x:c r="AF90" s="110" t="n">
        <x:f>IF(COUNT(E90,N90,W90)=0,"",AVERAGE(E90,N90,W90))</x:f>
        <x:v>86.66666666666667</x:v>
      </x:c>
      <x:c r="AG90" s="110" t="n">
        <x:f>IF(COUNT(E90,N90,W90)=0,"",MAX(E90,N90,W90)-MIN(E90,N90,W90))</x:f>
        <x:v>36</x:v>
      </x:c>
      <x:c r="AH90" s="110" t="n">
        <x:f>IF(COUNT(F90,O90,X90)=0,"",AVERAGE(F90,O90,X90))</x:f>
        <x:v>10.233333333333333</x:v>
      </x:c>
      <x:c r="AI90" s="112" t="n">
        <x:f>IF(COUNT(G90,P90,Y90)=0,"",AVERAGE(G90,P90,Y90))</x:f>
        <x:v>12.666666666666666</x:v>
      </x:c>
      <x:c r="AJ90" s="112" t="n">
        <x:f>IF(COUNT(H90,Q90,Z90)=0,"",AVERAGE(H90,Q90,Z90))</x:f>
        <x:v>86</x:v>
      </x:c>
      <x:c r="AK90" s="112" t="n">
        <x:f>IF(COUNT(I90,R90,AA90)=0,"",AVERAGE(I90,R90,AA90))</x:f>
        <x:v>0.6666666666666666</x:v>
      </x:c>
      <x:c r="AL90" s="112" t="n">
        <x:f>IF(COUNT(J90,S90,AB90)=0,"",AVERAGE(J90,S90,AB90))</x:f>
        <x:v>60.333333333333336</x:v>
      </x:c>
      <x:c r="AM90" s="112" t="n">
        <x:f>IF(COUNT(K90,T90,AC90)=0,"",AVERAGE(K90,T90,AC90))</x:f>
        <x:v>752</x:v>
      </x:c>
      <x:c r="AN90" s="112" t="n">
        <x:f>IF(COUNT(L90,U90,AD90)=0,"",AVERAGE(L90,U90,AD90))</x:f>
        <x:v>4.666666666666667</x:v>
      </x:c>
      <x:c r="AO90" s="112" t="n">
        <x:f>IF(COUNT(M90,V90,AE90)=0,"",AVERAGE(M90,V90,AE90))</x:f>
        <x:v>0.6666666666666666</x:v>
      </x:c>
    </x:row>
    <x:row r="91">
      <x:c r="A91" s="107" t="str">
        <x:v>Juwan Johnson</x:v>
      </x:c>
      <x:c r="B91" s="108" t="str">
        <x:v>TE</x:v>
      </x:c>
      <x:c r="C91" s="108" t="str">
        <x:v>NO</x:v>
      </x:c>
      <x:c r="D91" s="109" t="n">
        <x:v>8</x:v>
      </x:c>
      <x:c r="E91" s="109" t="n">
        <x:f>IFERROR(VLOOKUP($A91,'Mike FLEX'!$A$6:$N$278,5,FALSE),"")</x:f>
        <x:v>100</x:v>
      </x:c>
      <x:c r="F91" s="110" t="n">
        <x:f>IFERROR(VLOOKUP($A91,'Mike FLEX'!$A$6:$N$278,6,FALSE),"")</x:f>
        <x:v>9.4</x:v>
      </x:c>
      <x:c r="G91" s="111" t="n">
        <x:f>IFERROR(VLOOKUP($A91,'Mike FLEX'!$A$6:$N$278,7,FALSE),"")</x:f>
        <x:v>0</x:v>
      </x:c>
      <x:c r="H91" s="111" t="n">
        <x:f>IFERROR(VLOOKUP($A91,'Mike FLEX'!$A$6:$N$278,8,FALSE),"")</x:f>
        <x:v>0</x:v>
      </x:c>
      <x:c r="I91" s="111" t="n">
        <x:f>IFERROR(VLOOKUP($A91,'Mike FLEX'!$A$6:$N$278,9,FALSE),"")</x:f>
        <x:v>0</x:v>
      </x:c>
      <x:c r="J91" s="111" t="n">
        <x:f>IFERROR(VLOOKUP($A91,'Mike FLEX'!$A$6:$N$278,10,FALSE),"")</x:f>
        <x:v>61</x:v>
      </x:c>
      <x:c r="K91" s="111" t="n">
        <x:f>IFERROR(VLOOKUP($A91,'Mike FLEX'!$A$6:$N$278,11,FALSE),"")</x:f>
        <x:v>679</x:v>
      </x:c>
      <x:c r="L91" s="111" t="n">
        <x:f>IFERROR(VLOOKUP($A91,'Mike FLEX'!$A$6:$N$278,12,FALSE),"")</x:f>
        <x:v>5</x:v>
      </x:c>
      <x:c r="M91" s="111" t="n">
        <x:f>IFERROR(VLOOKUP($A91,'Mike FLEX'!$A$6:$N$278,13,FALSE),"")</x:f>
        <x:v>1</x:v>
      </x:c>
      <x:c r="N91" s="109" t="n">
        <x:f>IFERROR(VLOOKUP($A91,'Andy FLEX'!$A$6:$N$278,5,FALSE),"")</x:f>
        <x:v>88</x:v>
      </x:c>
      <x:c r="O91" s="110" t="n">
        <x:f>IFERROR(VLOOKUP($A91,'Andy FLEX'!$A$6:$N$278,6,FALSE),"")</x:f>
        <x:v>10</x:v>
      </x:c>
      <x:c r="P91" s="111" t="n">
        <x:f>IFERROR(VLOOKUP($A91,'Andy FLEX'!$A$6:$N$278,7,FALSE),"")</x:f>
        <x:v>0</x:v>
      </x:c>
      <x:c r="Q91" s="111" t="n">
        <x:f>IFERROR(VLOOKUP($A91,'Andy FLEX'!$A$6:$N$278,8,FALSE),"")</x:f>
        <x:v>0</x:v>
      </x:c>
      <x:c r="R91" s="111" t="n">
        <x:f>IFERROR(VLOOKUP($A91,'Andy FLEX'!$A$6:$N$278,9,FALSE),"")</x:f>
        <x:v>0</x:v>
      </x:c>
      <x:c r="S91" s="111" t="n">
        <x:f>IFERROR(VLOOKUP($A91,'Andy FLEX'!$A$6:$N$278,10,FALSE),"")</x:f>
        <x:v>69</x:v>
      </x:c>
      <x:c r="T91" s="111" t="n">
        <x:f>IFERROR(VLOOKUP($A91,'Andy FLEX'!$A$6:$N$278,11,FALSE),"")</x:f>
        <x:v>795</x:v>
      </x:c>
      <x:c r="U91" s="111" t="n">
        <x:f>IFERROR(VLOOKUP($A91,'Andy FLEX'!$A$6:$N$278,12,FALSE),"")</x:f>
        <x:v>4</x:v>
      </x:c>
      <x:c r="V91" s="111" t="n">
        <x:f>IFERROR(VLOOKUP($A91,'Andy FLEX'!$A$6:$N$278,13,FALSE),"")</x:f>
        <x:v>1</x:v>
      </x:c>
      <x:c r="W91" s="109" t="n">
        <x:f>IFERROR(VLOOKUP($A91,'Jason FLEX'!$A$6:$N$268,5,FALSE),"")</x:f>
        <x:v>82</x:v>
      </x:c>
      <x:c r="X91" s="110" t="n">
        <x:f>IFERROR(VLOOKUP($A91,'Jason FLEX'!$A$6:$N$268,6,FALSE),"")</x:f>
        <x:v>10.3</x:v>
      </x:c>
      <x:c r="Y91" s="111" t="n">
        <x:f>IFERROR(VLOOKUP($A91,'Jason FLEX'!$A$6:$N$268,7,FALSE),"")</x:f>
        <x:v>0</x:v>
      </x:c>
      <x:c r="Z91" s="111" t="n">
        <x:f>IFERROR(VLOOKUP($A91,'Jason FLEX'!$A$6:$N$268,8,FALSE),"")</x:f>
        <x:v>0</x:v>
      </x:c>
      <x:c r="AA91" s="111" t="n">
        <x:f>IFERROR(VLOOKUP($A91,'Jason FLEX'!$A$6:$N$268,9,FALSE),"")</x:f>
        <x:v>0</x:v>
      </x:c>
      <x:c r="AB91" s="111" t="n">
        <x:f>IFERROR(VLOOKUP($A91,'Jason FLEX'!$A$6:$N$268,10,FALSE),"")</x:f>
        <x:v>69</x:v>
      </x:c>
      <x:c r="AC91" s="111" t="n">
        <x:f>IFERROR(VLOOKUP($A91,'Jason FLEX'!$A$6:$N$268,11,FALSE),"")</x:f>
        <x:v>759</x:v>
      </x:c>
      <x:c r="AD91" s="111" t="n">
        <x:f>IFERROR(VLOOKUP($A91,'Jason FLEX'!$A$6:$N$268,12,FALSE),"")</x:f>
        <x:v>5</x:v>
      </x:c>
      <x:c r="AE91" s="111" t="n">
        <x:f>IFERROR(VLOOKUP($A91,'Jason FLEX'!$A$6:$N$268,13,FALSE),"")</x:f>
        <x:v>0</x:v>
      </x:c>
      <x:c r="AF91" s="110" t="n">
        <x:f>IF(COUNT(E91,N91,W91)=0,"",AVERAGE(E91,N91,W91))</x:f>
        <x:v>90</x:v>
      </x:c>
      <x:c r="AG91" s="110" t="n">
        <x:f>IF(COUNT(E91,N91,W91)=0,"",MAX(E91,N91,W91)-MIN(E91,N91,W91))</x:f>
        <x:v>18</x:v>
      </x:c>
      <x:c r="AH91" s="110" t="n">
        <x:f>IF(COUNT(F91,O91,X91)=0,"",AVERAGE(F91,O91,X91))</x:f>
        <x:v>9.9</x:v>
      </x:c>
      <x:c r="AI91" s="112" t="n">
        <x:f>IF(COUNT(G91,P91,Y91)=0,"",AVERAGE(G91,P91,Y91))</x:f>
        <x:v>0</x:v>
      </x:c>
      <x:c r="AJ91" s="112" t="n">
        <x:f>IF(COUNT(H91,Q91,Z91)=0,"",AVERAGE(H91,Q91,Z91))</x:f>
        <x:v>0</x:v>
      </x:c>
      <x:c r="AK91" s="112" t="n">
        <x:f>IF(COUNT(I91,R91,AA91)=0,"",AVERAGE(I91,R91,AA91))</x:f>
        <x:v>0</x:v>
      </x:c>
      <x:c r="AL91" s="112" t="n">
        <x:f>IF(COUNT(J91,S91,AB91)=0,"",AVERAGE(J91,S91,AB91))</x:f>
        <x:v>66.33333333333333</x:v>
      </x:c>
      <x:c r="AM91" s="112" t="n">
        <x:f>IF(COUNT(K91,T91,AC91)=0,"",AVERAGE(K91,T91,AC91))</x:f>
        <x:v>744.3333333333334</x:v>
      </x:c>
      <x:c r="AN91" s="112" t="n">
        <x:f>IF(COUNT(L91,U91,AD91)=0,"",AVERAGE(L91,U91,AD91))</x:f>
        <x:v>4.666666666666667</x:v>
      </x:c>
      <x:c r="AO91" s="112" t="n">
        <x:f>IF(COUNT(M91,V91,AE91)=0,"",AVERAGE(M91,V91,AE91))</x:f>
        <x:v>0.6666666666666666</x:v>
      </x:c>
    </x:row>
    <x:row r="92">
      <x:c r="A92" s="107" t="str">
        <x:v>Josh Downs</x:v>
      </x:c>
      <x:c r="B92" s="108" t="str">
        <x:v>WR</x:v>
      </x:c>
      <x:c r="C92" s="108" t="str">
        <x:v>IND</x:v>
      </x:c>
      <x:c r="D92" s="109" t="n">
        <x:v>13</x:v>
      </x:c>
      <x:c r="E92" s="109" t="n">
        <x:f>IFERROR(VLOOKUP($A92,'Mike FLEX'!$A$6:$N$278,5,FALSE),"")</x:f>
        <x:v>96</x:v>
      </x:c>
      <x:c r="F92" s="110" t="n">
        <x:f>IFERROR(VLOOKUP($A92,'Mike FLEX'!$A$6:$N$278,6,FALSE),"")</x:f>
        <x:v>9.6</x:v>
      </x:c>
      <x:c r="G92" s="111" t="n">
        <x:f>IFERROR(VLOOKUP($A92,'Mike FLEX'!$A$6:$N$278,7,FALSE),"")</x:f>
        <x:v>0</x:v>
      </x:c>
      <x:c r="H92" s="111" t="n">
        <x:f>IFERROR(VLOOKUP($A92,'Mike FLEX'!$A$6:$N$278,8,FALSE),"")</x:f>
        <x:v>0</x:v>
      </x:c>
      <x:c r="I92" s="111" t="n">
        <x:f>IFERROR(VLOOKUP($A92,'Mike FLEX'!$A$6:$N$278,9,FALSE),"")</x:f>
        <x:v>0</x:v>
      </x:c>
      <x:c r="J92" s="111" t="n">
        <x:f>IFERROR(VLOOKUP($A92,'Mike FLEX'!$A$6:$N$278,10,FALSE),"")</x:f>
        <x:v>69</x:v>
      </x:c>
      <x:c r="K92" s="111" t="n">
        <x:f>IFERROR(VLOOKUP($A92,'Mike FLEX'!$A$6:$N$278,11,FALSE),"")</x:f>
        <x:v>693</x:v>
      </x:c>
      <x:c r="L92" s="111" t="n">
        <x:f>IFERROR(VLOOKUP($A92,'Mike FLEX'!$A$6:$N$278,12,FALSE),"")</x:f>
        <x:v>4</x:v>
      </x:c>
      <x:c r="M92" s="111" t="n">
        <x:f>IFERROR(VLOOKUP($A92,'Mike FLEX'!$A$6:$N$278,13,FALSE),"")</x:f>
        <x:v>0</x:v>
      </x:c>
      <x:c r="N92" s="109" t="n">
        <x:f>IFERROR(VLOOKUP($A92,'Andy FLEX'!$A$6:$N$278,5,FALSE),"")</x:f>
        <x:v>75</x:v>
      </x:c>
      <x:c r="O92" s="110" t="n">
        <x:f>IFERROR(VLOOKUP($A92,'Andy FLEX'!$A$6:$N$278,6,FALSE),"")</x:f>
        <x:v>10.6</x:v>
      </x:c>
      <x:c r="P92" s="111" t="n">
        <x:f>IFERROR(VLOOKUP($A92,'Andy FLEX'!$A$6:$N$278,7,FALSE),"")</x:f>
        <x:v>4</x:v>
      </x:c>
      <x:c r="Q92" s="111" t="n">
        <x:f>IFERROR(VLOOKUP($A92,'Andy FLEX'!$A$6:$N$278,8,FALSE),"")</x:f>
        <x:v>17</x:v>
      </x:c>
      <x:c r="R92" s="111" t="n">
        <x:f>IFERROR(VLOOKUP($A92,'Andy FLEX'!$A$6:$N$278,9,FALSE),"")</x:f>
        <x:v>0</x:v>
      </x:c>
      <x:c r="S92" s="111" t="n">
        <x:f>IFERROR(VLOOKUP($A92,'Andy FLEX'!$A$6:$N$278,10,FALSE),"")</x:f>
        <x:v>80</x:v>
      </x:c>
      <x:c r="T92" s="111" t="n">
        <x:f>IFERROR(VLOOKUP($A92,'Andy FLEX'!$A$6:$N$278,11,FALSE),"")</x:f>
        <x:v>763</x:v>
      </x:c>
      <x:c r="U92" s="111" t="n">
        <x:f>IFERROR(VLOOKUP($A92,'Andy FLEX'!$A$6:$N$278,12,FALSE),"")</x:f>
        <x:v>4</x:v>
      </x:c>
      <x:c r="V92" s="111" t="n">
        <x:f>IFERROR(VLOOKUP($A92,'Andy FLEX'!$A$6:$N$278,13,FALSE),"")</x:f>
        <x:v>1</x:v>
      </x:c>
      <x:c r="W92" s="109" t="n">
        <x:f>IFERROR(VLOOKUP($A92,'Jason FLEX'!$A$6:$N$268,5,FALSE),"")</x:f>
        <x:v>100</x:v>
      </x:c>
      <x:c r="X92" s="110" t="n">
        <x:f>IFERROR(VLOOKUP($A92,'Jason FLEX'!$A$6:$N$268,6,FALSE),"")</x:f>
        <x:v>9.5</x:v>
      </x:c>
      <x:c r="Y92" s="111" t="n">
        <x:f>IFERROR(VLOOKUP($A92,'Jason FLEX'!$A$6:$N$268,7,FALSE),"")</x:f>
        <x:v>4</x:v>
      </x:c>
      <x:c r="Z92" s="111" t="n">
        <x:f>IFERROR(VLOOKUP($A92,'Jason FLEX'!$A$6:$N$268,8,FALSE),"")</x:f>
        <x:v>20</x:v>
      </x:c>
      <x:c r="AA92" s="111" t="n">
        <x:f>IFERROR(VLOOKUP($A92,'Jason FLEX'!$A$6:$N$268,9,FALSE),"")</x:f>
        <x:v>0</x:v>
      </x:c>
      <x:c r="AB92" s="111" t="n">
        <x:f>IFERROR(VLOOKUP($A92,'Jason FLEX'!$A$6:$N$268,10,FALSE),"")</x:f>
        <x:v>63</x:v>
      </x:c>
      <x:c r="AC92" s="111" t="n">
        <x:f>IFERROR(VLOOKUP($A92,'Jason FLEX'!$A$6:$N$268,11,FALSE),"")</x:f>
        <x:v>692</x:v>
      </x:c>
      <x:c r="AD92" s="111" t="n">
        <x:f>IFERROR(VLOOKUP($A92,'Jason FLEX'!$A$6:$N$268,12,FALSE),"")</x:f>
        <x:v>5</x:v>
      </x:c>
      <x:c r="AE92" s="111" t="n">
        <x:f>IFERROR(VLOOKUP($A92,'Jason FLEX'!$A$6:$N$268,13,FALSE),"")</x:f>
        <x:v>1</x:v>
      </x:c>
      <x:c r="AF92" s="110" t="n">
        <x:f>IF(COUNT(E92,N92,W92)=0,"",AVERAGE(E92,N92,W92))</x:f>
        <x:v>90.33333333333333</x:v>
      </x:c>
      <x:c r="AG92" s="110" t="n">
        <x:f>IF(COUNT(E92,N92,W92)=0,"",MAX(E92,N92,W92)-MIN(E92,N92,W92))</x:f>
        <x:v>25</x:v>
      </x:c>
      <x:c r="AH92" s="110" t="n">
        <x:f>IF(COUNT(F92,O92,X92)=0,"",AVERAGE(F92,O92,X92))</x:f>
        <x:v>9.9</x:v>
      </x:c>
      <x:c r="AI92" s="112" t="n">
        <x:f>IF(COUNT(G92,P92,Y92)=0,"",AVERAGE(G92,P92,Y92))</x:f>
        <x:v>2.6666666666666665</x:v>
      </x:c>
      <x:c r="AJ92" s="112" t="n">
        <x:f>IF(COUNT(H92,Q92,Z92)=0,"",AVERAGE(H92,Q92,Z92))</x:f>
        <x:v>12.333333333333334</x:v>
      </x:c>
      <x:c r="AK92" s="112" t="n">
        <x:f>IF(COUNT(I92,R92,AA92)=0,"",AVERAGE(I92,R92,AA92))</x:f>
        <x:v>0</x:v>
      </x:c>
      <x:c r="AL92" s="112" t="n">
        <x:f>IF(COUNT(J92,S92,AB92)=0,"",AVERAGE(J92,S92,AB92))</x:f>
        <x:v>70.66666666666667</x:v>
      </x:c>
      <x:c r="AM92" s="112" t="n">
        <x:f>IF(COUNT(K92,T92,AC92)=0,"",AVERAGE(K92,T92,AC92))</x:f>
        <x:v>716</x:v>
      </x:c>
      <x:c r="AN92" s="112" t="n">
        <x:f>IF(COUNT(L92,U92,AD92)=0,"",AVERAGE(L92,U92,AD92))</x:f>
        <x:v>4.333333333333333</x:v>
      </x:c>
      <x:c r="AO92" s="112" t="n">
        <x:f>IF(COUNT(M92,V92,AE92)=0,"",AVERAGE(M92,V92,AE92))</x:f>
        <x:v>0.6666666666666666</x:v>
      </x:c>
    </x:row>
    <x:row r="93">
      <x:c r="A93" s="107" t="str">
        <x:v>Travis Kelce</x:v>
      </x:c>
      <x:c r="B93" s="108" t="str">
        <x:v>TE</x:v>
      </x:c>
      <x:c r="C93" s="108" t="str">
        <x:v>KC</x:v>
      </x:c>
      <x:c r="D93" s="109" t="n">
        <x:v>5</x:v>
      </x:c>
      <x:c r="E93" s="109" t="n">
        <x:f>IFERROR(VLOOKUP($A93,'Mike FLEX'!$A$6:$N$278,5,FALSE),"")</x:f>
        <x:v>93</x:v>
      </x:c>
      <x:c r="F93" s="110" t="n">
        <x:f>IFERROR(VLOOKUP($A93,'Mike FLEX'!$A$6:$N$278,6,FALSE),"")</x:f>
        <x:v>9.9</x:v>
      </x:c>
      <x:c r="G93" s="111" t="n">
        <x:f>IFERROR(VLOOKUP($A93,'Mike FLEX'!$A$6:$N$278,7,FALSE),"")</x:f>
        <x:v>0</x:v>
      </x:c>
      <x:c r="H93" s="111" t="n">
        <x:f>IFERROR(VLOOKUP($A93,'Mike FLEX'!$A$6:$N$278,8,FALSE),"")</x:f>
        <x:v>0</x:v>
      </x:c>
      <x:c r="I93" s="111" t="n">
        <x:f>IFERROR(VLOOKUP($A93,'Mike FLEX'!$A$6:$N$278,9,FALSE),"")</x:f>
        <x:v>0</x:v>
      </x:c>
      <x:c r="J93" s="111" t="n">
        <x:f>IFERROR(VLOOKUP($A93,'Mike FLEX'!$A$6:$N$278,10,FALSE),"")</x:f>
        <x:v>68</x:v>
      </x:c>
      <x:c r="K93" s="111" t="n">
        <x:f>IFERROR(VLOOKUP($A93,'Mike FLEX'!$A$6:$N$278,11,FALSE),"")</x:f>
        <x:v>741</x:v>
      </x:c>
      <x:c r="L93" s="111" t="n">
        <x:f>IFERROR(VLOOKUP($A93,'Mike FLEX'!$A$6:$N$278,12,FALSE),"")</x:f>
        <x:v>5</x:v>
      </x:c>
      <x:c r="M93" s="111" t="n">
        <x:f>IFERROR(VLOOKUP($A93,'Mike FLEX'!$A$6:$N$278,13,FALSE),"")</x:f>
        <x:v>1</x:v>
      </x:c>
      <x:c r="N93" s="109" t="n">
        <x:f>IFERROR(VLOOKUP($A93,'Andy FLEX'!$A$6:$N$278,5,FALSE),"")</x:f>
        <x:v>106</x:v>
      </x:c>
      <x:c r="O93" s="110" t="n">
        <x:f>IFERROR(VLOOKUP($A93,'Andy FLEX'!$A$6:$N$278,6,FALSE),"")</x:f>
        <x:v>8.9</x:v>
      </x:c>
      <x:c r="P93" s="111" t="n">
        <x:f>IFERROR(VLOOKUP($A93,'Andy FLEX'!$A$6:$N$278,7,FALSE),"")</x:f>
        <x:v>1</x:v>
      </x:c>
      <x:c r="Q93" s="111" t="n">
        <x:f>IFERROR(VLOOKUP($A93,'Andy FLEX'!$A$6:$N$278,8,FALSE),"")</x:f>
        <x:v>1</x:v>
      </x:c>
      <x:c r="R93" s="111" t="n">
        <x:f>IFERROR(VLOOKUP($A93,'Andy FLEX'!$A$6:$N$278,9,FALSE),"")</x:f>
        <x:v>0</x:v>
      </x:c>
      <x:c r="S93" s="111" t="n">
        <x:f>IFERROR(VLOOKUP($A93,'Andy FLEX'!$A$6:$N$278,10,FALSE),"")</x:f>
        <x:v>66</x:v>
      </x:c>
      <x:c r="T93" s="111" t="n">
        <x:f>IFERROR(VLOOKUP($A93,'Andy FLEX'!$A$6:$N$278,11,FALSE),"")</x:f>
        <x:v>616</x:v>
      </x:c>
      <x:c r="U93" s="111" t="n">
        <x:f>IFERROR(VLOOKUP($A93,'Andy FLEX'!$A$6:$N$278,12,FALSE),"")</x:f>
        <x:v>4</x:v>
      </x:c>
      <x:c r="V93" s="111" t="n">
        <x:f>IFERROR(VLOOKUP($A93,'Andy FLEX'!$A$6:$N$278,13,FALSE),"")</x:f>
        <x:v>0</x:v>
      </x:c>
      <x:c r="W93" s="109" t="n">
        <x:f>IFERROR(VLOOKUP($A93,'Jason FLEX'!$A$6:$N$268,5,FALSE),"")</x:f>
        <x:v>79</x:v>
      </x:c>
      <x:c r="X93" s="110" t="n">
        <x:f>IFERROR(VLOOKUP($A93,'Jason FLEX'!$A$6:$N$268,6,FALSE),"")</x:f>
        <x:v>10.4</x:v>
      </x:c>
      <x:c r="Y93" s="111" t="n">
        <x:f>IFERROR(VLOOKUP($A93,'Jason FLEX'!$A$6:$N$268,7,FALSE),"")</x:f>
        <x:v>0</x:v>
      </x:c>
      <x:c r="Z93" s="111" t="n">
        <x:f>IFERROR(VLOOKUP($A93,'Jason FLEX'!$A$6:$N$268,8,FALSE),"")</x:f>
        <x:v>0</x:v>
      </x:c>
      <x:c r="AA93" s="111" t="n">
        <x:f>IFERROR(VLOOKUP($A93,'Jason FLEX'!$A$6:$N$268,9,FALSE),"")</x:f>
        <x:v>0</x:v>
      </x:c>
      <x:c r="AB93" s="111" t="n">
        <x:f>IFERROR(VLOOKUP($A93,'Jason FLEX'!$A$6:$N$268,10,FALSE),"")</x:f>
        <x:v>69</x:v>
      </x:c>
      <x:c r="AC93" s="111" t="n">
        <x:f>IFERROR(VLOOKUP($A93,'Jason FLEX'!$A$6:$N$268,11,FALSE),"")</x:f>
        <x:v>733</x:v>
      </x:c>
      <x:c r="AD93" s="111" t="n">
        <x:f>IFERROR(VLOOKUP($A93,'Jason FLEX'!$A$6:$N$268,12,FALSE),"")</x:f>
        <x:v>6</x:v>
      </x:c>
      <x:c r="AE93" s="111" t="n">
        <x:f>IFERROR(VLOOKUP($A93,'Jason FLEX'!$A$6:$N$268,13,FALSE),"")</x:f>
        <x:v>1</x:v>
      </x:c>
      <x:c r="AF93" s="110" t="n">
        <x:f>IF(COUNT(E93,N93,W93)=0,"",AVERAGE(E93,N93,W93))</x:f>
        <x:v>92.66666666666667</x:v>
      </x:c>
      <x:c r="AG93" s="110" t="n">
        <x:f>IF(COUNT(E93,N93,W93)=0,"",MAX(E93,N93,W93)-MIN(E93,N93,W93))</x:f>
        <x:v>27</x:v>
      </x:c>
      <x:c r="AH93" s="110" t="n">
        <x:f>IF(COUNT(F93,O93,X93)=0,"",AVERAGE(F93,O93,X93))</x:f>
        <x:v>9.733333333333334</x:v>
      </x:c>
      <x:c r="AI93" s="112" t="n">
        <x:f>IF(COUNT(G93,P93,Y93)=0,"",AVERAGE(G93,P93,Y93))</x:f>
        <x:v>0.3333333333333333</x:v>
      </x:c>
      <x:c r="AJ93" s="112" t="n">
        <x:f>IF(COUNT(H93,Q93,Z93)=0,"",AVERAGE(H93,Q93,Z93))</x:f>
        <x:v>0.3333333333333333</x:v>
      </x:c>
      <x:c r="AK93" s="112" t="n">
        <x:f>IF(COUNT(I93,R93,AA93)=0,"",AVERAGE(I93,R93,AA93))</x:f>
        <x:v>0</x:v>
      </x:c>
      <x:c r="AL93" s="112" t="n">
        <x:f>IF(COUNT(J93,S93,AB93)=0,"",AVERAGE(J93,S93,AB93))</x:f>
        <x:v>67.66666666666667</x:v>
      </x:c>
      <x:c r="AM93" s="112" t="n">
        <x:f>IF(COUNT(K93,T93,AC93)=0,"",AVERAGE(K93,T93,AC93))</x:f>
        <x:v>696.6666666666666</x:v>
      </x:c>
      <x:c r="AN93" s="112" t="n">
        <x:f>IF(COUNT(L93,U93,AD93)=0,"",AVERAGE(L93,U93,AD93))</x:f>
        <x:v>5</x:v>
      </x:c>
      <x:c r="AO93" s="112" t="n">
        <x:f>IF(COUNT(M93,V93,AE93)=0,"",AVERAGE(M93,V93,AE93))</x:f>
        <x:v>0.6666666666666666</x:v>
      </x:c>
    </x:row>
    <x:row r="94">
      <x:c r="A94" s="107" t="str">
        <x:v>Dalton Schultz</x:v>
      </x:c>
      <x:c r="B94" s="108" t="str">
        <x:v>TE</x:v>
      </x:c>
      <x:c r="C94" s="108" t="str">
        <x:v>HOU</x:v>
      </x:c>
      <x:c r="D94" s="109" t="n">
        <x:v>8</x:v>
      </x:c>
      <x:c r="E94" s="109" t="n">
        <x:f>IFERROR(VLOOKUP($A94,'Mike FLEX'!$A$6:$N$278,5,FALSE),"")</x:f>
        <x:v>101</x:v>
      </x:c>
      <x:c r="F94" s="110" t="n">
        <x:f>IFERROR(VLOOKUP($A94,'Mike FLEX'!$A$6:$N$278,6,FALSE),"")</x:f>
        <x:v>9.4</x:v>
      </x:c>
      <x:c r="G94" s="111" t="n">
        <x:f>IFERROR(VLOOKUP($A94,'Mike FLEX'!$A$6:$N$278,7,FALSE),"")</x:f>
        <x:v>0</x:v>
      </x:c>
      <x:c r="H94" s="111" t="n">
        <x:f>IFERROR(VLOOKUP($A94,'Mike FLEX'!$A$6:$N$278,8,FALSE),"")</x:f>
        <x:v>0</x:v>
      </x:c>
      <x:c r="I94" s="111" t="n">
        <x:f>IFERROR(VLOOKUP($A94,'Mike FLEX'!$A$6:$N$278,9,FALSE),"")</x:f>
        <x:v>0</x:v>
      </x:c>
      <x:c r="J94" s="111" t="n">
        <x:f>IFERROR(VLOOKUP($A94,'Mike FLEX'!$A$6:$N$278,10,FALSE),"")</x:f>
        <x:v>68</x:v>
      </x:c>
      <x:c r="K94" s="111" t="n">
        <x:f>IFERROR(VLOOKUP($A94,'Mike FLEX'!$A$6:$N$278,11,FALSE),"")</x:f>
        <x:v>669</x:v>
      </x:c>
      <x:c r="L94" s="111" t="n">
        <x:f>IFERROR(VLOOKUP($A94,'Mike FLEX'!$A$6:$N$278,12,FALSE),"")</x:f>
        <x:v>4</x:v>
      </x:c>
      <x:c r="M94" s="111" t="n">
        <x:f>IFERROR(VLOOKUP($A94,'Mike FLEX'!$A$6:$N$278,13,FALSE),"")</x:f>
        <x:v>1</x:v>
      </x:c>
      <x:c r="N94" s="109" t="n">
        <x:f>IFERROR(VLOOKUP($A94,'Andy FLEX'!$A$6:$N$278,5,FALSE),"")</x:f>
        <x:v>89</x:v>
      </x:c>
      <x:c r="O94" s="110" t="n">
        <x:f>IFERROR(VLOOKUP($A94,'Andy FLEX'!$A$6:$N$278,6,FALSE),"")</x:f>
        <x:v>9.9</x:v>
      </x:c>
      <x:c r="P94" s="111" t="n">
        <x:f>IFERROR(VLOOKUP($A94,'Andy FLEX'!$A$6:$N$278,7,FALSE),"")</x:f>
        <x:v>1</x:v>
      </x:c>
      <x:c r="Q94" s="111" t="n">
        <x:f>IFERROR(VLOOKUP($A94,'Andy FLEX'!$A$6:$N$278,8,FALSE),"")</x:f>
        <x:v>4</x:v>
      </x:c>
      <x:c r="R94" s="111" t="n">
        <x:f>IFERROR(VLOOKUP($A94,'Andy FLEX'!$A$6:$N$278,9,FALSE),"")</x:f>
        <x:v>0</x:v>
      </x:c>
      <x:c r="S94" s="111" t="n">
        <x:f>IFERROR(VLOOKUP($A94,'Andy FLEX'!$A$6:$N$278,10,FALSE),"")</x:f>
        <x:v>76</x:v>
      </x:c>
      <x:c r="T94" s="111" t="n">
        <x:f>IFERROR(VLOOKUP($A94,'Andy FLEX'!$A$6:$N$278,11,FALSE),"")</x:f>
        <x:v>709</x:v>
      </x:c>
      <x:c r="U94" s="111" t="n">
        <x:f>IFERROR(VLOOKUP($A94,'Andy FLEX'!$A$6:$N$278,12,FALSE),"")</x:f>
        <x:v>4</x:v>
      </x:c>
      <x:c r="V94" s="111" t="n">
        <x:f>IFERROR(VLOOKUP($A94,'Andy FLEX'!$A$6:$N$278,13,FALSE),"")</x:f>
        <x:v>1</x:v>
      </x:c>
      <x:c r="W94" s="109" t="n">
        <x:f>IFERROR(VLOOKUP($A94,'Jason FLEX'!$A$6:$N$268,5,FALSE),"")</x:f>
        <x:v>91</x:v>
      </x:c>
      <x:c r="X94" s="110" t="n">
        <x:f>IFERROR(VLOOKUP($A94,'Jason FLEX'!$A$6:$N$268,6,FALSE),"")</x:f>
        <x:v>10</x:v>
      </x:c>
      <x:c r="Y94" s="111" t="n">
        <x:f>IFERROR(VLOOKUP($A94,'Jason FLEX'!$A$6:$N$268,7,FALSE),"")</x:f>
        <x:v>0</x:v>
      </x:c>
      <x:c r="Z94" s="111" t="n">
        <x:f>IFERROR(VLOOKUP($A94,'Jason FLEX'!$A$6:$N$268,8,FALSE),"")</x:f>
        <x:v>0</x:v>
      </x:c>
      <x:c r="AA94" s="111" t="n">
        <x:f>IFERROR(VLOOKUP($A94,'Jason FLEX'!$A$6:$N$268,9,FALSE),"")</x:f>
        <x:v>0</x:v>
      </x:c>
      <x:c r="AB94" s="111" t="n">
        <x:f>IFERROR(VLOOKUP($A94,'Jason FLEX'!$A$6:$N$268,10,FALSE),"")</x:f>
        <x:v>76</x:v>
      </x:c>
      <x:c r="AC94" s="111" t="n">
        <x:f>IFERROR(VLOOKUP($A94,'Jason FLEX'!$A$6:$N$268,11,FALSE),"")</x:f>
        <x:v>702</x:v>
      </x:c>
      <x:c r="AD94" s="111" t="n">
        <x:f>IFERROR(VLOOKUP($A94,'Jason FLEX'!$A$6:$N$268,12,FALSE),"")</x:f>
        <x:v>4</x:v>
      </x:c>
      <x:c r="AE94" s="111" t="n">
        <x:f>IFERROR(VLOOKUP($A94,'Jason FLEX'!$A$6:$N$268,13,FALSE),"")</x:f>
        <x:v>0</x:v>
      </x:c>
      <x:c r="AF94" s="110" t="n">
        <x:f>IF(COUNT(E94,N94,W94)=0,"",AVERAGE(E94,N94,W94))</x:f>
        <x:v>93.66666666666667</x:v>
      </x:c>
      <x:c r="AG94" s="110" t="n">
        <x:f>IF(COUNT(E94,N94,W94)=0,"",MAX(E94,N94,W94)-MIN(E94,N94,W94))</x:f>
        <x:v>12</x:v>
      </x:c>
      <x:c r="AH94" s="110" t="n">
        <x:f>IF(COUNT(F94,O94,X94)=0,"",AVERAGE(F94,O94,X94))</x:f>
        <x:v>9.766666666666667</x:v>
      </x:c>
      <x:c r="AI94" s="112" t="n">
        <x:f>IF(COUNT(G94,P94,Y94)=0,"",AVERAGE(G94,P94,Y94))</x:f>
        <x:v>0.3333333333333333</x:v>
      </x:c>
      <x:c r="AJ94" s="112" t="n">
        <x:f>IF(COUNT(H94,Q94,Z94)=0,"",AVERAGE(H94,Q94,Z94))</x:f>
        <x:v>1.3333333333333333</x:v>
      </x:c>
      <x:c r="AK94" s="112" t="n">
        <x:f>IF(COUNT(I94,R94,AA94)=0,"",AVERAGE(I94,R94,AA94))</x:f>
        <x:v>0</x:v>
      </x:c>
      <x:c r="AL94" s="112" t="n">
        <x:f>IF(COUNT(J94,S94,AB94)=0,"",AVERAGE(J94,S94,AB94))</x:f>
        <x:v>73.33333333333333</x:v>
      </x:c>
      <x:c r="AM94" s="112" t="n">
        <x:f>IF(COUNT(K94,T94,AC94)=0,"",AVERAGE(K94,T94,AC94))</x:f>
        <x:v>693.3333333333334</x:v>
      </x:c>
      <x:c r="AN94" s="112" t="n">
        <x:f>IF(COUNT(L94,U94,AD94)=0,"",AVERAGE(L94,U94,AD94))</x:f>
        <x:v>4</x:v>
      </x:c>
      <x:c r="AO94" s="112" t="n">
        <x:f>IF(COUNT(M94,V94,AE94)=0,"",AVERAGE(M94,V94,AE94))</x:f>
        <x:v>0.6666666666666666</x:v>
      </x:c>
    </x:row>
    <x:row r="95">
      <x:c r="A95" s="107" t="str">
        <x:v>Jakobi Meyers</x:v>
      </x:c>
      <x:c r="B95" s="108" t="str">
        <x:v>WR</x:v>
      </x:c>
      <x:c r="C95" s="108" t="str">
        <x:v>JAX</x:v>
      </x:c>
      <x:c r="D95" s="109" t="n">
        <x:v>7</x:v>
      </x:c>
      <x:c r="E95" s="109" t="n">
        <x:f>IFERROR(VLOOKUP($A95,'Mike FLEX'!$A$6:$N$278,5,FALSE),"")</x:f>
        <x:v>97</x:v>
      </x:c>
      <x:c r="F95" s="110" t="n">
        <x:f>IFERROR(VLOOKUP($A95,'Mike FLEX'!$A$6:$N$278,6,FALSE),"")</x:f>
        <x:v>9.5</x:v>
      </x:c>
      <x:c r="G95" s="111" t="n">
        <x:f>IFERROR(VLOOKUP($A95,'Mike FLEX'!$A$6:$N$278,7,FALSE),"")</x:f>
        <x:v>3</x:v>
      </x:c>
      <x:c r="H95" s="111" t="n">
        <x:f>IFERROR(VLOOKUP($A95,'Mike FLEX'!$A$6:$N$278,8,FALSE),"")</x:f>
        <x:v>12</x:v>
      </x:c>
      <x:c r="I95" s="111" t="n">
        <x:f>IFERROR(VLOOKUP($A95,'Mike FLEX'!$A$6:$N$278,9,FALSE),"")</x:f>
        <x:v>0</x:v>
      </x:c>
      <x:c r="J95" s="111" t="n">
        <x:f>IFERROR(VLOOKUP($A95,'Mike FLEX'!$A$6:$N$278,10,FALSE),"")</x:f>
        <x:v>65</x:v>
      </x:c>
      <x:c r="K95" s="111" t="n">
        <x:f>IFERROR(VLOOKUP($A95,'Mike FLEX'!$A$6:$N$278,11,FALSE),"")</x:f>
        <x:v>748</x:v>
      </x:c>
      <x:c r="L95" s="111" t="n">
        <x:f>IFERROR(VLOOKUP($A95,'Mike FLEX'!$A$6:$N$278,12,FALSE),"")</x:f>
        <x:v>3</x:v>
      </x:c>
      <x:c r="M95" s="111" t="n">
        <x:f>IFERROR(VLOOKUP($A95,'Mike FLEX'!$A$6:$N$278,13,FALSE),"")</x:f>
        <x:v>0</x:v>
      </x:c>
      <x:c r="N95" s="109" t="n">
        <x:f>IFERROR(VLOOKUP($A95,'Andy FLEX'!$A$6:$N$278,5,FALSE),"")</x:f>
        <x:v>78</x:v>
      </x:c>
      <x:c r="O95" s="110" t="n">
        <x:f>IFERROR(VLOOKUP($A95,'Andy FLEX'!$A$6:$N$278,6,FALSE),"")</x:f>
        <x:v>10.5</x:v>
      </x:c>
      <x:c r="P95" s="111" t="n">
        <x:f>IFERROR(VLOOKUP($A95,'Andy FLEX'!$A$6:$N$278,7,FALSE),"")</x:f>
        <x:v>5</x:v>
      </x:c>
      <x:c r="Q95" s="111" t="n">
        <x:f>IFERROR(VLOOKUP($A95,'Andy FLEX'!$A$6:$N$278,8,FALSE),"")</x:f>
        <x:v>17</x:v>
      </x:c>
      <x:c r="R95" s="111" t="n">
        <x:f>IFERROR(VLOOKUP($A95,'Andy FLEX'!$A$6:$N$278,9,FALSE),"")</x:f>
        <x:v>0</x:v>
      </x:c>
      <x:c r="S95" s="111" t="n">
        <x:f>IFERROR(VLOOKUP($A95,'Andy FLEX'!$A$6:$N$278,10,FALSE),"")</x:f>
        <x:v>74</x:v>
      </x:c>
      <x:c r="T95" s="111" t="n">
        <x:f>IFERROR(VLOOKUP($A95,'Andy FLEX'!$A$6:$N$278,11,FALSE),"")</x:f>
        <x:v>819</x:v>
      </x:c>
      <x:c r="U95" s="111" t="n">
        <x:f>IFERROR(VLOOKUP($A95,'Andy FLEX'!$A$6:$N$278,12,FALSE),"")</x:f>
        <x:v>4</x:v>
      </x:c>
      <x:c r="V95" s="111" t="n">
        <x:f>IFERROR(VLOOKUP($A95,'Andy FLEX'!$A$6:$N$278,13,FALSE),"")</x:f>
        <x:v>1</x:v>
      </x:c>
      <x:c r="W95" s="109" t="n">
        <x:f>IFERROR(VLOOKUP($A95,'Jason FLEX'!$A$6:$N$268,5,FALSE),"")</x:f>
        <x:v>111</x:v>
      </x:c>
      <x:c r="X95" s="110" t="n">
        <x:f>IFERROR(VLOOKUP($A95,'Jason FLEX'!$A$6:$N$268,6,FALSE),"")</x:f>
        <x:v>9.2</x:v>
      </x:c>
      <x:c r="Y95" s="111" t="n">
        <x:f>IFERROR(VLOOKUP($A95,'Jason FLEX'!$A$6:$N$268,7,FALSE),"")</x:f>
        <x:v>4</x:v>
      </x:c>
      <x:c r="Z95" s="111" t="n">
        <x:f>IFERROR(VLOOKUP($A95,'Jason FLEX'!$A$6:$N$268,8,FALSE),"")</x:f>
        <x:v>16</x:v>
      </x:c>
      <x:c r="AA95" s="111" t="n">
        <x:f>IFERROR(VLOOKUP($A95,'Jason FLEX'!$A$6:$N$268,9,FALSE),"")</x:f>
        <x:v>0</x:v>
      </x:c>
      <x:c r="AB95" s="111" t="n">
        <x:f>IFERROR(VLOOKUP($A95,'Jason FLEX'!$A$6:$N$268,10,FALSE),"")</x:f>
        <x:v>62</x:v>
      </x:c>
      <x:c r="AC95" s="111" t="n">
        <x:f>IFERROR(VLOOKUP($A95,'Jason FLEX'!$A$6:$N$268,11,FALSE),"")</x:f>
        <x:v>678</x:v>
      </x:c>
      <x:c r="AD95" s="111" t="n">
        <x:f>IFERROR(VLOOKUP($A95,'Jason FLEX'!$A$6:$N$268,12,FALSE),"")</x:f>
        <x:v>5</x:v>
      </x:c>
      <x:c r="AE95" s="111" t="n">
        <x:f>IFERROR(VLOOKUP($A95,'Jason FLEX'!$A$6:$N$268,13,FALSE),"")</x:f>
        <x:v>1</x:v>
      </x:c>
      <x:c r="AF95" s="110" t="n">
        <x:f>IF(COUNT(E95,N95,W95)=0,"",AVERAGE(E95,N95,W95))</x:f>
        <x:v>95.33333333333333</x:v>
      </x:c>
      <x:c r="AG95" s="110" t="n">
        <x:f>IF(COUNT(E95,N95,W95)=0,"",MAX(E95,N95,W95)-MIN(E95,N95,W95))</x:f>
        <x:v>33</x:v>
      </x:c>
      <x:c r="AH95" s="110" t="n">
        <x:f>IF(COUNT(F95,O95,X95)=0,"",AVERAGE(F95,O95,X95))</x:f>
        <x:v>9.733333333333333</x:v>
      </x:c>
      <x:c r="AI95" s="112" t="n">
        <x:f>IF(COUNT(G95,P95,Y95)=0,"",AVERAGE(G95,P95,Y95))</x:f>
        <x:v>4</x:v>
      </x:c>
      <x:c r="AJ95" s="112" t="n">
        <x:f>IF(COUNT(H95,Q95,Z95)=0,"",AVERAGE(H95,Q95,Z95))</x:f>
        <x:v>15</x:v>
      </x:c>
      <x:c r="AK95" s="112" t="n">
        <x:f>IF(COUNT(I95,R95,AA95)=0,"",AVERAGE(I95,R95,AA95))</x:f>
        <x:v>0</x:v>
      </x:c>
      <x:c r="AL95" s="112" t="n">
        <x:f>IF(COUNT(J95,S95,AB95)=0,"",AVERAGE(J95,S95,AB95))</x:f>
        <x:v>67</x:v>
      </x:c>
      <x:c r="AM95" s="112" t="n">
        <x:f>IF(COUNT(K95,T95,AC95)=0,"",AVERAGE(K95,T95,AC95))</x:f>
        <x:v>748.3333333333334</x:v>
      </x:c>
      <x:c r="AN95" s="112" t="n">
        <x:f>IF(COUNT(L95,U95,AD95)=0,"",AVERAGE(L95,U95,AD95))</x:f>
        <x:v>4</x:v>
      </x:c>
      <x:c r="AO95" s="112" t="n">
        <x:f>IF(COUNT(M95,V95,AE95)=0,"",AVERAGE(M95,V95,AE95))</x:f>
        <x:v>0.6666666666666666</x:v>
      </x:c>
    </x:row>
    <x:row r="96">
      <x:c r="A96" s="107" t="str">
        <x:v>Chuba Hubbard</x:v>
      </x:c>
      <x:c r="B96" s="108" t="str">
        <x:v>RB</x:v>
      </x:c>
      <x:c r="C96" s="108" t="str">
        <x:v>CAR</x:v>
      </x:c>
      <x:c r="D96" s="109" t="n">
        <x:v>5</x:v>
      </x:c>
      <x:c r="E96" s="109" t="n">
        <x:f>IFERROR(VLOOKUP($A96,'Mike FLEX'!$A$6:$N$278,5,FALSE),"")</x:f>
        <x:v>95</x:v>
      </x:c>
      <x:c r="F96" s="110" t="n">
        <x:f>IFERROR(VLOOKUP($A96,'Mike FLEX'!$A$6:$N$278,6,FALSE),"")</x:f>
        <x:v>9.8</x:v>
      </x:c>
      <x:c r="G96" s="111" t="n">
        <x:f>IFERROR(VLOOKUP($A96,'Mike FLEX'!$A$6:$N$278,7,FALSE),"")</x:f>
        <x:v>213</x:v>
      </x:c>
      <x:c r="H96" s="111" t="n">
        <x:f>IFERROR(VLOOKUP($A96,'Mike FLEX'!$A$6:$N$278,8,FALSE),"")</x:f>
        <x:v>893</x:v>
      </x:c>
      <x:c r="I96" s="111" t="n">
        <x:f>IFERROR(VLOOKUP($A96,'Mike FLEX'!$A$6:$N$278,9,FALSE),"")</x:f>
        <x:v>5</x:v>
      </x:c>
      <x:c r="J96" s="111" t="n">
        <x:f>IFERROR(VLOOKUP($A96,'Mike FLEX'!$A$6:$N$278,10,FALSE),"")</x:f>
        <x:v>28</x:v>
      </x:c>
      <x:c r="K96" s="111" t="n">
        <x:f>IFERROR(VLOOKUP($A96,'Mike FLEX'!$A$6:$N$278,11,FALSE),"")</x:f>
        <x:v>175</x:v>
      </x:c>
      <x:c r="L96" s="111" t="n">
        <x:f>IFERROR(VLOOKUP($A96,'Mike FLEX'!$A$6:$N$278,12,FALSE),"")</x:f>
        <x:v>1</x:v>
      </x:c>
      <x:c r="M96" s="111" t="n">
        <x:f>IFERROR(VLOOKUP($A96,'Mike FLEX'!$A$6:$N$278,13,FALSE),"")</x:f>
        <x:v>2</x:v>
      </x:c>
      <x:c r="N96" s="109" t="n">
        <x:f>IFERROR(VLOOKUP($A96,'Andy FLEX'!$A$6:$N$278,5,FALSE),"")</x:f>
        <x:v>101</x:v>
      </x:c>
      <x:c r="O96" s="110" t="n">
        <x:f>IFERROR(VLOOKUP($A96,'Andy FLEX'!$A$6:$N$278,6,FALSE),"")</x:f>
        <x:v>9.3</x:v>
      </x:c>
      <x:c r="P96" s="111" t="n">
        <x:f>IFERROR(VLOOKUP($A96,'Andy FLEX'!$A$6:$N$278,7,FALSE),"")</x:f>
        <x:v>162</x:v>
      </x:c>
      <x:c r="Q96" s="111" t="n">
        <x:f>IFERROR(VLOOKUP($A96,'Andy FLEX'!$A$6:$N$278,8,FALSE),"")</x:f>
        <x:v>700</x:v>
      </x:c>
      <x:c r="R96" s="111" t="n">
        <x:f>IFERROR(VLOOKUP($A96,'Andy FLEX'!$A$6:$N$278,9,FALSE),"")</x:f>
        <x:v>5</x:v>
      </x:c>
      <x:c r="S96" s="111" t="n">
        <x:f>IFERROR(VLOOKUP($A96,'Andy FLEX'!$A$6:$N$278,10,FALSE),"")</x:f>
        <x:v>27</x:v>
      </x:c>
      <x:c r="T96" s="111" t="n">
        <x:f>IFERROR(VLOOKUP($A96,'Andy FLEX'!$A$6:$N$278,11,FALSE),"")</x:f>
        <x:v>205</x:v>
      </x:c>
      <x:c r="U96" s="111" t="n">
        <x:f>IFERROR(VLOOKUP($A96,'Andy FLEX'!$A$6:$N$278,12,FALSE),"")</x:f>
        <x:v>2</x:v>
      </x:c>
      <x:c r="V96" s="111" t="n">
        <x:f>IFERROR(VLOOKUP($A96,'Andy FLEX'!$A$6:$N$278,13,FALSE),"")</x:f>
        <x:v>1</x:v>
      </x:c>
      <x:c r="W96" s="109" t="n">
        <x:f>IFERROR(VLOOKUP($A96,'Jason FLEX'!$A$6:$N$268,5,FALSE),"")</x:f>
        <x:v>94</x:v>
      </x:c>
      <x:c r="X96" s="110" t="n">
        <x:f>IFERROR(VLOOKUP($A96,'Jason FLEX'!$A$6:$N$268,6,FALSE),"")</x:f>
        <x:v>9.9</x:v>
      </x:c>
      <x:c r="Y96" s="111" t="n">
        <x:f>IFERROR(VLOOKUP($A96,'Jason FLEX'!$A$6:$N$268,7,FALSE),"")</x:f>
        <x:v>175</x:v>
      </x:c>
      <x:c r="Z96" s="111" t="n">
        <x:f>IFERROR(VLOOKUP($A96,'Jason FLEX'!$A$6:$N$268,8,FALSE),"")</x:f>
        <x:v>742</x:v>
      </x:c>
      <x:c r="AA96" s="111" t="n">
        <x:f>IFERROR(VLOOKUP($A96,'Jason FLEX'!$A$6:$N$268,9,FALSE),"")</x:f>
        <x:v>5</x:v>
      </x:c>
      <x:c r="AB96" s="111" t="n">
        <x:f>IFERROR(VLOOKUP($A96,'Jason FLEX'!$A$6:$N$268,10,FALSE),"")</x:f>
        <x:v>34</x:v>
      </x:c>
      <x:c r="AC96" s="111" t="n">
        <x:f>IFERROR(VLOOKUP($A96,'Jason FLEX'!$A$6:$N$268,11,FALSE),"")</x:f>
        <x:v>245</x:v>
      </x:c>
      <x:c r="AD96" s="111" t="n">
        <x:f>IFERROR(VLOOKUP($A96,'Jason FLEX'!$A$6:$N$268,12,FALSE),"")</x:f>
        <x:v>2</x:v>
      </x:c>
      <x:c r="AE96" s="111" t="n">
        <x:f>IFERROR(VLOOKUP($A96,'Jason FLEX'!$A$6:$N$268,13,FALSE),"")</x:f>
        <x:v>2</x:v>
      </x:c>
      <x:c r="AF96" s="110" t="n">
        <x:f>IF(COUNT(E96,N96,W96)=0,"",AVERAGE(E96,N96,W96))</x:f>
        <x:v>96.66666666666667</x:v>
      </x:c>
      <x:c r="AG96" s="110" t="n">
        <x:f>IF(COUNT(E96,N96,W96)=0,"",MAX(E96,N96,W96)-MIN(E96,N96,W96))</x:f>
        <x:v>7</x:v>
      </x:c>
      <x:c r="AH96" s="110" t="n">
        <x:f>IF(COUNT(F96,O96,X96)=0,"",AVERAGE(F96,O96,X96))</x:f>
        <x:v>9.666666666666666</x:v>
      </x:c>
      <x:c r="AI96" s="112" t="n">
        <x:f>IF(COUNT(G96,P96,Y96)=0,"",AVERAGE(G96,P96,Y96))</x:f>
        <x:v>183.33333333333334</x:v>
      </x:c>
      <x:c r="AJ96" s="112" t="n">
        <x:f>IF(COUNT(H96,Q96,Z96)=0,"",AVERAGE(H96,Q96,Z96))</x:f>
        <x:v>778.3333333333334</x:v>
      </x:c>
      <x:c r="AK96" s="112" t="n">
        <x:f>IF(COUNT(I96,R96,AA96)=0,"",AVERAGE(I96,R96,AA96))</x:f>
        <x:v>5</x:v>
      </x:c>
      <x:c r="AL96" s="112" t="n">
        <x:f>IF(COUNT(J96,S96,AB96)=0,"",AVERAGE(J96,S96,AB96))</x:f>
        <x:v>29.666666666666668</x:v>
      </x:c>
      <x:c r="AM96" s="112" t="n">
        <x:f>IF(COUNT(K96,T96,AC96)=0,"",AVERAGE(K96,T96,AC96))</x:f>
        <x:v>208.33333333333334</x:v>
      </x:c>
      <x:c r="AN96" s="112" t="n">
        <x:f>IF(COUNT(L96,U96,AD96)=0,"",AVERAGE(L96,U96,AD96))</x:f>
        <x:v>1.6666666666666667</x:v>
      </x:c>
      <x:c r="AO96" s="112" t="n">
        <x:f>IF(COUNT(M96,V96,AE96)=0,"",AVERAGE(M96,V96,AE96))</x:f>
        <x:v>1.6666666666666667</x:v>
      </x:c>
    </x:row>
    <x:row r="97">
      <x:c r="A97" s="107" t="str">
        <x:v>Jake Ferguson</x:v>
      </x:c>
      <x:c r="B97" s="108" t="str">
        <x:v>TE</x:v>
      </x:c>
      <x:c r="C97" s="108" t="str">
        <x:v>DAL</x:v>
      </x:c>
      <x:c r="D97" s="109" t="n">
        <x:v>14</x:v>
      </x:c>
      <x:c r="E97" s="109" t="n">
        <x:f>IFERROR(VLOOKUP($A97,'Mike FLEX'!$A$6:$N$278,5,FALSE),"")</x:f>
        <x:v>113</x:v>
      </x:c>
      <x:c r="F97" s="110" t="n">
        <x:f>IFERROR(VLOOKUP($A97,'Mike FLEX'!$A$6:$N$278,6,FALSE),"")</x:f>
        <x:v>8.6</x:v>
      </x:c>
      <x:c r="G97" s="111" t="n">
        <x:f>IFERROR(VLOOKUP($A97,'Mike FLEX'!$A$6:$N$278,7,FALSE),"")</x:f>
        <x:v>0</x:v>
      </x:c>
      <x:c r="H97" s="111" t="n">
        <x:f>IFERROR(VLOOKUP($A97,'Mike FLEX'!$A$6:$N$278,8,FALSE),"")</x:f>
        <x:v>0</x:v>
      </x:c>
      <x:c r="I97" s="111" t="n">
        <x:f>IFERROR(VLOOKUP($A97,'Mike FLEX'!$A$6:$N$278,9,FALSE),"")</x:f>
        <x:v>0</x:v>
      </x:c>
      <x:c r="J97" s="111" t="n">
        <x:f>IFERROR(VLOOKUP($A97,'Mike FLEX'!$A$6:$N$278,10,FALSE),"")</x:f>
        <x:v>68</x:v>
      </x:c>
      <x:c r="K97" s="111" t="n">
        <x:f>IFERROR(VLOOKUP($A97,'Mike FLEX'!$A$6:$N$278,11,FALSE),"")</x:f>
        <x:v>574</x:v>
      </x:c>
      <x:c r="L97" s="111" t="n">
        <x:f>IFERROR(VLOOKUP($A97,'Mike FLEX'!$A$6:$N$278,12,FALSE),"")</x:f>
        <x:v>4</x:v>
      </x:c>
      <x:c r="M97" s="111" t="n">
        <x:f>IFERROR(VLOOKUP($A97,'Mike FLEX'!$A$6:$N$278,13,FALSE),"")</x:f>
        <x:v>2</x:v>
      </x:c>
      <x:c r="N97" s="109" t="n">
        <x:f>IFERROR(VLOOKUP($A97,'Andy FLEX'!$A$6:$N$278,5,FALSE),"")</x:f>
        <x:v>91</x:v>
      </x:c>
      <x:c r="O97" s="110" t="n">
        <x:f>IFERROR(VLOOKUP($A97,'Andy FLEX'!$A$6:$N$278,6,FALSE),"")</x:f>
        <x:v>9.9</x:v>
      </x:c>
      <x:c r="P97" s="111" t="n">
        <x:f>IFERROR(VLOOKUP($A97,'Andy FLEX'!$A$6:$N$278,7,FALSE),"")</x:f>
        <x:v>2</x:v>
      </x:c>
      <x:c r="Q97" s="111" t="n">
        <x:f>IFERROR(VLOOKUP($A97,'Andy FLEX'!$A$6:$N$278,8,FALSE),"")</x:f>
        <x:v>2</x:v>
      </x:c>
      <x:c r="R97" s="111" t="n">
        <x:f>IFERROR(VLOOKUP($A97,'Andy FLEX'!$A$6:$N$278,9,FALSE),"")</x:f>
        <x:v>0</x:v>
      </x:c>
      <x:c r="S97" s="111" t="n">
        <x:f>IFERROR(VLOOKUP($A97,'Andy FLEX'!$A$6:$N$278,10,FALSE),"")</x:f>
        <x:v>76</x:v>
      </x:c>
      <x:c r="T97" s="111" t="n">
        <x:f>IFERROR(VLOOKUP($A97,'Andy FLEX'!$A$6:$N$278,11,FALSE),"")</x:f>
        <x:v>558</x:v>
      </x:c>
      <x:c r="U97" s="111" t="n">
        <x:f>IFERROR(VLOOKUP($A97,'Andy FLEX'!$A$6:$N$278,12,FALSE),"")</x:f>
        <x:v>6</x:v>
      </x:c>
      <x:c r="V97" s="111" t="n">
        <x:f>IFERROR(VLOOKUP($A97,'Andy FLEX'!$A$6:$N$278,13,FALSE),"")</x:f>
        <x:v>1</x:v>
      </x:c>
      <x:c r="W97" s="109" t="n">
        <x:f>IFERROR(VLOOKUP($A97,'Jason FLEX'!$A$6:$N$268,5,FALSE),"")</x:f>
        <x:v>89</x:v>
      </x:c>
      <x:c r="X97" s="110" t="n">
        <x:f>IFERROR(VLOOKUP($A97,'Jason FLEX'!$A$6:$N$268,6,FALSE),"")</x:f>
        <x:v>10</x:v>
      </x:c>
      <x:c r="Y97" s="111" t="n">
        <x:f>IFERROR(VLOOKUP($A97,'Jason FLEX'!$A$6:$N$268,7,FALSE),"")</x:f>
        <x:v>0</x:v>
      </x:c>
      <x:c r="Z97" s="111" t="n">
        <x:f>IFERROR(VLOOKUP($A97,'Jason FLEX'!$A$6:$N$268,8,FALSE),"")</x:f>
        <x:v>0</x:v>
      </x:c>
      <x:c r="AA97" s="111" t="n">
        <x:f>IFERROR(VLOOKUP($A97,'Jason FLEX'!$A$6:$N$268,9,FALSE),"")</x:f>
        <x:v>0</x:v>
      </x:c>
      <x:c r="AB97" s="111" t="n">
        <x:f>IFERROR(VLOOKUP($A97,'Jason FLEX'!$A$6:$N$268,10,FALSE),"")</x:f>
        <x:v>73</x:v>
      </x:c>
      <x:c r="AC97" s="111" t="n">
        <x:f>IFERROR(VLOOKUP($A97,'Jason FLEX'!$A$6:$N$268,11,FALSE),"")</x:f>
        <x:v>633</x:v>
      </x:c>
      <x:c r="AD97" s="111" t="n">
        <x:f>IFERROR(VLOOKUP($A97,'Jason FLEX'!$A$6:$N$268,12,FALSE),"")</x:f>
        <x:v>6</x:v>
      </x:c>
      <x:c r="AE97" s="111" t="n">
        <x:f>IFERROR(VLOOKUP($A97,'Jason FLEX'!$A$6:$N$268,13,FALSE),"")</x:f>
        <x:v>1</x:v>
      </x:c>
      <x:c r="AF97" s="110" t="n">
        <x:f>IF(COUNT(E97,N97,W97)=0,"",AVERAGE(E97,N97,W97))</x:f>
        <x:v>97.66666666666667</x:v>
      </x:c>
      <x:c r="AG97" s="110" t="n">
        <x:f>IF(COUNT(E97,N97,W97)=0,"",MAX(E97,N97,W97)-MIN(E97,N97,W97))</x:f>
        <x:v>24</x:v>
      </x:c>
      <x:c r="AH97" s="110" t="n">
        <x:f>IF(COUNT(F97,O97,X97)=0,"",AVERAGE(F97,O97,X97))</x:f>
        <x:v>9.5</x:v>
      </x:c>
      <x:c r="AI97" s="112" t="n">
        <x:f>IF(COUNT(G97,P97,Y97)=0,"",AVERAGE(G97,P97,Y97))</x:f>
        <x:v>0.6666666666666666</x:v>
      </x:c>
      <x:c r="AJ97" s="112" t="n">
        <x:f>IF(COUNT(H97,Q97,Z97)=0,"",AVERAGE(H97,Q97,Z97))</x:f>
        <x:v>0.6666666666666666</x:v>
      </x:c>
      <x:c r="AK97" s="112" t="n">
        <x:f>IF(COUNT(I97,R97,AA97)=0,"",AVERAGE(I97,R97,AA97))</x:f>
        <x:v>0</x:v>
      </x:c>
      <x:c r="AL97" s="112" t="n">
        <x:f>IF(COUNT(J97,S97,AB97)=0,"",AVERAGE(J97,S97,AB97))</x:f>
        <x:v>72.33333333333333</x:v>
      </x:c>
      <x:c r="AM97" s="112" t="n">
        <x:f>IF(COUNT(K97,T97,AC97)=0,"",AVERAGE(K97,T97,AC97))</x:f>
        <x:v>588.3333333333334</x:v>
      </x:c>
      <x:c r="AN97" s="112" t="n">
        <x:f>IF(COUNT(L97,U97,AD97)=0,"",AVERAGE(L97,U97,AD97))</x:f>
        <x:v>5.333333333333333</x:v>
      </x:c>
      <x:c r="AO97" s="112" t="n">
        <x:f>IF(COUNT(M97,V97,AE97)=0,"",AVERAGE(M97,V97,AE97))</x:f>
        <x:v>1.3333333333333333</x:v>
      </x:c>
    </x:row>
    <x:row r="98">
      <x:c r="A98" s="107" t="str">
        <x:v>Tony Pollard</x:v>
      </x:c>
      <x:c r="B98" s="108" t="str">
        <x:v>RB</x:v>
      </x:c>
      <x:c r="C98" s="108" t="str">
        <x:v>TEN</x:v>
      </x:c>
      <x:c r="D98" s="109" t="n">
        <x:v>9</x:v>
      </x:c>
      <x:c r="E98" s="109" t="n">
        <x:f>IFERROR(VLOOKUP($A98,'Mike FLEX'!$A$6:$N$278,5,FALSE),"")</x:f>
        <x:v>91</x:v>
      </x:c>
      <x:c r="F98" s="110" t="n">
        <x:f>IFERROR(VLOOKUP($A98,'Mike FLEX'!$A$6:$N$278,6,FALSE),"")</x:f>
        <x:v>10.1</x:v>
      </x:c>
      <x:c r="G98" s="111" t="n">
        <x:f>IFERROR(VLOOKUP($A98,'Mike FLEX'!$A$6:$N$278,7,FALSE),"")</x:f>
        <x:v>213</x:v>
      </x:c>
      <x:c r="H98" s="111" t="n">
        <x:f>IFERROR(VLOOKUP($A98,'Mike FLEX'!$A$6:$N$278,8,FALSE),"")</x:f>
        <x:v>918</x:v>
      </x:c>
      <x:c r="I98" s="111" t="n">
        <x:f>IFERROR(VLOOKUP($A98,'Mike FLEX'!$A$6:$N$278,9,FALSE),"")</x:f>
        <x:v>5</x:v>
      </x:c>
      <x:c r="J98" s="111" t="n">
        <x:f>IFERROR(VLOOKUP($A98,'Mike FLEX'!$A$6:$N$278,10,FALSE),"")</x:f>
        <x:v>29</x:v>
      </x:c>
      <x:c r="K98" s="111" t="n">
        <x:f>IFERROR(VLOOKUP($A98,'Mike FLEX'!$A$6:$N$278,11,FALSE),"")</x:f>
        <x:v>199</x:v>
      </x:c>
      <x:c r="L98" s="111" t="n">
        <x:f>IFERROR(VLOOKUP($A98,'Mike FLEX'!$A$6:$N$278,12,FALSE),"")</x:f>
        <x:v>1</x:v>
      </x:c>
      <x:c r="M98" s="111" t="n">
        <x:f>IFERROR(VLOOKUP($A98,'Mike FLEX'!$A$6:$N$278,13,FALSE),"")</x:f>
        <x:v>3</x:v>
      </x:c>
      <x:c r="N98" s="109" t="n">
        <x:f>IFERROR(VLOOKUP($A98,'Andy FLEX'!$A$6:$N$278,5,FALSE),"")</x:f>
        <x:v>103</x:v>
      </x:c>
      <x:c r="O98" s="110" t="n">
        <x:f>IFERROR(VLOOKUP($A98,'Andy FLEX'!$A$6:$N$278,6,FALSE),"")</x:f>
        <x:v>9.3</x:v>
      </x:c>
      <x:c r="P98" s="111" t="n">
        <x:f>IFERROR(VLOOKUP($A98,'Andy FLEX'!$A$6:$N$278,7,FALSE),"")</x:f>
        <x:v>202</x:v>
      </x:c>
      <x:c r="Q98" s="111" t="n">
        <x:f>IFERROR(VLOOKUP($A98,'Andy FLEX'!$A$6:$N$278,8,FALSE),"")</x:f>
        <x:v>863</x:v>
      </x:c>
      <x:c r="R98" s="111" t="n">
        <x:f>IFERROR(VLOOKUP($A98,'Andy FLEX'!$A$6:$N$278,9,FALSE),"")</x:f>
        <x:v>4</x:v>
      </x:c>
      <x:c r="S98" s="111" t="n">
        <x:f>IFERROR(VLOOKUP($A98,'Andy FLEX'!$A$6:$N$278,10,FALSE),"")</x:f>
        <x:v>28</x:v>
      </x:c>
      <x:c r="T98" s="111" t="n">
        <x:f>IFERROR(VLOOKUP($A98,'Andy FLEX'!$A$6:$N$278,11,FALSE),"")</x:f>
        <x:v>177</x:v>
      </x:c>
      <x:c r="U98" s="111" t="n">
        <x:f>IFERROR(VLOOKUP($A98,'Andy FLEX'!$A$6:$N$278,12,FALSE),"")</x:f>
        <x:v>1</x:v>
      </x:c>
      <x:c r="V98" s="111" t="n">
        <x:f>IFERROR(VLOOKUP($A98,'Andy FLEX'!$A$6:$N$278,13,FALSE),"")</x:f>
        <x:v>2</x:v>
      </x:c>
      <x:c r="W98" s="109" t="n">
        <x:f>IFERROR(VLOOKUP($A98,'Jason FLEX'!$A$6:$N$268,5,FALSE),"")</x:f>
        <x:v>101</x:v>
      </x:c>
      <x:c r="X98" s="110" t="n">
        <x:f>IFERROR(VLOOKUP($A98,'Jason FLEX'!$A$6:$N$268,6,FALSE),"")</x:f>
        <x:v>9.5</x:v>
      </x:c>
      <x:c r="Y98" s="111" t="n">
        <x:f>IFERROR(VLOOKUP($A98,'Jason FLEX'!$A$6:$N$268,7,FALSE),"")</x:f>
        <x:v>185</x:v>
      </x:c>
      <x:c r="Z98" s="111" t="n">
        <x:f>IFERROR(VLOOKUP($A98,'Jason FLEX'!$A$6:$N$268,8,FALSE),"")</x:f>
        <x:v>790</x:v>
      </x:c>
      <x:c r="AA98" s="111" t="n">
        <x:f>IFERROR(VLOOKUP($A98,'Jason FLEX'!$A$6:$N$268,9,FALSE),"")</x:f>
        <x:v>6</x:v>
      </x:c>
      <x:c r="AB98" s="111" t="n">
        <x:f>IFERROR(VLOOKUP($A98,'Jason FLEX'!$A$6:$N$268,10,FALSE),"")</x:f>
        <x:v>27</x:v>
      </x:c>
      <x:c r="AC98" s="111" t="n">
        <x:f>IFERROR(VLOOKUP($A98,'Jason FLEX'!$A$6:$N$268,11,FALSE),"")</x:f>
        <x:v>186</x:v>
      </x:c>
      <x:c r="AD98" s="111" t="n">
        <x:f>IFERROR(VLOOKUP($A98,'Jason FLEX'!$A$6:$N$268,12,FALSE),"")</x:f>
        <x:v>1</x:v>
      </x:c>
      <x:c r="AE98" s="111" t="n">
        <x:f>IFERROR(VLOOKUP($A98,'Jason FLEX'!$A$6:$N$268,13,FALSE),"")</x:f>
        <x:v>1</x:v>
      </x:c>
      <x:c r="AF98" s="110" t="n">
        <x:f>IF(COUNT(E98,N98,W98)=0,"",AVERAGE(E98,N98,W98))</x:f>
        <x:v>98.33333333333333</x:v>
      </x:c>
      <x:c r="AG98" s="110" t="n">
        <x:f>IF(COUNT(E98,N98,W98)=0,"",MAX(E98,N98,W98)-MIN(E98,N98,W98))</x:f>
        <x:v>12</x:v>
      </x:c>
      <x:c r="AH98" s="110" t="n">
        <x:f>IF(COUNT(F98,O98,X98)=0,"",AVERAGE(F98,O98,X98))</x:f>
        <x:v>9.633333333333333</x:v>
      </x:c>
      <x:c r="AI98" s="112" t="n">
        <x:f>IF(COUNT(G98,P98,Y98)=0,"",AVERAGE(G98,P98,Y98))</x:f>
        <x:v>200</x:v>
      </x:c>
      <x:c r="AJ98" s="112" t="n">
        <x:f>IF(COUNT(H98,Q98,Z98)=0,"",AVERAGE(H98,Q98,Z98))</x:f>
        <x:v>857</x:v>
      </x:c>
      <x:c r="AK98" s="112" t="n">
        <x:f>IF(COUNT(I98,R98,AA98)=0,"",AVERAGE(I98,R98,AA98))</x:f>
        <x:v>5</x:v>
      </x:c>
      <x:c r="AL98" s="112" t="n">
        <x:f>IF(COUNT(J98,S98,AB98)=0,"",AVERAGE(J98,S98,AB98))</x:f>
        <x:v>28</x:v>
      </x:c>
      <x:c r="AM98" s="112" t="n">
        <x:f>IF(COUNT(K98,T98,AC98)=0,"",AVERAGE(K98,T98,AC98))</x:f>
        <x:v>187.33333333333334</x:v>
      </x:c>
      <x:c r="AN98" s="112" t="n">
        <x:f>IF(COUNT(L98,U98,AD98)=0,"",AVERAGE(L98,U98,AD98))</x:f>
        <x:v>1</x:v>
      </x:c>
      <x:c r="AO98" s="112" t="n">
        <x:f>IF(COUNT(M98,V98,AE98)=0,"",AVERAGE(M98,V98,AE98))</x:f>
        <x:v>2</x:v>
      </x:c>
    </x:row>
    <x:row r="99">
      <x:c r="A99" s="107" t="str">
        <x:v>Jonathon Brooks</x:v>
      </x:c>
      <x:c r="B99" s="108" t="str">
        <x:v>RB</x:v>
      </x:c>
      <x:c r="C99" s="108" t="str">
        <x:v>CAR</x:v>
      </x:c>
      <x:c r="D99" s="109" t="n">
        <x:v>5</x:v>
      </x:c>
      <x:c r="E99" s="109" t="n">
        <x:f>IFERROR(VLOOKUP($A99,'Mike FLEX'!$A$6:$N$278,5,FALSE),"")</x:f>
        <x:v>89</x:v>
      </x:c>
      <x:c r="F99" s="110" t="n">
        <x:f>IFERROR(VLOOKUP($A99,'Mike FLEX'!$A$6:$N$278,6,FALSE),"")</x:f>
        <x:v>10.1</x:v>
      </x:c>
      <x:c r="G99" s="111" t="n">
        <x:f>IFERROR(VLOOKUP($A99,'Mike FLEX'!$A$6:$N$278,7,FALSE),"")</x:f>
        <x:v>213</x:v>
      </x:c>
      <x:c r="H99" s="111" t="n">
        <x:f>IFERROR(VLOOKUP($A99,'Mike FLEX'!$A$6:$N$278,8,FALSE),"")</x:f>
        <x:v>851</x:v>
      </x:c>
      <x:c r="I99" s="111" t="n">
        <x:f>IFERROR(VLOOKUP($A99,'Mike FLEX'!$A$6:$N$278,9,FALSE),"")</x:f>
        <x:v>6</x:v>
      </x:c>
      <x:c r="J99" s="111" t="n">
        <x:f>IFERROR(VLOOKUP($A99,'Mike FLEX'!$A$6:$N$278,10,FALSE),"")</x:f>
        <x:v>27</x:v>
      </x:c>
      <x:c r="K99" s="111" t="n">
        <x:f>IFERROR(VLOOKUP($A99,'Mike FLEX'!$A$6:$N$278,11,FALSE),"")</x:f>
        <x:v>191</x:v>
      </x:c>
      <x:c r="L99" s="111" t="n">
        <x:f>IFERROR(VLOOKUP($A99,'Mike FLEX'!$A$6:$N$278,12,FALSE),"")</x:f>
        <x:v>1</x:v>
      </x:c>
      <x:c r="M99" s="111" t="n">
        <x:f>IFERROR(VLOOKUP($A99,'Mike FLEX'!$A$6:$N$278,13,FALSE),"")</x:f>
        <x:v>0</x:v>
      </x:c>
      <x:c r="N99" s="109" t="n">
        <x:f>IFERROR(VLOOKUP($A99,'Andy FLEX'!$A$6:$N$278,5,FALSE),"")</x:f>
        <x:v>84</x:v>
      </x:c>
      <x:c r="O99" s="110" t="n">
        <x:f>IFERROR(VLOOKUP($A99,'Andy FLEX'!$A$6:$N$278,6,FALSE),"")</x:f>
        <x:v>10.2</x:v>
      </x:c>
      <x:c r="P99" s="111" t="n">
        <x:f>IFERROR(VLOOKUP($A99,'Andy FLEX'!$A$6:$N$278,7,FALSE),"")</x:f>
        <x:v>168</x:v>
      </x:c>
      <x:c r="Q99" s="111" t="n">
        <x:f>IFERROR(VLOOKUP($A99,'Andy FLEX'!$A$6:$N$278,8,FALSE),"")</x:f>
        <x:v>720</x:v>
      </x:c>
      <x:c r="R99" s="111" t="n">
        <x:f>IFERROR(VLOOKUP($A99,'Andy FLEX'!$A$6:$N$278,9,FALSE),"")</x:f>
        <x:v>6</x:v>
      </x:c>
      <x:c r="S99" s="111" t="n">
        <x:f>IFERROR(VLOOKUP($A99,'Andy FLEX'!$A$6:$N$278,10,FALSE),"")</x:f>
        <x:v>33</x:v>
      </x:c>
      <x:c r="T99" s="111" t="n">
        <x:f>IFERROR(VLOOKUP($A99,'Andy FLEX'!$A$6:$N$278,11,FALSE),"")</x:f>
        <x:v>265</x:v>
      </x:c>
      <x:c r="U99" s="111" t="n">
        <x:f>IFERROR(VLOOKUP($A99,'Andy FLEX'!$A$6:$N$278,12,FALSE),"")</x:f>
        <x:v>2</x:v>
      </x:c>
      <x:c r="V99" s="111" t="n">
        <x:f>IFERROR(VLOOKUP($A99,'Andy FLEX'!$A$6:$N$278,13,FALSE),"")</x:f>
        <x:v>2</x:v>
      </x:c>
      <x:c r="W99" s="109" t="n">
        <x:f>IFERROR(VLOOKUP($A99,'Jason FLEX'!$A$6:$N$268,5,FALSE),"")</x:f>
        <x:v>124</x:v>
      </x:c>
      <x:c r="X99" s="110" t="n">
        <x:f>IFERROR(VLOOKUP($A99,'Jason FLEX'!$A$6:$N$268,6,FALSE),"")</x:f>
        <x:v>8.4</x:v>
      </x:c>
      <x:c r="Y99" s="111" t="n">
        <x:f>IFERROR(VLOOKUP($A99,'Jason FLEX'!$A$6:$N$268,7,FALSE),"")</x:f>
        <x:v>170</x:v>
      </x:c>
      <x:c r="Z99" s="111" t="n">
        <x:f>IFERROR(VLOOKUP($A99,'Jason FLEX'!$A$6:$N$268,8,FALSE),"")</x:f>
        <x:v>720</x:v>
      </x:c>
      <x:c r="AA99" s="111" t="n">
        <x:f>IFERROR(VLOOKUP($A99,'Jason FLEX'!$A$6:$N$268,9,FALSE),"")</x:f>
        <x:v>5</x:v>
      </x:c>
      <x:c r="AB99" s="111" t="n">
        <x:f>IFERROR(VLOOKUP($A99,'Jason FLEX'!$A$6:$N$268,10,FALSE),"")</x:f>
        <x:v>23</x:v>
      </x:c>
      <x:c r="AC99" s="111" t="n">
        <x:f>IFERROR(VLOOKUP($A99,'Jason FLEX'!$A$6:$N$268,11,FALSE),"")</x:f>
        <x:v>173</x:v>
      </x:c>
      <x:c r="AD99" s="111" t="n">
        <x:f>IFERROR(VLOOKUP($A99,'Jason FLEX'!$A$6:$N$268,12,FALSE),"")</x:f>
        <x:v>0</x:v>
      </x:c>
      <x:c r="AE99" s="111" t="n">
        <x:f>IFERROR(VLOOKUP($A99,'Jason FLEX'!$A$6:$N$268,13,FALSE),"")</x:f>
        <x:v>1</x:v>
      </x:c>
      <x:c r="AF99" s="110" t="n">
        <x:f>IF(COUNT(E99,N99,W99)=0,"",AVERAGE(E99,N99,W99))</x:f>
        <x:v>99</x:v>
      </x:c>
      <x:c r="AG99" s="110" t="n">
        <x:f>IF(COUNT(E99,N99,W99)=0,"",MAX(E99,N99,W99)-MIN(E99,N99,W99))</x:f>
        <x:v>40</x:v>
      </x:c>
      <x:c r="AH99" s="110" t="n">
        <x:f>IF(COUNT(F99,O99,X99)=0,"",AVERAGE(F99,O99,X99))</x:f>
        <x:v>9.566666666666665</x:v>
      </x:c>
      <x:c r="AI99" s="112" t="n">
        <x:f>IF(COUNT(G99,P99,Y99)=0,"",AVERAGE(G99,P99,Y99))</x:f>
        <x:v>183.66666666666666</x:v>
      </x:c>
      <x:c r="AJ99" s="112" t="n">
        <x:f>IF(COUNT(H99,Q99,Z99)=0,"",AVERAGE(H99,Q99,Z99))</x:f>
        <x:v>763.6666666666666</x:v>
      </x:c>
      <x:c r="AK99" s="112" t="n">
        <x:f>IF(COUNT(I99,R99,AA99)=0,"",AVERAGE(I99,R99,AA99))</x:f>
        <x:v>5.666666666666667</x:v>
      </x:c>
      <x:c r="AL99" s="112" t="n">
        <x:f>IF(COUNT(J99,S99,AB99)=0,"",AVERAGE(J99,S99,AB99))</x:f>
        <x:v>27.666666666666668</x:v>
      </x:c>
      <x:c r="AM99" s="112" t="n">
        <x:f>IF(COUNT(K99,T99,AC99)=0,"",AVERAGE(K99,T99,AC99))</x:f>
        <x:v>209.66666666666666</x:v>
      </x:c>
      <x:c r="AN99" s="112" t="n">
        <x:f>IF(COUNT(L99,U99,AD99)=0,"",AVERAGE(L99,U99,AD99))</x:f>
        <x:v>1</x:v>
      </x:c>
      <x:c r="AO99" s="112" t="n">
        <x:f>IF(COUNT(M99,V99,AE99)=0,"",AVERAGE(M99,V99,AE99))</x:f>
        <x:v>1</x:v>
      </x:c>
    </x:row>
    <x:row r="100">
      <x:c r="A100" s="107" t="str">
        <x:v>Khalil Shakir</x:v>
      </x:c>
      <x:c r="B100" s="108" t="str">
        <x:v>WR</x:v>
      </x:c>
      <x:c r="C100" s="108" t="str">
        <x:v>BUF</x:v>
      </x:c>
      <x:c r="D100" s="109" t="n">
        <x:v>7</x:v>
      </x:c>
      <x:c r="E100" s="109" t="n">
        <x:f>IFERROR(VLOOKUP($A100,'Mike FLEX'!$A$6:$N$278,5,FALSE),"")</x:f>
        <x:v>103</x:v>
      </x:c>
      <x:c r="F100" s="110" t="n">
        <x:f>IFERROR(VLOOKUP($A100,'Mike FLEX'!$A$6:$N$278,6,FALSE),"")</x:f>
        <x:v>9.3</x:v>
      </x:c>
      <x:c r="G100" s="111" t="n">
        <x:f>IFERROR(VLOOKUP($A100,'Mike FLEX'!$A$6:$N$278,7,FALSE),"")</x:f>
        <x:v>0</x:v>
      </x:c>
      <x:c r="H100" s="111" t="n">
        <x:f>IFERROR(VLOOKUP($A100,'Mike FLEX'!$A$6:$N$278,8,FALSE),"")</x:f>
        <x:v>0</x:v>
      </x:c>
      <x:c r="I100" s="111" t="n">
        <x:f>IFERROR(VLOOKUP($A100,'Mike FLEX'!$A$6:$N$278,9,FALSE),"")</x:f>
        <x:v>0</x:v>
      </x:c>
      <x:c r="J100" s="111" t="n">
        <x:f>IFERROR(VLOOKUP($A100,'Mike FLEX'!$A$6:$N$278,10,FALSE),"")</x:f>
        <x:v>65</x:v>
      </x:c>
      <x:c r="K100" s="111" t="n">
        <x:f>IFERROR(VLOOKUP($A100,'Mike FLEX'!$A$6:$N$278,11,FALSE),"")</x:f>
        <x:v>725</x:v>
      </x:c>
      <x:c r="L100" s="111" t="n">
        <x:f>IFERROR(VLOOKUP($A100,'Mike FLEX'!$A$6:$N$278,12,FALSE),"")</x:f>
        <x:v>4</x:v>
      </x:c>
      <x:c r="M100" s="111" t="n">
        <x:f>IFERROR(VLOOKUP($A100,'Mike FLEX'!$A$6:$N$278,13,FALSE),"")</x:f>
        <x:v>1</x:v>
      </x:c>
      <x:c r="N100" s="109" t="n">
        <x:f>IFERROR(VLOOKUP($A100,'Andy FLEX'!$A$6:$N$278,5,FALSE),"")</x:f>
        <x:v>87</x:v>
      </x:c>
      <x:c r="O100" s="110" t="n">
        <x:f>IFERROR(VLOOKUP($A100,'Andy FLEX'!$A$6:$N$278,6,FALSE),"")</x:f>
        <x:v>10.1</x:v>
      </x:c>
      <x:c r="P100" s="111" t="n">
        <x:f>IFERROR(VLOOKUP($A100,'Andy FLEX'!$A$6:$N$278,7,FALSE),"")</x:f>
        <x:v>1</x:v>
      </x:c>
      <x:c r="Q100" s="111" t="n">
        <x:f>IFERROR(VLOOKUP($A100,'Andy FLEX'!$A$6:$N$278,8,FALSE),"")</x:f>
        <x:v>5</x:v>
      </x:c>
      <x:c r="R100" s="111" t="n">
        <x:f>IFERROR(VLOOKUP($A100,'Andy FLEX'!$A$6:$N$278,9,FALSE),"")</x:f>
        <x:v>0</x:v>
      </x:c>
      <x:c r="S100" s="111" t="n">
        <x:f>IFERROR(VLOOKUP($A100,'Andy FLEX'!$A$6:$N$278,10,FALSE),"")</x:f>
        <x:v>66</x:v>
      </x:c>
      <x:c r="T100" s="111" t="n">
        <x:f>IFERROR(VLOOKUP($A100,'Andy FLEX'!$A$6:$N$278,11,FALSE),"")</x:f>
        <x:v>753</x:v>
      </x:c>
      <x:c r="U100" s="111" t="n">
        <x:f>IFERROR(VLOOKUP($A100,'Andy FLEX'!$A$6:$N$278,12,FALSE),"")</x:f>
        <x:v>5</x:v>
      </x:c>
      <x:c r="V100" s="111" t="n">
        <x:f>IFERROR(VLOOKUP($A100,'Andy FLEX'!$A$6:$N$278,13,FALSE),"")</x:f>
        <x:v>1</x:v>
      </x:c>
      <x:c r="W100" s="109" t="n">
        <x:f>IFERROR(VLOOKUP($A100,'Jason FLEX'!$A$6:$N$268,5,FALSE),"")</x:f>
        <x:v>107</x:v>
      </x:c>
      <x:c r="X100" s="110" t="n">
        <x:f>IFERROR(VLOOKUP($A100,'Jason FLEX'!$A$6:$N$268,6,FALSE),"")</x:f>
        <x:v>9.3</x:v>
      </x:c>
      <x:c r="Y100" s="111" t="n">
        <x:f>IFERROR(VLOOKUP($A100,'Jason FLEX'!$A$6:$N$268,7,FALSE),"")</x:f>
        <x:v>2</x:v>
      </x:c>
      <x:c r="Z100" s="111" t="n">
        <x:f>IFERROR(VLOOKUP($A100,'Jason FLEX'!$A$6:$N$268,8,FALSE),"")</x:f>
        <x:v>10</x:v>
      </x:c>
      <x:c r="AA100" s="111" t="n">
        <x:f>IFERROR(VLOOKUP($A100,'Jason FLEX'!$A$6:$N$268,9,FALSE),"")</x:f>
        <x:v>0</x:v>
      </x:c>
      <x:c r="AB100" s="111" t="n">
        <x:f>IFERROR(VLOOKUP($A100,'Jason FLEX'!$A$6:$N$268,10,FALSE),"")</x:f>
        <x:v>66</x:v>
      </x:c>
      <x:c r="AC100" s="111" t="n">
        <x:f>IFERROR(VLOOKUP($A100,'Jason FLEX'!$A$6:$N$268,11,FALSE),"")</x:f>
        <x:v>665</x:v>
      </x:c>
      <x:c r="AD100" s="111" t="n">
        <x:f>IFERROR(VLOOKUP($A100,'Jason FLEX'!$A$6:$N$268,12,FALSE),"")</x:f>
        <x:v>5</x:v>
      </x:c>
      <x:c r="AE100" s="111" t="n">
        <x:f>IFERROR(VLOOKUP($A100,'Jason FLEX'!$A$6:$N$268,13,FALSE),"")</x:f>
        <x:v>1</x:v>
      </x:c>
      <x:c r="AF100" s="110" t="n">
        <x:f>IF(COUNT(E100,N100,W100)=0,"",AVERAGE(E100,N100,W100))</x:f>
        <x:v>99</x:v>
      </x:c>
      <x:c r="AG100" s="110" t="n">
        <x:f>IF(COUNT(E100,N100,W100)=0,"",MAX(E100,N100,W100)-MIN(E100,N100,W100))</x:f>
        <x:v>20</x:v>
      </x:c>
      <x:c r="AH100" s="110" t="n">
        <x:f>IF(COUNT(F100,O100,X100)=0,"",AVERAGE(F100,O100,X100))</x:f>
        <x:v>9.566666666666666</x:v>
      </x:c>
      <x:c r="AI100" s="112" t="n">
        <x:f>IF(COUNT(G100,P100,Y100)=0,"",AVERAGE(G100,P100,Y100))</x:f>
        <x:v>1</x:v>
      </x:c>
      <x:c r="AJ100" s="112" t="n">
        <x:f>IF(COUNT(H100,Q100,Z100)=0,"",AVERAGE(H100,Q100,Z100))</x:f>
        <x:v>5</x:v>
      </x:c>
      <x:c r="AK100" s="112" t="n">
        <x:f>IF(COUNT(I100,R100,AA100)=0,"",AVERAGE(I100,R100,AA100))</x:f>
        <x:v>0</x:v>
      </x:c>
      <x:c r="AL100" s="112" t="n">
        <x:f>IF(COUNT(J100,S100,AB100)=0,"",AVERAGE(J100,S100,AB100))</x:f>
        <x:v>65.66666666666667</x:v>
      </x:c>
      <x:c r="AM100" s="112" t="n">
        <x:f>IF(COUNT(K100,T100,AC100)=0,"",AVERAGE(K100,T100,AC100))</x:f>
        <x:v>714.3333333333334</x:v>
      </x:c>
      <x:c r="AN100" s="112" t="n">
        <x:f>IF(COUNT(L100,U100,AD100)=0,"",AVERAGE(L100,U100,AD100))</x:f>
        <x:v>4.666666666666667</x:v>
      </x:c>
      <x:c r="AO100" s="112" t="n">
        <x:f>IF(COUNT(M100,V100,AE100)=0,"",AVERAGE(M100,V100,AE100))</x:f>
        <x:v>1</x:v>
      </x:c>
    </x:row>
    <x:row r="101">
      <x:c r="A101" s="107" t="str">
        <x:v>Romeo Doubs</x:v>
      </x:c>
      <x:c r="B101" s="108" t="str">
        <x:v>WR</x:v>
      </x:c>
      <x:c r="C101" s="108" t="str">
        <x:v>NE</x:v>
      </x:c>
      <x:c r="D101" s="109" t="n">
        <x:v>11</x:v>
      </x:c>
      <x:c r="E101" s="109" t="n">
        <x:f>IFERROR(VLOOKUP($A101,'Mike FLEX'!$A$6:$N$278,5,FALSE),"")</x:f>
        <x:v>94</x:v>
      </x:c>
      <x:c r="F101" s="110" t="n">
        <x:f>IFERROR(VLOOKUP($A101,'Mike FLEX'!$A$6:$N$278,6,FALSE),"")</x:f>
        <x:v>9.8</x:v>
      </x:c>
      <x:c r="G101" s="111" t="n">
        <x:f>IFERROR(VLOOKUP($A101,'Mike FLEX'!$A$6:$N$278,7,FALSE),"")</x:f>
        <x:v>0</x:v>
      </x:c>
      <x:c r="H101" s="111" t="n">
        <x:f>IFERROR(VLOOKUP($A101,'Mike FLEX'!$A$6:$N$278,8,FALSE),"")</x:f>
        <x:v>0</x:v>
      </x:c>
      <x:c r="I101" s="111" t="n">
        <x:f>IFERROR(VLOOKUP($A101,'Mike FLEX'!$A$6:$N$278,9,FALSE),"")</x:f>
        <x:v>0</x:v>
      </x:c>
      <x:c r="J101" s="111" t="n">
        <x:f>IFERROR(VLOOKUP($A101,'Mike FLEX'!$A$6:$N$278,10,FALSE),"")</x:f>
        <x:v>60</x:v>
      </x:c>
      <x:c r="K101" s="111" t="n">
        <x:f>IFERROR(VLOOKUP($A101,'Mike FLEX'!$A$6:$N$278,11,FALSE),"")</x:f>
        <x:v>743</x:v>
      </x:c>
      <x:c r="L101" s="111" t="n">
        <x:f>IFERROR(VLOOKUP($A101,'Mike FLEX'!$A$6:$N$278,12,FALSE),"")</x:f>
        <x:v>6</x:v>
      </x:c>
      <x:c r="M101" s="111" t="n">
        <x:f>IFERROR(VLOOKUP($A101,'Mike FLEX'!$A$6:$N$278,13,FALSE),"")</x:f>
        <x:v>1</x:v>
      </x:c>
      <x:c r="N101" s="109" t="n">
        <x:f>IFERROR(VLOOKUP($A101,'Andy FLEX'!$A$6:$N$278,5,FALSE),"")</x:f>
        <x:v>90</x:v>
      </x:c>
      <x:c r="O101" s="110" t="n">
        <x:f>IFERROR(VLOOKUP($A101,'Andy FLEX'!$A$6:$N$278,6,FALSE),"")</x:f>
        <x:v>9.9</x:v>
      </x:c>
      <x:c r="P101" s="111" t="n">
        <x:f>IFERROR(VLOOKUP($A101,'Andy FLEX'!$A$6:$N$278,7,FALSE),"")</x:f>
        <x:v>3</x:v>
      </x:c>
      <x:c r="Q101" s="111" t="n">
        <x:f>IFERROR(VLOOKUP($A101,'Andy FLEX'!$A$6:$N$278,8,FALSE),"")</x:f>
        <x:v>17</x:v>
      </x:c>
      <x:c r="R101" s="111" t="n">
        <x:f>IFERROR(VLOOKUP($A101,'Andy FLEX'!$A$6:$N$278,9,FALSE),"")</x:f>
        <x:v>0</x:v>
      </x:c>
      <x:c r="S101" s="111" t="n">
        <x:f>IFERROR(VLOOKUP($A101,'Andy FLEX'!$A$6:$N$278,10,FALSE),"")</x:f>
        <x:v>60</x:v>
      </x:c>
      <x:c r="T101" s="111" t="n">
        <x:f>IFERROR(VLOOKUP($A101,'Andy FLEX'!$A$6:$N$278,11,FALSE),"")</x:f>
        <x:v>794</x:v>
      </x:c>
      <x:c r="U101" s="111" t="n">
        <x:f>IFERROR(VLOOKUP($A101,'Andy FLEX'!$A$6:$N$278,12,FALSE),"")</x:f>
        <x:v>5</x:v>
      </x:c>
      <x:c r="V101" s="111" t="n">
        <x:f>IFERROR(VLOOKUP($A101,'Andy FLEX'!$A$6:$N$278,13,FALSE),"")</x:f>
        <x:v>1</x:v>
      </x:c>
      <x:c r="W101" s="109" t="n">
        <x:f>IFERROR(VLOOKUP($A101,'Jason FLEX'!$A$6:$N$268,5,FALSE),"")</x:f>
        <x:v>113</x:v>
      </x:c>
      <x:c r="X101" s="110" t="n">
        <x:f>IFERROR(VLOOKUP($A101,'Jason FLEX'!$A$6:$N$268,6,FALSE),"")</x:f>
        <x:v>9.2</x:v>
      </x:c>
      <x:c r="Y101" s="111" t="n">
        <x:f>IFERROR(VLOOKUP($A101,'Jason FLEX'!$A$6:$N$268,7,FALSE),"")</x:f>
        <x:v>0</x:v>
      </x:c>
      <x:c r="Z101" s="111" t="n">
        <x:f>IFERROR(VLOOKUP($A101,'Jason FLEX'!$A$6:$N$268,8,FALSE),"")</x:f>
        <x:v>0</x:v>
      </x:c>
      <x:c r="AA101" s="111" t="n">
        <x:f>IFERROR(VLOOKUP($A101,'Jason FLEX'!$A$6:$N$268,9,FALSE),"")</x:f>
        <x:v>0</x:v>
      </x:c>
      <x:c r="AB101" s="111" t="n">
        <x:f>IFERROR(VLOOKUP($A101,'Jason FLEX'!$A$6:$N$268,10,FALSE),"")</x:f>
        <x:v>52</x:v>
      </x:c>
      <x:c r="AC101" s="111" t="n">
        <x:f>IFERROR(VLOOKUP($A101,'Jason FLEX'!$A$6:$N$268,11,FALSE),"")</x:f>
        <x:v>738</x:v>
      </x:c>
      <x:c r="AD101" s="111" t="n">
        <x:f>IFERROR(VLOOKUP($A101,'Jason FLEX'!$A$6:$N$268,12,FALSE),"")</x:f>
        <x:v>5</x:v>
      </x:c>
      <x:c r="AE101" s="111" t="n">
        <x:f>IFERROR(VLOOKUP($A101,'Jason FLEX'!$A$6:$N$268,13,FALSE),"")</x:f>
        <x:v>0</x:v>
      </x:c>
      <x:c r="AF101" s="110" t="n">
        <x:f>IF(COUNT(E101,N101,W101)=0,"",AVERAGE(E101,N101,W101))</x:f>
        <x:v>99</x:v>
      </x:c>
      <x:c r="AG101" s="110" t="n">
        <x:f>IF(COUNT(E101,N101,W101)=0,"",MAX(E101,N101,W101)-MIN(E101,N101,W101))</x:f>
        <x:v>23</x:v>
      </x:c>
      <x:c r="AH101" s="110" t="n">
        <x:f>IF(COUNT(F101,O101,X101)=0,"",AVERAGE(F101,O101,X101))</x:f>
        <x:v>9.633333333333335</x:v>
      </x:c>
      <x:c r="AI101" s="112" t="n">
        <x:f>IF(COUNT(G101,P101,Y101)=0,"",AVERAGE(G101,P101,Y101))</x:f>
        <x:v>1</x:v>
      </x:c>
      <x:c r="AJ101" s="112" t="n">
        <x:f>IF(COUNT(H101,Q101,Z101)=0,"",AVERAGE(H101,Q101,Z101))</x:f>
        <x:v>5.666666666666667</x:v>
      </x:c>
      <x:c r="AK101" s="112" t="n">
        <x:f>IF(COUNT(I101,R101,AA101)=0,"",AVERAGE(I101,R101,AA101))</x:f>
        <x:v>0</x:v>
      </x:c>
      <x:c r="AL101" s="112" t="n">
        <x:f>IF(COUNT(J101,S101,AB101)=0,"",AVERAGE(J101,S101,AB101))</x:f>
        <x:v>57.333333333333336</x:v>
      </x:c>
      <x:c r="AM101" s="112" t="n">
        <x:f>IF(COUNT(K101,T101,AC101)=0,"",AVERAGE(K101,T101,AC101))</x:f>
        <x:v>758.3333333333334</x:v>
      </x:c>
      <x:c r="AN101" s="112" t="n">
        <x:f>IF(COUNT(L101,U101,AD101)=0,"",AVERAGE(L101,U101,AD101))</x:f>
        <x:v>5.333333333333333</x:v>
      </x:c>
      <x:c r="AO101" s="112" t="n">
        <x:f>IF(COUNT(M101,V101,AE101)=0,"",AVERAGE(M101,V101,AE101))</x:f>
        <x:v>0.6666666666666666</x:v>
      </x:c>
    </x:row>
    <x:row r="102">
      <x:c r="A102" s="107" t="str">
        <x:v>Makai Lemon</x:v>
      </x:c>
      <x:c r="B102" s="108" t="str">
        <x:v>WR</x:v>
      </x:c>
      <x:c r="C102" s="108" t="str">
        <x:v>PHI</x:v>
      </x:c>
      <x:c r="D102" s="109" t="n">
        <x:v>10</x:v>
      </x:c>
      <x:c r="E102" s="109" t="n">
        <x:f>IFERROR(VLOOKUP($A102,'Mike FLEX'!$A$6:$N$278,5,FALSE),"")</x:f>
        <x:v>118</x:v>
      </x:c>
      <x:c r="F102" s="110" t="n">
        <x:f>IFERROR(VLOOKUP($A102,'Mike FLEX'!$A$6:$N$278,6,FALSE),"")</x:f>
        <x:v>8.4</x:v>
      </x:c>
      <x:c r="G102" s="111" t="n">
        <x:f>IFERROR(VLOOKUP($A102,'Mike FLEX'!$A$6:$N$278,7,FALSE),"")</x:f>
        <x:v>0</x:v>
      </x:c>
      <x:c r="H102" s="111" t="n">
        <x:f>IFERROR(VLOOKUP($A102,'Mike FLEX'!$A$6:$N$278,8,FALSE),"")</x:f>
        <x:v>0</x:v>
      </x:c>
      <x:c r="I102" s="111" t="n">
        <x:f>IFERROR(VLOOKUP($A102,'Mike FLEX'!$A$6:$N$278,9,FALSE),"")</x:f>
        <x:v>0</x:v>
      </x:c>
      <x:c r="J102" s="111" t="n">
        <x:f>IFERROR(VLOOKUP($A102,'Mike FLEX'!$A$6:$N$278,10,FALSE),"")</x:f>
        <x:v>54</x:v>
      </x:c>
      <x:c r="K102" s="111" t="n">
        <x:f>IFERROR(VLOOKUP($A102,'Mike FLEX'!$A$6:$N$278,11,FALSE),"")</x:f>
        <x:v>655</x:v>
      </x:c>
      <x:c r="L102" s="111" t="n">
        <x:f>IFERROR(VLOOKUP($A102,'Mike FLEX'!$A$6:$N$278,12,FALSE),"")</x:f>
        <x:v>4</x:v>
      </x:c>
      <x:c r="M102" s="111" t="n">
        <x:f>IFERROR(VLOOKUP($A102,'Mike FLEX'!$A$6:$N$278,13,FALSE),"")</x:f>
        <x:v>0</x:v>
      </x:c>
      <x:c r="N102" s="109" t="n">
        <x:f>IFERROR(VLOOKUP($A102,'Andy FLEX'!$A$6:$N$278,5,FALSE),"")</x:f>
        <x:v>114</x:v>
      </x:c>
      <x:c r="O102" s="110" t="n">
        <x:f>IFERROR(VLOOKUP($A102,'Andy FLEX'!$A$6:$N$278,6,FALSE),"")</x:f>
        <x:v>8.4</x:v>
      </x:c>
      <x:c r="P102" s="111" t="n">
        <x:f>IFERROR(VLOOKUP($A102,'Andy FLEX'!$A$6:$N$278,7,FALSE),"")</x:f>
        <x:v>9</x:v>
      </x:c>
      <x:c r="Q102" s="111" t="n">
        <x:f>IFERROR(VLOOKUP($A102,'Andy FLEX'!$A$6:$N$278,8,FALSE),"")</x:f>
        <x:v>56</x:v>
      </x:c>
      <x:c r="R102" s="111" t="n">
        <x:f>IFERROR(VLOOKUP($A102,'Andy FLEX'!$A$6:$N$278,9,FALSE),"")</x:f>
        <x:v>0</x:v>
      </x:c>
      <x:c r="S102" s="111" t="n">
        <x:f>IFERROR(VLOOKUP($A102,'Andy FLEX'!$A$6:$N$278,10,FALSE),"")</x:f>
        <x:v>47</x:v>
      </x:c>
      <x:c r="T102" s="111" t="n">
        <x:f>IFERROR(VLOOKUP($A102,'Andy FLEX'!$A$6:$N$278,11,FALSE),"")</x:f>
        <x:v>637</x:v>
      </x:c>
      <x:c r="U102" s="111" t="n">
        <x:f>IFERROR(VLOOKUP($A102,'Andy FLEX'!$A$6:$N$278,12,FALSE),"")</x:f>
        <x:v>5</x:v>
      </x:c>
      <x:c r="V102" s="111" t="n">
        <x:f>IFERROR(VLOOKUP($A102,'Andy FLEX'!$A$6:$N$278,13,FALSE),"")</x:f>
        <x:v>1</x:v>
      </x:c>
      <x:c r="W102" s="109" t="n">
        <x:f>IFERROR(VLOOKUP($A102,'Jason FLEX'!$A$6:$N$268,5,FALSE),"")</x:f>
        <x:v>66</x:v>
      </x:c>
      <x:c r="X102" s="110" t="n">
        <x:f>IFERROR(VLOOKUP($A102,'Jason FLEX'!$A$6:$N$268,6,FALSE),"")</x:f>
        <x:v>11.6</x:v>
      </x:c>
      <x:c r="Y102" s="111" t="n">
        <x:f>IFERROR(VLOOKUP($A102,'Jason FLEX'!$A$6:$N$268,7,FALSE),"")</x:f>
        <x:v>5</x:v>
      </x:c>
      <x:c r="Z102" s="111" t="n">
        <x:f>IFERROR(VLOOKUP($A102,'Jason FLEX'!$A$6:$N$268,8,FALSE),"")</x:f>
        <x:v>30</x:v>
      </x:c>
      <x:c r="AA102" s="111" t="n">
        <x:f>IFERROR(VLOOKUP($A102,'Jason FLEX'!$A$6:$N$268,9,FALSE),"")</x:f>
        <x:v>0</x:v>
      </x:c>
      <x:c r="AB102" s="111" t="n">
        <x:f>IFERROR(VLOOKUP($A102,'Jason FLEX'!$A$6:$N$268,10,FALSE),"")</x:f>
        <x:v>77</x:v>
      </x:c>
      <x:c r="AC102" s="111" t="n">
        <x:f>IFERROR(VLOOKUP($A102,'Jason FLEX'!$A$6:$N$268,11,FALSE),"")</x:f>
        <x:v>886</x:v>
      </x:c>
      <x:c r="AD102" s="111" t="n">
        <x:f>IFERROR(VLOOKUP($A102,'Jason FLEX'!$A$6:$N$268,12,FALSE),"")</x:f>
        <x:v>5</x:v>
      </x:c>
      <x:c r="AE102" s="111" t="n">
        <x:f>IFERROR(VLOOKUP($A102,'Jason FLEX'!$A$6:$N$268,13,FALSE),"")</x:f>
        <x:v>1</x:v>
      </x:c>
      <x:c r="AF102" s="110" t="n">
        <x:f>IF(COUNT(E102,N102,W102)=0,"",AVERAGE(E102,N102,W102))</x:f>
        <x:v>99.33333333333333</x:v>
      </x:c>
      <x:c r="AG102" s="110" t="n">
        <x:f>IF(COUNT(E102,N102,W102)=0,"",MAX(E102,N102,W102)-MIN(E102,N102,W102))</x:f>
        <x:v>52</x:v>
      </x:c>
      <x:c r="AH102" s="110" t="n">
        <x:f>IF(COUNT(F102,O102,X102)=0,"",AVERAGE(F102,O102,X102))</x:f>
        <x:v>9.466666666666667</x:v>
      </x:c>
      <x:c r="AI102" s="112" t="n">
        <x:f>IF(COUNT(G102,P102,Y102)=0,"",AVERAGE(G102,P102,Y102))</x:f>
        <x:v>4.666666666666667</x:v>
      </x:c>
      <x:c r="AJ102" s="112" t="n">
        <x:f>IF(COUNT(H102,Q102,Z102)=0,"",AVERAGE(H102,Q102,Z102))</x:f>
        <x:v>28.666666666666668</x:v>
      </x:c>
      <x:c r="AK102" s="112" t="n">
        <x:f>IF(COUNT(I102,R102,AA102)=0,"",AVERAGE(I102,R102,AA102))</x:f>
        <x:v>0</x:v>
      </x:c>
      <x:c r="AL102" s="112" t="n">
        <x:f>IF(COUNT(J102,S102,AB102)=0,"",AVERAGE(J102,S102,AB102))</x:f>
        <x:v>59.333333333333336</x:v>
      </x:c>
      <x:c r="AM102" s="112" t="n">
        <x:f>IF(COUNT(K102,T102,AC102)=0,"",AVERAGE(K102,T102,AC102))</x:f>
        <x:v>726</x:v>
      </x:c>
      <x:c r="AN102" s="112" t="n">
        <x:f>IF(COUNT(L102,U102,AD102)=0,"",AVERAGE(L102,U102,AD102))</x:f>
        <x:v>4.666666666666667</x:v>
      </x:c>
      <x:c r="AO102" s="112" t="n">
        <x:f>IF(COUNT(M102,V102,AE102)=0,"",AVERAGE(M102,V102,AE102))</x:f>
        <x:v>0.6666666666666666</x:v>
      </x:c>
    </x:row>
    <x:row r="103">
      <x:c r="A103" s="107" t="str">
        <x:v>J.K. Dobbins</x:v>
      </x:c>
      <x:c r="B103" s="108" t="str">
        <x:v>RB</x:v>
      </x:c>
      <x:c r="C103" s="108" t="str">
        <x:v>DEN</x:v>
      </x:c>
      <x:c r="D103" s="109" t="n">
        <x:v>10</x:v>
      </x:c>
      <x:c r="E103" s="109" t="n">
        <x:f>IFERROR(VLOOKUP($A103,'Mike FLEX'!$A$6:$N$278,5,FALSE),"")</x:f>
        <x:v>59</x:v>
      </x:c>
      <x:c r="F103" s="110" t="n">
        <x:f>IFERROR(VLOOKUP($A103,'Mike FLEX'!$A$6:$N$278,6,FALSE),"")</x:f>
        <x:v>12</x:v>
      </x:c>
      <x:c r="G103" s="111" t="n">
        <x:f>IFERROR(VLOOKUP($A103,'Mike FLEX'!$A$6:$N$278,7,FALSE),"")</x:f>
        <x:v>251</x:v>
      </x:c>
      <x:c r="H103" s="111" t="n">
        <x:f>IFERROR(VLOOKUP($A103,'Mike FLEX'!$A$6:$N$278,8,FALSE),"")</x:f>
        <x:v>1157</x:v>
      </x:c>
      <x:c r="I103" s="111" t="n">
        <x:f>IFERROR(VLOOKUP($A103,'Mike FLEX'!$A$6:$N$278,9,FALSE),"")</x:f>
        <x:v>9</x:v>
      </x:c>
      <x:c r="J103" s="111" t="n">
        <x:f>IFERROR(VLOOKUP($A103,'Mike FLEX'!$A$6:$N$278,10,FALSE),"")</x:f>
        <x:v>20</x:v>
      </x:c>
      <x:c r="K103" s="111" t="n">
        <x:f>IFERROR(VLOOKUP($A103,'Mike FLEX'!$A$6:$N$278,11,FALSE),"")</x:f>
        <x:v>100</x:v>
      </x:c>
      <x:c r="L103" s="111" t="n">
        <x:f>IFERROR(VLOOKUP($A103,'Mike FLEX'!$A$6:$N$278,12,FALSE),"")</x:f>
        <x:v>0</x:v>
      </x:c>
      <x:c r="M103" s="111" t="n">
        <x:f>IFERROR(VLOOKUP($A103,'Mike FLEX'!$A$6:$N$278,13,FALSE),"")</x:f>
        <x:v>0</x:v>
      </x:c>
      <x:c r="N103" s="109" t="n">
        <x:f>IFERROR(VLOOKUP($A103,'Andy FLEX'!$A$6:$N$278,5,FALSE),"")</x:f>
        <x:v>132</x:v>
      </x:c>
      <x:c r="O103" s="110" t="n">
        <x:f>IFERROR(VLOOKUP($A103,'Andy FLEX'!$A$6:$N$278,6,FALSE),"")</x:f>
        <x:v>7.6</x:v>
      </x:c>
      <x:c r="P103" s="111" t="n">
        <x:f>IFERROR(VLOOKUP($A103,'Andy FLEX'!$A$6:$N$278,7,FALSE),"")</x:f>
        <x:v>181</x:v>
      </x:c>
      <x:c r="Q103" s="111" t="n">
        <x:f>IFERROR(VLOOKUP($A103,'Andy FLEX'!$A$6:$N$278,8,FALSE),"")</x:f>
        <x:v>724</x:v>
      </x:c>
      <x:c r="R103" s="111" t="n">
        <x:f>IFERROR(VLOOKUP($A103,'Andy FLEX'!$A$6:$N$278,9,FALSE),"")</x:f>
        <x:v>6</x:v>
      </x:c>
      <x:c r="S103" s="111" t="n">
        <x:f>IFERROR(VLOOKUP($A103,'Andy FLEX'!$A$6:$N$278,10,FALSE),"")</x:f>
        <x:v>15</x:v>
      </x:c>
      <x:c r="T103" s="111" t="n">
        <x:f>IFERROR(VLOOKUP($A103,'Andy FLEX'!$A$6:$N$278,11,FALSE),"")</x:f>
        <x:v>82</x:v>
      </x:c>
      <x:c r="U103" s="111" t="n">
        <x:f>IFERROR(VLOOKUP($A103,'Andy FLEX'!$A$6:$N$278,12,FALSE),"")</x:f>
        <x:v>0</x:v>
      </x:c>
      <x:c r="V103" s="111" t="n">
        <x:f>IFERROR(VLOOKUP($A103,'Andy FLEX'!$A$6:$N$278,13,FALSE),"")</x:f>
        <x:v>1</x:v>
      </x:c>
      <x:c r="W103" s="109" t="n">
        <x:f>IFERROR(VLOOKUP($A103,'Jason FLEX'!$A$6:$N$268,5,FALSE),"")</x:f>
        <x:v>109</x:v>
      </x:c>
      <x:c r="X103" s="110" t="n">
        <x:f>IFERROR(VLOOKUP($A103,'Jason FLEX'!$A$6:$N$268,6,FALSE),"")</x:f>
        <x:v>9.3</x:v>
      </x:c>
      <x:c r="Y103" s="111" t="n">
        <x:f>IFERROR(VLOOKUP($A103,'Jason FLEX'!$A$6:$N$268,7,FALSE),"")</x:f>
        <x:v>175</x:v>
      </x:c>
      <x:c r="Z103" s="111" t="n">
        <x:f>IFERROR(VLOOKUP($A103,'Jason FLEX'!$A$6:$N$268,8,FALSE),"")</x:f>
        <x:v>846</x:v>
      </x:c>
      <x:c r="AA103" s="111" t="n">
        <x:f>IFERROR(VLOOKUP($A103,'Jason FLEX'!$A$6:$N$268,9,FALSE),"")</x:f>
        <x:v>6</x:v>
      </x:c>
      <x:c r="AB103" s="111" t="n">
        <x:f>IFERROR(VLOOKUP($A103,'Jason FLEX'!$A$6:$N$268,10,FALSE),"")</x:f>
        <x:v>22</x:v>
      </x:c>
      <x:c r="AC103" s="111" t="n">
        <x:f>IFERROR(VLOOKUP($A103,'Jason FLEX'!$A$6:$N$268,11,FALSE),"")</x:f>
        <x:v>110</x:v>
      </x:c>
      <x:c r="AD103" s="111" t="n">
        <x:f>IFERROR(VLOOKUP($A103,'Jason FLEX'!$A$6:$N$268,12,FALSE),"")</x:f>
        <x:v>1</x:v>
      </x:c>
      <x:c r="AE103" s="111" t="n">
        <x:f>IFERROR(VLOOKUP($A103,'Jason FLEX'!$A$6:$N$268,13,FALSE),"")</x:f>
        <x:v>1</x:v>
      </x:c>
      <x:c r="AF103" s="110" t="n">
        <x:f>IF(COUNT(E103,N103,W103)=0,"",AVERAGE(E103,N103,W103))</x:f>
        <x:v>100</x:v>
      </x:c>
      <x:c r="AG103" s="110" t="n">
        <x:f>IF(COUNT(E103,N103,W103)=0,"",MAX(E103,N103,W103)-MIN(E103,N103,W103))</x:f>
        <x:v>73</x:v>
      </x:c>
      <x:c r="AH103" s="110" t="n">
        <x:f>IF(COUNT(F103,O103,X103)=0,"",AVERAGE(F103,O103,X103))</x:f>
        <x:v>9.633333333333335</x:v>
      </x:c>
      <x:c r="AI103" s="112" t="n">
        <x:f>IF(COUNT(G103,P103,Y103)=0,"",AVERAGE(G103,P103,Y103))</x:f>
        <x:v>202.33333333333334</x:v>
      </x:c>
      <x:c r="AJ103" s="112" t="n">
        <x:f>IF(COUNT(H103,Q103,Z103)=0,"",AVERAGE(H103,Q103,Z103))</x:f>
        <x:v>909</x:v>
      </x:c>
      <x:c r="AK103" s="112" t="n">
        <x:f>IF(COUNT(I103,R103,AA103)=0,"",AVERAGE(I103,R103,AA103))</x:f>
        <x:v>7</x:v>
      </x:c>
      <x:c r="AL103" s="112" t="n">
        <x:f>IF(COUNT(J103,S103,AB103)=0,"",AVERAGE(J103,S103,AB103))</x:f>
        <x:v>19</x:v>
      </x:c>
      <x:c r="AM103" s="112" t="n">
        <x:f>IF(COUNT(K103,T103,AC103)=0,"",AVERAGE(K103,T103,AC103))</x:f>
        <x:v>97.33333333333333</x:v>
      </x:c>
      <x:c r="AN103" s="112" t="n">
        <x:f>IF(COUNT(L103,U103,AD103)=0,"",AVERAGE(L103,U103,AD103))</x:f>
        <x:v>0.3333333333333333</x:v>
      </x:c>
      <x:c r="AO103" s="112" t="n">
        <x:f>IF(COUNT(M103,V103,AE103)=0,"",AVERAGE(M103,V103,AE103))</x:f>
        <x:v>0.6666666666666666</x:v>
      </x:c>
    </x:row>
    <x:row r="104">
      <x:c r="A104" s="107" t="str">
        <x:v>Xavier Worthy</x:v>
      </x:c>
      <x:c r="B104" s="108" t="str">
        <x:v>WR</x:v>
      </x:c>
      <x:c r="C104" s="108" t="str">
        <x:v>KC</x:v>
      </x:c>
      <x:c r="D104" s="109" t="n">
        <x:v>5</x:v>
      </x:c>
      <x:c r="E104" s="109" t="n">
        <x:f>IFERROR(VLOOKUP($A104,'Mike FLEX'!$A$6:$N$278,5,FALSE),"")</x:f>
        <x:v>99</x:v>
      </x:c>
      <x:c r="F104" s="110" t="n">
        <x:f>IFERROR(VLOOKUP($A104,'Mike FLEX'!$A$6:$N$278,6,FALSE),"")</x:f>
        <x:v>9.4</x:v>
      </x:c>
      <x:c r="G104" s="111" t="n">
        <x:f>IFERROR(VLOOKUP($A104,'Mike FLEX'!$A$6:$N$278,7,FALSE),"")</x:f>
        <x:v>14</x:v>
      </x:c>
      <x:c r="H104" s="111" t="n">
        <x:f>IFERROR(VLOOKUP($A104,'Mike FLEX'!$A$6:$N$278,8,FALSE),"")</x:f>
        <x:v>93</x:v>
      </x:c>
      <x:c r="I104" s="111" t="n">
        <x:f>IFERROR(VLOOKUP($A104,'Mike FLEX'!$A$6:$N$278,9,FALSE),"")</x:f>
        <x:v>1</x:v>
      </x:c>
      <x:c r="J104" s="111" t="n">
        <x:f>IFERROR(VLOOKUP($A104,'Mike FLEX'!$A$6:$N$278,10,FALSE),"")</x:f>
        <x:v>54</x:v>
      </x:c>
      <x:c r="K104" s="111" t="n">
        <x:f>IFERROR(VLOOKUP($A104,'Mike FLEX'!$A$6:$N$278,11,FALSE),"")</x:f>
        <x:v>669</x:v>
      </x:c>
      <x:c r="L104" s="111" t="n">
        <x:f>IFERROR(VLOOKUP($A104,'Mike FLEX'!$A$6:$N$278,12,FALSE),"")</x:f>
        <x:v>4</x:v>
      </x:c>
      <x:c r="M104" s="111" t="n">
        <x:f>IFERROR(VLOOKUP($A104,'Mike FLEX'!$A$6:$N$278,13,FALSE),"")</x:f>
        <x:v>0</x:v>
      </x:c>
      <x:c r="N104" s="109" t="n">
        <x:f>IFERROR(VLOOKUP($A104,'Andy FLEX'!$A$6:$N$278,5,FALSE),"")</x:f>
        <x:v>102</x:v>
      </x:c>
      <x:c r="O104" s="110" t="n">
        <x:f>IFERROR(VLOOKUP($A104,'Andy FLEX'!$A$6:$N$278,6,FALSE),"")</x:f>
        <x:v>9.3</x:v>
      </x:c>
      <x:c r="P104" s="111" t="n">
        <x:f>IFERROR(VLOOKUP($A104,'Andy FLEX'!$A$6:$N$278,7,FALSE),"")</x:f>
        <x:v>18</x:v>
      </x:c>
      <x:c r="Q104" s="111" t="n">
        <x:f>IFERROR(VLOOKUP($A104,'Andy FLEX'!$A$6:$N$278,8,FALSE),"")</x:f>
        <x:v>105</x:v>
      </x:c>
      <x:c r="R104" s="111" t="n">
        <x:f>IFERROR(VLOOKUP($A104,'Andy FLEX'!$A$6:$N$278,9,FALSE),"")</x:f>
        <x:v>1</x:v>
      </x:c>
      <x:c r="S104" s="111" t="n">
        <x:f>IFERROR(VLOOKUP($A104,'Andy FLEX'!$A$6:$N$278,10,FALSE),"")</x:f>
        <x:v>52</x:v>
      </x:c>
      <x:c r="T104" s="111" t="n">
        <x:f>IFERROR(VLOOKUP($A104,'Andy FLEX'!$A$6:$N$278,11,FALSE),"")</x:f>
        <x:v>680</x:v>
      </x:c>
      <x:c r="U104" s="111" t="n">
        <x:f>IFERROR(VLOOKUP($A104,'Andy FLEX'!$A$6:$N$278,12,FALSE),"")</x:f>
        <x:v>4</x:v>
      </x:c>
      <x:c r="V104" s="111" t="n">
        <x:f>IFERROR(VLOOKUP($A104,'Andy FLEX'!$A$6:$N$278,13,FALSE),"")</x:f>
        <x:v>1</x:v>
      </x:c>
      <x:c r="W104" s="109" t="n">
        <x:f>IFERROR(VLOOKUP($A104,'Jason FLEX'!$A$6:$N$268,5,FALSE),"")</x:f>
        <x:v>99</x:v>
      </x:c>
      <x:c r="X104" s="110" t="n">
        <x:f>IFERROR(VLOOKUP($A104,'Jason FLEX'!$A$6:$N$268,6,FALSE),"")</x:f>
        <x:v>9.6</x:v>
      </x:c>
      <x:c r="Y104" s="111" t="n">
        <x:f>IFERROR(VLOOKUP($A104,'Jason FLEX'!$A$6:$N$268,7,FALSE),"")</x:f>
        <x:v>15</x:v>
      </x:c>
      <x:c r="Z104" s="111" t="n">
        <x:f>IFERROR(VLOOKUP($A104,'Jason FLEX'!$A$6:$N$268,8,FALSE),"")</x:f>
        <x:v>115</x:v>
      </x:c>
      <x:c r="AA104" s="111" t="n">
        <x:f>IFERROR(VLOOKUP($A104,'Jason FLEX'!$A$6:$N$268,9,FALSE),"")</x:f>
        <x:v>1</x:v>
      </x:c>
      <x:c r="AB104" s="111" t="n">
        <x:f>IFERROR(VLOOKUP($A104,'Jason FLEX'!$A$6:$N$268,10,FALSE),"")</x:f>
        <x:v>46</x:v>
      </x:c>
      <x:c r="AC104" s="111" t="n">
        <x:f>IFERROR(VLOOKUP($A104,'Jason FLEX'!$A$6:$N$268,11,FALSE),"")</x:f>
        <x:v>745</x:v>
      </x:c>
      <x:c r="AD104" s="111" t="n">
        <x:f>IFERROR(VLOOKUP($A104,'Jason FLEX'!$A$6:$N$268,12,FALSE),"")</x:f>
        <x:v>5</x:v>
      </x:c>
      <x:c r="AE104" s="111" t="n">
        <x:f>IFERROR(VLOOKUP($A104,'Jason FLEX'!$A$6:$N$268,13,FALSE),"")</x:f>
        <x:v>1</x:v>
      </x:c>
      <x:c r="AF104" s="110" t="n">
        <x:f>IF(COUNT(E104,N104,W104)=0,"",AVERAGE(E104,N104,W104))</x:f>
        <x:v>100</x:v>
      </x:c>
      <x:c r="AG104" s="110" t="n">
        <x:f>IF(COUNT(E104,N104,W104)=0,"",MAX(E104,N104,W104)-MIN(E104,N104,W104))</x:f>
        <x:v>3</x:v>
      </x:c>
      <x:c r="AH104" s="110" t="n">
        <x:f>IF(COUNT(F104,O104,X104)=0,"",AVERAGE(F104,O104,X104))</x:f>
        <x:v>9.433333333333335</x:v>
      </x:c>
      <x:c r="AI104" s="112" t="n">
        <x:f>IF(COUNT(G104,P104,Y104)=0,"",AVERAGE(G104,P104,Y104))</x:f>
        <x:v>15.666666666666666</x:v>
      </x:c>
      <x:c r="AJ104" s="112" t="n">
        <x:f>IF(COUNT(H104,Q104,Z104)=0,"",AVERAGE(H104,Q104,Z104))</x:f>
        <x:v>104.33333333333333</x:v>
      </x:c>
      <x:c r="AK104" s="112" t="n">
        <x:f>IF(COUNT(I104,R104,AA104)=0,"",AVERAGE(I104,R104,AA104))</x:f>
        <x:v>1</x:v>
      </x:c>
      <x:c r="AL104" s="112" t="n">
        <x:f>IF(COUNT(J104,S104,AB104)=0,"",AVERAGE(J104,S104,AB104))</x:f>
        <x:v>50.666666666666664</x:v>
      </x:c>
      <x:c r="AM104" s="112" t="n">
        <x:f>IF(COUNT(K104,T104,AC104)=0,"",AVERAGE(K104,T104,AC104))</x:f>
        <x:v>698</x:v>
      </x:c>
      <x:c r="AN104" s="112" t="n">
        <x:f>IF(COUNT(L104,U104,AD104)=0,"",AVERAGE(L104,U104,AD104))</x:f>
        <x:v>4.333333333333333</x:v>
      </x:c>
      <x:c r="AO104" s="112" t="n">
        <x:f>IF(COUNT(M104,V104,AE104)=0,"",AVERAGE(M104,V104,AE104))</x:f>
        <x:v>0.6666666666666666</x:v>
      </x:c>
    </x:row>
    <x:row r="105">
      <x:c r="A105" s="107" t="str">
        <x:v>Jalen Coker</x:v>
      </x:c>
      <x:c r="B105" s="108" t="str">
        <x:v>WR</x:v>
      </x:c>
      <x:c r="C105" s="108" t="str">
        <x:v>CAR</x:v>
      </x:c>
      <x:c r="D105" s="109" t="n">
        <x:v>5</x:v>
      </x:c>
      <x:c r="E105" s="109" t="n">
        <x:f>IFERROR(VLOOKUP($A105,'Mike FLEX'!$A$6:$N$278,5,FALSE),"")</x:f>
        <x:v>102</x:v>
      </x:c>
      <x:c r="F105" s="110" t="n">
        <x:f>IFERROR(VLOOKUP($A105,'Mike FLEX'!$A$6:$N$278,6,FALSE),"")</x:f>
        <x:v>9.3</x:v>
      </x:c>
      <x:c r="G105" s="111" t="n">
        <x:f>IFERROR(VLOOKUP($A105,'Mike FLEX'!$A$6:$N$278,7,FALSE),"")</x:f>
        <x:v>0</x:v>
      </x:c>
      <x:c r="H105" s="111" t="n">
        <x:f>IFERROR(VLOOKUP($A105,'Mike FLEX'!$A$6:$N$278,8,FALSE),"")</x:f>
        <x:v>0</x:v>
      </x:c>
      <x:c r="I105" s="111" t="n">
        <x:f>IFERROR(VLOOKUP($A105,'Mike FLEX'!$A$6:$N$278,9,FALSE),"")</x:f>
        <x:v>0</x:v>
      </x:c>
      <x:c r="J105" s="111" t="n">
        <x:f>IFERROR(VLOOKUP($A105,'Mike FLEX'!$A$6:$N$278,10,FALSE),"")</x:f>
        <x:v>58</x:v>
      </x:c>
      <x:c r="K105" s="111" t="n">
        <x:f>IFERROR(VLOOKUP($A105,'Mike FLEX'!$A$6:$N$278,11,FALSE),"")</x:f>
        <x:v>754</x:v>
      </x:c>
      <x:c r="L105" s="111" t="n">
        <x:f>IFERROR(VLOOKUP($A105,'Mike FLEX'!$A$6:$N$278,12,FALSE),"")</x:f>
        <x:v>4</x:v>
      </x:c>
      <x:c r="M105" s="111" t="n">
        <x:f>IFERROR(VLOOKUP($A105,'Mike FLEX'!$A$6:$N$278,13,FALSE),"")</x:f>
        <x:v>1</x:v>
      </x:c>
      <x:c r="N105" s="109" t="n">
        <x:f>IFERROR(VLOOKUP($A105,'Andy FLEX'!$A$6:$N$278,5,FALSE),"")</x:f>
        <x:v>120</x:v>
      </x:c>
      <x:c r="O105" s="110" t="n">
        <x:f>IFERROR(VLOOKUP($A105,'Andy FLEX'!$A$6:$N$278,6,FALSE),"")</x:f>
        <x:v>8.2</x:v>
      </x:c>
      <x:c r="P105" s="111" t="n">
        <x:f>IFERROR(VLOOKUP($A105,'Andy FLEX'!$A$6:$N$278,7,FALSE),"")</x:f>
        <x:v>0</x:v>
      </x:c>
      <x:c r="Q105" s="111" t="n">
        <x:f>IFERROR(VLOOKUP($A105,'Andy FLEX'!$A$6:$N$278,8,FALSE),"")</x:f>
        <x:v>0</x:v>
      </x:c>
      <x:c r="R105" s="111" t="n">
        <x:f>IFERROR(VLOOKUP($A105,'Andy FLEX'!$A$6:$N$278,9,FALSE),"")</x:f>
        <x:v>0</x:v>
      </x:c>
      <x:c r="S105" s="111" t="n">
        <x:f>IFERROR(VLOOKUP($A105,'Andy FLEX'!$A$6:$N$278,10,FALSE),"")</x:f>
        <x:v>51</x:v>
      </x:c>
      <x:c r="T105" s="111" t="n">
        <x:f>IFERROR(VLOOKUP($A105,'Andy FLEX'!$A$6:$N$278,11,FALSE),"")</x:f>
        <x:v>610</x:v>
      </x:c>
      <x:c r="U105" s="111" t="n">
        <x:f>IFERROR(VLOOKUP($A105,'Andy FLEX'!$A$6:$N$278,12,FALSE),"")</x:f>
        <x:v>5</x:v>
      </x:c>
      <x:c r="V105" s="111" t="n">
        <x:f>IFERROR(VLOOKUP($A105,'Andy FLEX'!$A$6:$N$278,13,FALSE),"")</x:f>
        <x:v>2</x:v>
      </x:c>
      <x:c r="W105" s="109" t="n">
        <x:f>IFERROR(VLOOKUP($A105,'Jason FLEX'!$A$6:$N$268,5,FALSE),"")</x:f>
        <x:v>80</x:v>
      </x:c>
      <x:c r="X105" s="110" t="n">
        <x:f>IFERROR(VLOOKUP($A105,'Jason FLEX'!$A$6:$N$268,6,FALSE),"")</x:f>
        <x:v>10.3</x:v>
      </x:c>
      <x:c r="Y105" s="111" t="n">
        <x:f>IFERROR(VLOOKUP($A105,'Jason FLEX'!$A$6:$N$268,7,FALSE),"")</x:f>
        <x:v>1</x:v>
      </x:c>
      <x:c r="Z105" s="111" t="n">
        <x:f>IFERROR(VLOOKUP($A105,'Jason FLEX'!$A$6:$N$268,8,FALSE),"")</x:f>
        <x:v>5</x:v>
      </x:c>
      <x:c r="AA105" s="111" t="n">
        <x:f>IFERROR(VLOOKUP($A105,'Jason FLEX'!$A$6:$N$268,9,FALSE),"")</x:f>
        <x:v>0</x:v>
      </x:c>
      <x:c r="AB105" s="111" t="n">
        <x:f>IFERROR(VLOOKUP($A105,'Jason FLEX'!$A$6:$N$268,10,FALSE),"")</x:f>
        <x:v>71</x:v>
      </x:c>
      <x:c r="AC105" s="111" t="n">
        <x:f>IFERROR(VLOOKUP($A105,'Jason FLEX'!$A$6:$N$268,11,FALSE),"")</x:f>
        <x:v>761</x:v>
      </x:c>
      <x:c r="AD105" s="111" t="n">
        <x:f>IFERROR(VLOOKUP($A105,'Jason FLEX'!$A$6:$N$268,12,FALSE),"")</x:f>
        <x:v>5</x:v>
      </x:c>
      <x:c r="AE105" s="111" t="n">
        <x:f>IFERROR(VLOOKUP($A105,'Jason FLEX'!$A$6:$N$268,13,FALSE),"")</x:f>
        <x:v>1</x:v>
      </x:c>
      <x:c r="AF105" s="110" t="n">
        <x:f>IF(COUNT(E105,N105,W105)=0,"",AVERAGE(E105,N105,W105))</x:f>
        <x:v>100.66666666666667</x:v>
      </x:c>
      <x:c r="AG105" s="110" t="n">
        <x:f>IF(COUNT(E105,N105,W105)=0,"",MAX(E105,N105,W105)-MIN(E105,N105,W105))</x:f>
        <x:v>40</x:v>
      </x:c>
      <x:c r="AH105" s="110" t="n">
        <x:f>IF(COUNT(F105,O105,X105)=0,"",AVERAGE(F105,O105,X105))</x:f>
        <x:v>9.266666666666667</x:v>
      </x:c>
      <x:c r="AI105" s="112" t="n">
        <x:f>IF(COUNT(G105,P105,Y105)=0,"",AVERAGE(G105,P105,Y105))</x:f>
        <x:v>0.3333333333333333</x:v>
      </x:c>
      <x:c r="AJ105" s="112" t="n">
        <x:f>IF(COUNT(H105,Q105,Z105)=0,"",AVERAGE(H105,Q105,Z105))</x:f>
        <x:v>1.6666666666666667</x:v>
      </x:c>
      <x:c r="AK105" s="112" t="n">
        <x:f>IF(COUNT(I105,R105,AA105)=0,"",AVERAGE(I105,R105,AA105))</x:f>
        <x:v>0</x:v>
      </x:c>
      <x:c r="AL105" s="112" t="n">
        <x:f>IF(COUNT(J105,S105,AB105)=0,"",AVERAGE(J105,S105,AB105))</x:f>
        <x:v>60</x:v>
      </x:c>
      <x:c r="AM105" s="112" t="n">
        <x:f>IF(COUNT(K105,T105,AC105)=0,"",AVERAGE(K105,T105,AC105))</x:f>
        <x:v>708.3333333333334</x:v>
      </x:c>
      <x:c r="AN105" s="112" t="n">
        <x:f>IF(COUNT(L105,U105,AD105)=0,"",AVERAGE(L105,U105,AD105))</x:f>
        <x:v>4.666666666666667</x:v>
      </x:c>
      <x:c r="AO105" s="112" t="n">
        <x:f>IF(COUNT(M105,V105,AE105)=0,"",AVERAGE(M105,V105,AE105))</x:f>
        <x:v>1.3333333333333333</x:v>
      </x:c>
    </x:row>
    <x:row r="106">
      <x:c r="A106" s="107" t="str">
        <x:v>Malik Washington</x:v>
      </x:c>
      <x:c r="B106" s="108" t="str">
        <x:v>WR</x:v>
      </x:c>
      <x:c r="C106" s="108" t="str">
        <x:v>MIA</x:v>
      </x:c>
      <x:c r="D106" s="109" t="n">
        <x:v>6</x:v>
      </x:c>
      <x:c r="E106" s="109" t="n">
        <x:f>IFERROR(VLOOKUP($A106,'Mike FLEX'!$A$6:$N$278,5,FALSE),"")</x:f>
        <x:v>84</x:v>
      </x:c>
      <x:c r="F106" s="110" t="n">
        <x:f>IFERROR(VLOOKUP($A106,'Mike FLEX'!$A$6:$N$278,6,FALSE),"")</x:f>
        <x:v>10.4</x:v>
      </x:c>
      <x:c r="G106" s="111" t="n">
        <x:f>IFERROR(VLOOKUP($A106,'Mike FLEX'!$A$6:$N$278,7,FALSE),"")</x:f>
        <x:v>12</x:v>
      </x:c>
      <x:c r="H106" s="111" t="n">
        <x:f>IFERROR(VLOOKUP($A106,'Mike FLEX'!$A$6:$N$278,8,FALSE),"")</x:f>
        <x:v>78</x:v>
      </x:c>
      <x:c r="I106" s="111" t="n">
        <x:f>IFERROR(VLOOKUP($A106,'Mike FLEX'!$A$6:$N$278,9,FALSE),"")</x:f>
        <x:v>1</x:v>
      </x:c>
      <x:c r="J106" s="111" t="n">
        <x:f>IFERROR(VLOOKUP($A106,'Mike FLEX'!$A$6:$N$278,10,FALSE),"")</x:f>
        <x:v>78</x:v>
      </x:c>
      <x:c r="K106" s="111" t="n">
        <x:f>IFERROR(VLOOKUP($A106,'Mike FLEX'!$A$6:$N$278,11,FALSE),"")</x:f>
        <x:v>662</x:v>
      </x:c>
      <x:c r="L106" s="111" t="n">
        <x:f>IFERROR(VLOOKUP($A106,'Mike FLEX'!$A$6:$N$278,12,FALSE),"")</x:f>
        <x:v>4</x:v>
      </x:c>
      <x:c r="M106" s="111" t="n">
        <x:f>IFERROR(VLOOKUP($A106,'Mike FLEX'!$A$6:$N$278,13,FALSE),"")</x:f>
        <x:v>1</x:v>
      </x:c>
      <x:c r="N106" s="109" t="n">
        <x:f>IFERROR(VLOOKUP($A106,'Andy FLEX'!$A$6:$N$278,5,FALSE),"")</x:f>
        <x:v>121</x:v>
      </x:c>
      <x:c r="O106" s="110" t="n">
        <x:f>IFERROR(VLOOKUP($A106,'Andy FLEX'!$A$6:$N$278,6,FALSE),"")</x:f>
        <x:v>8.1</x:v>
      </x:c>
      <x:c r="P106" s="111" t="n">
        <x:f>IFERROR(VLOOKUP($A106,'Andy FLEX'!$A$6:$N$278,7,FALSE),"")</x:f>
        <x:v>14</x:v>
      </x:c>
      <x:c r="Q106" s="111" t="n">
        <x:f>IFERROR(VLOOKUP($A106,'Andy FLEX'!$A$6:$N$278,8,FALSE),"")</x:f>
        <x:v>74</x:v>
      </x:c>
      <x:c r="R106" s="111" t="n">
        <x:f>IFERROR(VLOOKUP($A106,'Andy FLEX'!$A$6:$N$278,9,FALSE),"")</x:f>
        <x:v>1</x:v>
      </x:c>
      <x:c r="S106" s="111" t="n">
        <x:f>IFERROR(VLOOKUP($A106,'Andy FLEX'!$A$6:$N$278,10,FALSE),"")</x:f>
        <x:v>59</x:v>
      </x:c>
      <x:c r="T106" s="111" t="n">
        <x:f>IFERROR(VLOOKUP($A106,'Andy FLEX'!$A$6:$N$278,11,FALSE),"")</x:f>
        <x:v>444</x:v>
      </x:c>
      <x:c r="U106" s="111" t="n">
        <x:f>IFERROR(VLOOKUP($A106,'Andy FLEX'!$A$6:$N$278,12,FALSE),"")</x:f>
        <x:v>4</x:v>
      </x:c>
      <x:c r="V106" s="111" t="n">
        <x:f>IFERROR(VLOOKUP($A106,'Andy FLEX'!$A$6:$N$278,13,FALSE),"")</x:f>
        <x:v>1</x:v>
      </x:c>
      <x:c r="W106" s="109" t="n">
        <x:f>IFERROR(VLOOKUP($A106,'Jason FLEX'!$A$6:$N$268,5,FALSE),"")</x:f>
        <x:v>98</x:v>
      </x:c>
      <x:c r="X106" s="110" t="n">
        <x:f>IFERROR(VLOOKUP($A106,'Jason FLEX'!$A$6:$N$268,6,FALSE),"")</x:f>
        <x:v>9.6</x:v>
      </x:c>
      <x:c r="Y106" s="111" t="n">
        <x:f>IFERROR(VLOOKUP($A106,'Jason FLEX'!$A$6:$N$268,7,FALSE),"")</x:f>
        <x:v>8</x:v>
      </x:c>
      <x:c r="Z106" s="111" t="n">
        <x:f>IFERROR(VLOOKUP($A106,'Jason FLEX'!$A$6:$N$268,8,FALSE),"")</x:f>
        <x:v>45</x:v>
      </x:c>
      <x:c r="AA106" s="111" t="n">
        <x:f>IFERROR(VLOOKUP($A106,'Jason FLEX'!$A$6:$N$268,9,FALSE),"")</x:f>
        <x:v>1</x:v>
      </x:c>
      <x:c r="AB106" s="111" t="n">
        <x:f>IFERROR(VLOOKUP($A106,'Jason FLEX'!$A$6:$N$268,10,FALSE),"")</x:f>
        <x:v>67</x:v>
      </x:c>
      <x:c r="AC106" s="111" t="n">
        <x:f>IFERROR(VLOOKUP($A106,'Jason FLEX'!$A$6:$N$268,11,FALSE),"")</x:f>
        <x:v>723</x:v>
      </x:c>
      <x:c r="AD106" s="111" t="n">
        <x:f>IFERROR(VLOOKUP($A106,'Jason FLEX'!$A$6:$N$268,12,FALSE),"")</x:f>
        <x:v>3</x:v>
      </x:c>
      <x:c r="AE106" s="111" t="n">
        <x:f>IFERROR(VLOOKUP($A106,'Jason FLEX'!$A$6:$N$268,13,FALSE),"")</x:f>
        <x:v>1</x:v>
      </x:c>
      <x:c r="AF106" s="110" t="n">
        <x:f>IF(COUNT(E106,N106,W106)=0,"",AVERAGE(E106,N106,W106))</x:f>
        <x:v>101</x:v>
      </x:c>
      <x:c r="AG106" s="110" t="n">
        <x:f>IF(COUNT(E106,N106,W106)=0,"",MAX(E106,N106,W106)-MIN(E106,N106,W106))</x:f>
        <x:v>37</x:v>
      </x:c>
      <x:c r="AH106" s="110" t="n">
        <x:f>IF(COUNT(F106,O106,X106)=0,"",AVERAGE(F106,O106,X106))</x:f>
        <x:v>9.366666666666667</x:v>
      </x:c>
      <x:c r="AI106" s="112" t="n">
        <x:f>IF(COUNT(G106,P106,Y106)=0,"",AVERAGE(G106,P106,Y106))</x:f>
        <x:v>11.333333333333334</x:v>
      </x:c>
      <x:c r="AJ106" s="112" t="n">
        <x:f>IF(COUNT(H106,Q106,Z106)=0,"",AVERAGE(H106,Q106,Z106))</x:f>
        <x:v>65.66666666666667</x:v>
      </x:c>
      <x:c r="AK106" s="112" t="n">
        <x:f>IF(COUNT(I106,R106,AA106)=0,"",AVERAGE(I106,R106,AA106))</x:f>
        <x:v>1</x:v>
      </x:c>
      <x:c r="AL106" s="112" t="n">
        <x:f>IF(COUNT(J106,S106,AB106)=0,"",AVERAGE(J106,S106,AB106))</x:f>
        <x:v>68</x:v>
      </x:c>
      <x:c r="AM106" s="112" t="n">
        <x:f>IF(COUNT(K106,T106,AC106)=0,"",AVERAGE(K106,T106,AC106))</x:f>
        <x:v>609.6666666666666</x:v>
      </x:c>
      <x:c r="AN106" s="112" t="n">
        <x:f>IF(COUNT(L106,U106,AD106)=0,"",AVERAGE(L106,U106,AD106))</x:f>
        <x:v>3.6666666666666665</x:v>
      </x:c>
      <x:c r="AO106" s="112" t="n">
        <x:f>IF(COUNT(M106,V106,AE106)=0,"",AVERAGE(M106,V106,AE106))</x:f>
        <x:v>1</x:v>
      </x:c>
    </x:row>
    <x:row r="107">
      <x:c r="A107" s="107" t="str">
        <x:v>Dalton Kincaid</x:v>
      </x:c>
      <x:c r="B107" s="108" t="str">
        <x:v>TE</x:v>
      </x:c>
      <x:c r="C107" s="108" t="str">
        <x:v>BUF</x:v>
      </x:c>
      <x:c r="D107" s="109" t="n">
        <x:v>7</x:v>
      </x:c>
      <x:c r="E107" s="109" t="n">
        <x:f>IFERROR(VLOOKUP($A107,'Mike FLEX'!$A$6:$N$278,5,FALSE),"")</x:f>
        <x:v>108</x:v>
      </x:c>
      <x:c r="F107" s="110" t="n">
        <x:f>IFERROR(VLOOKUP($A107,'Mike FLEX'!$A$6:$N$278,6,FALSE),"")</x:f>
        <x:v>9.1</x:v>
      </x:c>
      <x:c r="G107" s="111" t="n">
        <x:f>IFERROR(VLOOKUP($A107,'Mike FLEX'!$A$6:$N$278,7,FALSE),"")</x:f>
        <x:v>0</x:v>
      </x:c>
      <x:c r="H107" s="111" t="n">
        <x:f>IFERROR(VLOOKUP($A107,'Mike FLEX'!$A$6:$N$278,8,FALSE),"")</x:f>
        <x:v>0</x:v>
      </x:c>
      <x:c r="I107" s="111" t="n">
        <x:f>IFERROR(VLOOKUP($A107,'Mike FLEX'!$A$6:$N$278,9,FALSE),"")</x:f>
        <x:v>0</x:v>
      </x:c>
      <x:c r="J107" s="111" t="n">
        <x:f>IFERROR(VLOOKUP($A107,'Mike FLEX'!$A$6:$N$278,10,FALSE),"")</x:f>
        <x:v>62</x:v>
      </x:c>
      <x:c r="K107" s="111" t="n">
        <x:f>IFERROR(VLOOKUP($A107,'Mike FLEX'!$A$6:$N$278,11,FALSE),"")</x:f>
        <x:v>708</x:v>
      </x:c>
      <x:c r="L107" s="111" t="n">
        <x:f>IFERROR(VLOOKUP($A107,'Mike FLEX'!$A$6:$N$278,12,FALSE),"")</x:f>
        <x:v>4</x:v>
      </x:c>
      <x:c r="M107" s="111" t="n">
        <x:f>IFERROR(VLOOKUP($A107,'Mike FLEX'!$A$6:$N$278,13,FALSE),"")</x:f>
        <x:v>1</x:v>
      </x:c>
      <x:c r="N107" s="109" t="n">
        <x:f>IFERROR(VLOOKUP($A107,'Andy FLEX'!$A$6:$N$278,5,FALSE),"")</x:f>
        <x:v>118</x:v>
      </x:c>
      <x:c r="O107" s="110" t="n">
        <x:f>IFERROR(VLOOKUP($A107,'Andy FLEX'!$A$6:$N$278,6,FALSE),"")</x:f>
        <x:v>8.2</x:v>
      </x:c>
      <x:c r="P107" s="111" t="n">
        <x:f>IFERROR(VLOOKUP($A107,'Andy FLEX'!$A$6:$N$278,7,FALSE),"")</x:f>
        <x:v>0</x:v>
      </x:c>
      <x:c r="Q107" s="111" t="n">
        <x:f>IFERROR(VLOOKUP($A107,'Andy FLEX'!$A$6:$N$278,8,FALSE),"")</x:f>
        <x:v>0</x:v>
      </x:c>
      <x:c r="R107" s="111" t="n">
        <x:f>IFERROR(VLOOKUP($A107,'Andy FLEX'!$A$6:$N$278,9,FALSE),"")</x:f>
        <x:v>0</x:v>
      </x:c>
      <x:c r="S107" s="111" t="n">
        <x:f>IFERROR(VLOOKUP($A107,'Andy FLEX'!$A$6:$N$278,10,FALSE),"")</x:f>
        <x:v>42</x:v>
      </x:c>
      <x:c r="T107" s="111" t="n">
        <x:f>IFERROR(VLOOKUP($A107,'Andy FLEX'!$A$6:$N$278,11,FALSE),"")</x:f>
        <x:v>646</x:v>
      </x:c>
      <x:c r="U107" s="111" t="n">
        <x:f>IFERROR(VLOOKUP($A107,'Andy FLEX'!$A$6:$N$278,12,FALSE),"")</x:f>
        <x:v>6</x:v>
      </x:c>
      <x:c r="V107" s="111" t="n">
        <x:f>IFERROR(VLOOKUP($A107,'Andy FLEX'!$A$6:$N$278,13,FALSE),"")</x:f>
        <x:v>0</x:v>
      </x:c>
      <x:c r="W107" s="109" t="n">
        <x:f>IFERROR(VLOOKUP($A107,'Jason FLEX'!$A$6:$N$268,5,FALSE),"")</x:f>
        <x:v>78</x:v>
      </x:c>
      <x:c r="X107" s="110" t="n">
        <x:f>IFERROR(VLOOKUP($A107,'Jason FLEX'!$A$6:$N$268,6,FALSE),"")</x:f>
        <x:v>10.4</x:v>
      </x:c>
      <x:c r="Y107" s="111" t="n">
        <x:f>IFERROR(VLOOKUP($A107,'Jason FLEX'!$A$6:$N$268,7,FALSE),"")</x:f>
        <x:v>0</x:v>
      </x:c>
      <x:c r="Z107" s="111" t="n">
        <x:f>IFERROR(VLOOKUP($A107,'Jason FLEX'!$A$6:$N$268,8,FALSE),"")</x:f>
        <x:v>0</x:v>
      </x:c>
      <x:c r="AA107" s="111" t="n">
        <x:f>IFERROR(VLOOKUP($A107,'Jason FLEX'!$A$6:$N$268,9,FALSE),"")</x:f>
        <x:v>0</x:v>
      </x:c>
      <x:c r="AB107" s="111" t="n">
        <x:f>IFERROR(VLOOKUP($A107,'Jason FLEX'!$A$6:$N$268,10,FALSE),"")</x:f>
        <x:v>60</x:v>
      </x:c>
      <x:c r="AC107" s="111" t="n">
        <x:f>IFERROR(VLOOKUP($A107,'Jason FLEX'!$A$6:$N$268,11,FALSE),"")</x:f>
        <x:v>830</x:v>
      </x:c>
      <x:c r="AD107" s="111" t="n">
        <x:f>IFERROR(VLOOKUP($A107,'Jason FLEX'!$A$6:$N$268,12,FALSE),"")</x:f>
        <x:v>6</x:v>
      </x:c>
      <x:c r="AE107" s="111" t="n">
        <x:f>IFERROR(VLOOKUP($A107,'Jason FLEX'!$A$6:$N$268,13,FALSE),"")</x:f>
        <x:v>1</x:v>
      </x:c>
      <x:c r="AF107" s="110" t="n">
        <x:f>IF(COUNT(E107,N107,W107)=0,"",AVERAGE(E107,N107,W107))</x:f>
        <x:v>101.33333333333333</x:v>
      </x:c>
      <x:c r="AG107" s="110" t="n">
        <x:f>IF(COUNT(E107,N107,W107)=0,"",MAX(E107,N107,W107)-MIN(E107,N107,W107))</x:f>
        <x:v>40</x:v>
      </x:c>
      <x:c r="AH107" s="110" t="n">
        <x:f>IF(COUNT(F107,O107,X107)=0,"",AVERAGE(F107,O107,X107))</x:f>
        <x:v>9.233333333333333</x:v>
      </x:c>
      <x:c r="AI107" s="112" t="n">
        <x:f>IF(COUNT(G107,P107,Y107)=0,"",AVERAGE(G107,P107,Y107))</x:f>
        <x:v>0</x:v>
      </x:c>
      <x:c r="AJ107" s="112" t="n">
        <x:f>IF(COUNT(H107,Q107,Z107)=0,"",AVERAGE(H107,Q107,Z107))</x:f>
        <x:v>0</x:v>
      </x:c>
      <x:c r="AK107" s="112" t="n">
        <x:f>IF(COUNT(I107,R107,AA107)=0,"",AVERAGE(I107,R107,AA107))</x:f>
        <x:v>0</x:v>
      </x:c>
      <x:c r="AL107" s="112" t="n">
        <x:f>IF(COUNT(J107,S107,AB107)=0,"",AVERAGE(J107,S107,AB107))</x:f>
        <x:v>54.666666666666664</x:v>
      </x:c>
      <x:c r="AM107" s="112" t="n">
        <x:f>IF(COUNT(K107,T107,AC107)=0,"",AVERAGE(K107,T107,AC107))</x:f>
        <x:v>728</x:v>
      </x:c>
      <x:c r="AN107" s="112" t="n">
        <x:f>IF(COUNT(L107,U107,AD107)=0,"",AVERAGE(L107,U107,AD107))</x:f>
        <x:v>5.333333333333333</x:v>
      </x:c>
      <x:c r="AO107" s="112" t="n">
        <x:f>IF(COUNT(M107,V107,AE107)=0,"",AVERAGE(M107,V107,AE107))</x:f>
        <x:v>0.6666666666666666</x:v>
      </x:c>
    </x:row>
    <x:row r="108">
      <x:c r="A108" s="107" t="str">
        <x:v>KC Concepcion</x:v>
      </x:c>
      <x:c r="B108" s="108" t="str">
        <x:v>WR</x:v>
      </x:c>
      <x:c r="C108" s="108" t="str">
        <x:v>CLE</x:v>
      </x:c>
      <x:c r="D108" s="109" t="n">
        <x:v>11</x:v>
      </x:c>
      <x:c r="E108" s="109" t="n">
        <x:f>IFERROR(VLOOKUP($A108,'Mike FLEX'!$A$6:$N$278,5,FALSE),"")</x:f>
        <x:v>114</x:v>
      </x:c>
      <x:c r="F108" s="110" t="n">
        <x:f>IFERROR(VLOOKUP($A108,'Mike FLEX'!$A$6:$N$278,6,FALSE),"")</x:f>
        <x:v>8.6</x:v>
      </x:c>
      <x:c r="G108" s="111" t="n">
        <x:f>IFERROR(VLOOKUP($A108,'Mike FLEX'!$A$6:$N$278,7,FALSE),"")</x:f>
        <x:v>0</x:v>
      </x:c>
      <x:c r="H108" s="111" t="n">
        <x:f>IFERROR(VLOOKUP($A108,'Mike FLEX'!$A$6:$N$278,8,FALSE),"")</x:f>
        <x:v>0</x:v>
      </x:c>
      <x:c r="I108" s="111" t="n">
        <x:f>IFERROR(VLOOKUP($A108,'Mike FLEX'!$A$6:$N$278,9,FALSE),"")</x:f>
        <x:v>0</x:v>
      </x:c>
      <x:c r="J108" s="111" t="n">
        <x:f>IFERROR(VLOOKUP($A108,'Mike FLEX'!$A$6:$N$278,10,FALSE),"")</x:f>
        <x:v>55</x:v>
      </x:c>
      <x:c r="K108" s="111" t="n">
        <x:f>IFERROR(VLOOKUP($A108,'Mike FLEX'!$A$6:$N$278,11,FALSE),"")</x:f>
        <x:v>670</x:v>
      </x:c>
      <x:c r="L108" s="111" t="n">
        <x:f>IFERROR(VLOOKUP($A108,'Mike FLEX'!$A$6:$N$278,12,FALSE),"")</x:f>
        <x:v>4</x:v>
      </x:c>
      <x:c r="M108" s="111" t="n">
        <x:f>IFERROR(VLOOKUP($A108,'Mike FLEX'!$A$6:$N$278,13,FALSE),"")</x:f>
        <x:v>0</x:v>
      </x:c>
      <x:c r="N108" s="109" t="n">
        <x:f>IFERROR(VLOOKUP($A108,'Andy FLEX'!$A$6:$N$278,5,FALSE),"")</x:f>
        <x:v>108</x:v>
      </x:c>
      <x:c r="O108" s="110" t="n">
        <x:f>IFERROR(VLOOKUP($A108,'Andy FLEX'!$A$6:$N$278,6,FALSE),"")</x:f>
        <x:v>8.7</x:v>
      </x:c>
      <x:c r="P108" s="111" t="n">
        <x:f>IFERROR(VLOOKUP($A108,'Andy FLEX'!$A$6:$N$278,7,FALSE),"")</x:f>
        <x:v>0</x:v>
      </x:c>
      <x:c r="Q108" s="111" t="n">
        <x:f>IFERROR(VLOOKUP($A108,'Andy FLEX'!$A$6:$N$278,8,FALSE),"")</x:f>
        <x:v>0</x:v>
      </x:c>
      <x:c r="R108" s="111" t="n">
        <x:f>IFERROR(VLOOKUP($A108,'Andy FLEX'!$A$6:$N$278,9,FALSE),"")</x:f>
        <x:v>0</x:v>
      </x:c>
      <x:c r="S108" s="111" t="n">
        <x:f>IFERROR(VLOOKUP($A108,'Andy FLEX'!$A$6:$N$278,10,FALSE),"")</x:f>
        <x:v>61</x:v>
      </x:c>
      <x:c r="T108" s="111" t="n">
        <x:f>IFERROR(VLOOKUP($A108,'Andy FLEX'!$A$6:$N$278,11,FALSE),"")</x:f>
        <x:v>761</x:v>
      </x:c>
      <x:c r="U108" s="111" t="n">
        <x:f>IFERROR(VLOOKUP($A108,'Andy FLEX'!$A$6:$N$278,12,FALSE),"")</x:f>
        <x:v>2</x:v>
      </x:c>
      <x:c r="V108" s="111" t="n">
        <x:f>IFERROR(VLOOKUP($A108,'Andy FLEX'!$A$6:$N$278,13,FALSE),"")</x:f>
        <x:v>0</x:v>
      </x:c>
      <x:c r="W108" s="109" t="n">
        <x:f>IFERROR(VLOOKUP($A108,'Jason FLEX'!$A$6:$N$268,5,FALSE),"")</x:f>
        <x:v>83</x:v>
      </x:c>
      <x:c r="X108" s="110" t="n">
        <x:f>IFERROR(VLOOKUP($A108,'Jason FLEX'!$A$6:$N$268,6,FALSE),"")</x:f>
        <x:v>10.3</x:v>
      </x:c>
      <x:c r="Y108" s="111" t="n">
        <x:f>IFERROR(VLOOKUP($A108,'Jason FLEX'!$A$6:$N$268,7,FALSE),"")</x:f>
        <x:v>7</x:v>
      </x:c>
      <x:c r="Z108" s="111" t="n">
        <x:f>IFERROR(VLOOKUP($A108,'Jason FLEX'!$A$6:$N$268,8,FALSE),"")</x:f>
        <x:v>52</x:v>
      </x:c>
      <x:c r="AA108" s="111" t="n">
        <x:f>IFERROR(VLOOKUP($A108,'Jason FLEX'!$A$6:$N$268,9,FALSE),"")</x:f>
        <x:v>0</x:v>
      </x:c>
      <x:c r="AB108" s="111" t="n">
        <x:f>IFERROR(VLOOKUP($A108,'Jason FLEX'!$A$6:$N$268,10,FALSE),"")</x:f>
        <x:v>64</x:v>
      </x:c>
      <x:c r="AC108" s="111" t="n">
        <x:f>IFERROR(VLOOKUP($A108,'Jason FLEX'!$A$6:$N$268,11,FALSE),"")</x:f>
        <x:v>758</x:v>
      </x:c>
      <x:c r="AD108" s="111" t="n">
        <x:f>IFERROR(VLOOKUP($A108,'Jason FLEX'!$A$6:$N$268,12,FALSE),"")</x:f>
        <x:v>5</x:v>
      </x:c>
      <x:c r="AE108" s="111" t="n">
        <x:f>IFERROR(VLOOKUP($A108,'Jason FLEX'!$A$6:$N$268,13,FALSE),"")</x:f>
        <x:v>1</x:v>
      </x:c>
      <x:c r="AF108" s="110" t="n">
        <x:f>IF(COUNT(E108,N108,W108)=0,"",AVERAGE(E108,N108,W108))</x:f>
        <x:v>101.66666666666667</x:v>
      </x:c>
      <x:c r="AG108" s="110" t="n">
        <x:f>IF(COUNT(E108,N108,W108)=0,"",MAX(E108,N108,W108)-MIN(E108,N108,W108))</x:f>
        <x:v>31</x:v>
      </x:c>
      <x:c r="AH108" s="110" t="n">
        <x:f>IF(COUNT(F108,O108,X108)=0,"",AVERAGE(F108,O108,X108))</x:f>
        <x:v>9.2</x:v>
      </x:c>
      <x:c r="AI108" s="112" t="n">
        <x:f>IF(COUNT(G108,P108,Y108)=0,"",AVERAGE(G108,P108,Y108))</x:f>
        <x:v>2.3333333333333335</x:v>
      </x:c>
      <x:c r="AJ108" s="112" t="n">
        <x:f>IF(COUNT(H108,Q108,Z108)=0,"",AVERAGE(H108,Q108,Z108))</x:f>
        <x:v>17.333333333333332</x:v>
      </x:c>
      <x:c r="AK108" s="112" t="n">
        <x:f>IF(COUNT(I108,R108,AA108)=0,"",AVERAGE(I108,R108,AA108))</x:f>
        <x:v>0</x:v>
      </x:c>
      <x:c r="AL108" s="112" t="n">
        <x:f>IF(COUNT(J108,S108,AB108)=0,"",AVERAGE(J108,S108,AB108))</x:f>
        <x:v>60</x:v>
      </x:c>
      <x:c r="AM108" s="112" t="n">
        <x:f>IF(COUNT(K108,T108,AC108)=0,"",AVERAGE(K108,T108,AC108))</x:f>
        <x:v>729.6666666666666</x:v>
      </x:c>
      <x:c r="AN108" s="112" t="n">
        <x:f>IF(COUNT(L108,U108,AD108)=0,"",AVERAGE(L108,U108,AD108))</x:f>
        <x:v>3.6666666666666665</x:v>
      </x:c>
      <x:c r="AO108" s="112" t="n">
        <x:f>IF(COUNT(M108,V108,AE108)=0,"",AVERAGE(M108,V108,AE108))</x:f>
        <x:v>0.3333333333333333</x:v>
      </x:c>
    </x:row>
    <x:row r="109">
      <x:c r="A109" s="107" t="str">
        <x:v>Isaiah Likely</x:v>
      </x:c>
      <x:c r="B109" s="108" t="str">
        <x:v>TE</x:v>
      </x:c>
      <x:c r="C109" s="108" t="str">
        <x:v>NYG</x:v>
      </x:c>
      <x:c r="D109" s="109" t="n">
        <x:v>8</x:v>
      </x:c>
      <x:c r="E109" s="109" t="n">
        <x:f>IFERROR(VLOOKUP($A109,'Mike FLEX'!$A$6:$N$278,5,FALSE),"")</x:f>
        <x:v>117</x:v>
      </x:c>
      <x:c r="F109" s="110" t="n">
        <x:f>IFERROR(VLOOKUP($A109,'Mike FLEX'!$A$6:$N$278,6,FALSE),"")</x:f>
        <x:v>8.4</x:v>
      </x:c>
      <x:c r="G109" s="111" t="n">
        <x:f>IFERROR(VLOOKUP($A109,'Mike FLEX'!$A$6:$N$278,7,FALSE),"")</x:f>
        <x:v>0</x:v>
      </x:c>
      <x:c r="H109" s="111" t="n">
        <x:f>IFERROR(VLOOKUP($A109,'Mike FLEX'!$A$6:$N$278,8,FALSE),"")</x:f>
        <x:v>0</x:v>
      </x:c>
      <x:c r="I109" s="111" t="n">
        <x:f>IFERROR(VLOOKUP($A109,'Mike FLEX'!$A$6:$N$278,9,FALSE),"")</x:f>
        <x:v>0</x:v>
      </x:c>
      <x:c r="J109" s="111" t="n">
        <x:f>IFERROR(VLOOKUP($A109,'Mike FLEX'!$A$6:$N$278,10,FALSE),"")</x:f>
        <x:v>53</x:v>
      </x:c>
      <x:c r="K109" s="111" t="n">
        <x:f>IFERROR(VLOOKUP($A109,'Mike FLEX'!$A$6:$N$278,11,FALSE),"")</x:f>
        <x:v>610</x:v>
      </x:c>
      <x:c r="L109" s="111" t="n">
        <x:f>IFERROR(VLOOKUP($A109,'Mike FLEX'!$A$6:$N$278,12,FALSE),"")</x:f>
        <x:v>5</x:v>
      </x:c>
      <x:c r="M109" s="111" t="n">
        <x:f>IFERROR(VLOOKUP($A109,'Mike FLEX'!$A$6:$N$278,13,FALSE),"")</x:f>
        <x:v>1</x:v>
      </x:c>
      <x:c r="N109" s="109" t="n">
        <x:f>IFERROR(VLOOKUP($A109,'Andy FLEX'!$A$6:$N$278,5,FALSE),"")</x:f>
        <x:v>98</x:v>
      </x:c>
      <x:c r="O109" s="110" t="n">
        <x:f>IFERROR(VLOOKUP($A109,'Andy FLEX'!$A$6:$N$278,6,FALSE),"")</x:f>
        <x:v>9.5</x:v>
      </x:c>
      <x:c r="P109" s="111" t="n">
        <x:f>IFERROR(VLOOKUP($A109,'Andy FLEX'!$A$6:$N$278,7,FALSE),"")</x:f>
        <x:v>2</x:v>
      </x:c>
      <x:c r="Q109" s="111" t="n">
        <x:f>IFERROR(VLOOKUP($A109,'Andy FLEX'!$A$6:$N$278,8,FALSE),"")</x:f>
        <x:v>12</x:v>
      </x:c>
      <x:c r="R109" s="111" t="n">
        <x:f>IFERROR(VLOOKUP($A109,'Andy FLEX'!$A$6:$N$278,9,FALSE),"")</x:f>
        <x:v>0</x:v>
      </x:c>
      <x:c r="S109" s="111" t="n">
        <x:f>IFERROR(VLOOKUP($A109,'Andy FLEX'!$A$6:$N$278,10,FALSE),"")</x:f>
        <x:v>66</x:v>
      </x:c>
      <x:c r="T109" s="111" t="n">
        <x:f>IFERROR(VLOOKUP($A109,'Andy FLEX'!$A$6:$N$278,11,FALSE),"")</x:f>
        <x:v>736</x:v>
      </x:c>
      <x:c r="U109" s="111" t="n">
        <x:f>IFERROR(VLOOKUP($A109,'Andy FLEX'!$A$6:$N$278,12,FALSE),"")</x:f>
        <x:v>3</x:v>
      </x:c>
      <x:c r="V109" s="111" t="n">
        <x:f>IFERROR(VLOOKUP($A109,'Andy FLEX'!$A$6:$N$278,13,FALSE),"")</x:f>
        <x:v>0</x:v>
      </x:c>
      <x:c r="W109" s="109" t="n">
        <x:f>IFERROR(VLOOKUP($A109,'Jason FLEX'!$A$6:$N$268,5,FALSE),"")</x:f>
        <x:v>93</x:v>
      </x:c>
      <x:c r="X109" s="110" t="n">
        <x:f>IFERROR(VLOOKUP($A109,'Jason FLEX'!$A$6:$N$268,6,FALSE),"")</x:f>
        <x:v>9.9</x:v>
      </x:c>
      <x:c r="Y109" s="111" t="n">
        <x:f>IFERROR(VLOOKUP($A109,'Jason FLEX'!$A$6:$N$268,7,FALSE),"")</x:f>
        <x:v>0</x:v>
      </x:c>
      <x:c r="Z109" s="111" t="n">
        <x:f>IFERROR(VLOOKUP($A109,'Jason FLEX'!$A$6:$N$268,8,FALSE),"")</x:f>
        <x:v>0</x:v>
      </x:c>
      <x:c r="AA109" s="111" t="n">
        <x:f>IFERROR(VLOOKUP($A109,'Jason FLEX'!$A$6:$N$268,9,FALSE),"")</x:f>
        <x:v>0</x:v>
      </x:c>
      <x:c r="AB109" s="111" t="n">
        <x:f>IFERROR(VLOOKUP($A109,'Jason FLEX'!$A$6:$N$268,10,FALSE),"")</x:f>
        <x:v>63</x:v>
      </x:c>
      <x:c r="AC109" s="111" t="n">
        <x:f>IFERROR(VLOOKUP($A109,'Jason FLEX'!$A$6:$N$268,11,FALSE),"")</x:f>
        <x:v>725</x:v>
      </x:c>
      <x:c r="AD109" s="111" t="n">
        <x:f>IFERROR(VLOOKUP($A109,'Jason FLEX'!$A$6:$N$268,12,FALSE),"")</x:f>
        <x:v>6</x:v>
      </x:c>
      <x:c r="AE109" s="111" t="n">
        <x:f>IFERROR(VLOOKUP($A109,'Jason FLEX'!$A$6:$N$268,13,FALSE),"")</x:f>
        <x:v>0</x:v>
      </x:c>
      <x:c r="AF109" s="110" t="n">
        <x:f>IF(COUNT(E109,N109,W109)=0,"",AVERAGE(E109,N109,W109))</x:f>
        <x:v>102.66666666666667</x:v>
      </x:c>
      <x:c r="AG109" s="110" t="n">
        <x:f>IF(COUNT(E109,N109,W109)=0,"",MAX(E109,N109,W109)-MIN(E109,N109,W109))</x:f>
        <x:v>24</x:v>
      </x:c>
      <x:c r="AH109" s="110" t="n">
        <x:f>IF(COUNT(F109,O109,X109)=0,"",AVERAGE(F109,O109,X109))</x:f>
        <x:v>9.266666666666666</x:v>
      </x:c>
      <x:c r="AI109" s="112" t="n">
        <x:f>IF(COUNT(G109,P109,Y109)=0,"",AVERAGE(G109,P109,Y109))</x:f>
        <x:v>0.6666666666666666</x:v>
      </x:c>
      <x:c r="AJ109" s="112" t="n">
        <x:f>IF(COUNT(H109,Q109,Z109)=0,"",AVERAGE(H109,Q109,Z109))</x:f>
        <x:v>4</x:v>
      </x:c>
      <x:c r="AK109" s="112" t="n">
        <x:f>IF(COUNT(I109,R109,AA109)=0,"",AVERAGE(I109,R109,AA109))</x:f>
        <x:v>0</x:v>
      </x:c>
      <x:c r="AL109" s="112" t="n">
        <x:f>IF(COUNT(J109,S109,AB109)=0,"",AVERAGE(J109,S109,AB109))</x:f>
        <x:v>60.666666666666664</x:v>
      </x:c>
      <x:c r="AM109" s="112" t="n">
        <x:f>IF(COUNT(K109,T109,AC109)=0,"",AVERAGE(K109,T109,AC109))</x:f>
        <x:v>690.3333333333334</x:v>
      </x:c>
      <x:c r="AN109" s="112" t="n">
        <x:f>IF(COUNT(L109,U109,AD109)=0,"",AVERAGE(L109,U109,AD109))</x:f>
        <x:v>4.666666666666667</x:v>
      </x:c>
      <x:c r="AO109" s="112" t="n">
        <x:f>IF(COUNT(M109,V109,AE109)=0,"",AVERAGE(M109,V109,AE109))</x:f>
        <x:v>0.3333333333333333</x:v>
      </x:c>
    </x:row>
    <x:row r="110">
      <x:c r="A110" s="107" t="str">
        <x:v>Brenton Strange</x:v>
      </x:c>
      <x:c r="B110" s="108" t="str">
        <x:v>TE</x:v>
      </x:c>
      <x:c r="C110" s="108" t="str">
        <x:v>JAX</x:v>
      </x:c>
      <x:c r="D110" s="109" t="n">
        <x:v>7</x:v>
      </x:c>
      <x:c r="E110" s="109" t="n">
        <x:f>IFERROR(VLOOKUP($A110,'Mike FLEX'!$A$6:$N$278,5,FALSE),"")</x:f>
        <x:v>112</x:v>
      </x:c>
      <x:c r="F110" s="110" t="n">
        <x:f>IFERROR(VLOOKUP($A110,'Mike FLEX'!$A$6:$N$278,6,FALSE),"")</x:f>
        <x:v>8.8</x:v>
      </x:c>
      <x:c r="G110" s="111" t="n">
        <x:f>IFERROR(VLOOKUP($A110,'Mike FLEX'!$A$6:$N$278,7,FALSE),"")</x:f>
        <x:v>0</x:v>
      </x:c>
      <x:c r="H110" s="111" t="n">
        <x:f>IFERROR(VLOOKUP($A110,'Mike FLEX'!$A$6:$N$278,8,FALSE),"")</x:f>
        <x:v>0</x:v>
      </x:c>
      <x:c r="I110" s="111" t="n">
        <x:f>IFERROR(VLOOKUP($A110,'Mike FLEX'!$A$6:$N$278,9,FALSE),"")</x:f>
        <x:v>0</x:v>
      </x:c>
      <x:c r="J110" s="111" t="n">
        <x:f>IFERROR(VLOOKUP($A110,'Mike FLEX'!$A$6:$N$278,10,FALSE),"")</x:f>
        <x:v>59</x:v>
      </x:c>
      <x:c r="K110" s="111" t="n">
        <x:f>IFERROR(VLOOKUP($A110,'Mike FLEX'!$A$6:$N$278,11,FALSE),"")</x:f>
        <x:v>650</x:v>
      </x:c>
      <x:c r="L110" s="111" t="n">
        <x:f>IFERROR(VLOOKUP($A110,'Mike FLEX'!$A$6:$N$278,12,FALSE),"")</x:f>
        <x:v>4</x:v>
      </x:c>
      <x:c r="M110" s="111" t="n">
        <x:f>IFERROR(VLOOKUP($A110,'Mike FLEX'!$A$6:$N$278,13,FALSE),"")</x:f>
        <x:v>0</x:v>
      </x:c>
      <x:c r="N110" s="109" t="n">
        <x:f>IFERROR(VLOOKUP($A110,'Andy FLEX'!$A$6:$N$278,5,FALSE),"")</x:f>
        <x:v>110</x:v>
      </x:c>
      <x:c r="O110" s="110" t="n">
        <x:f>IFERROR(VLOOKUP($A110,'Andy FLEX'!$A$6:$N$278,6,FALSE),"")</x:f>
        <x:v>8.6</x:v>
      </x:c>
      <x:c r="P110" s="111" t="n">
        <x:f>IFERROR(VLOOKUP($A110,'Andy FLEX'!$A$6:$N$278,7,FALSE),"")</x:f>
        <x:v>2</x:v>
      </x:c>
      <x:c r="Q110" s="111" t="n">
        <x:f>IFERROR(VLOOKUP($A110,'Andy FLEX'!$A$6:$N$278,8,FALSE),"")</x:f>
        <x:v>10</x:v>
      </x:c>
      <x:c r="R110" s="111" t="n">
        <x:f>IFERROR(VLOOKUP($A110,'Andy FLEX'!$A$6:$N$278,9,FALSE),"")</x:f>
        <x:v>0</x:v>
      </x:c>
      <x:c r="S110" s="111" t="n">
        <x:f>IFERROR(VLOOKUP($A110,'Andy FLEX'!$A$6:$N$278,10,FALSE),"")</x:f>
        <x:v>55</x:v>
      </x:c>
      <x:c r="T110" s="111" t="n">
        <x:f>IFERROR(VLOOKUP($A110,'Andy FLEX'!$A$6:$N$278,11,FALSE),"")</x:f>
        <x:v>637</x:v>
      </x:c>
      <x:c r="U110" s="111" t="n">
        <x:f>IFERROR(VLOOKUP($A110,'Andy FLEX'!$A$6:$N$278,12,FALSE),"")</x:f>
        <x:v>5</x:v>
      </x:c>
      <x:c r="V110" s="111" t="n">
        <x:f>IFERROR(VLOOKUP($A110,'Andy FLEX'!$A$6:$N$278,13,FALSE),"")</x:f>
        <x:v>1</x:v>
      </x:c>
      <x:c r="W110" s="109" t="n">
        <x:f>IFERROR(VLOOKUP($A110,'Jason FLEX'!$A$6:$N$268,5,FALSE),"")</x:f>
        <x:v>87</x:v>
      </x:c>
      <x:c r="X110" s="110" t="n">
        <x:f>IFERROR(VLOOKUP($A110,'Jason FLEX'!$A$6:$N$268,6,FALSE),"")</x:f>
        <x:v>10.1</x:v>
      </x:c>
      <x:c r="Y110" s="111" t="n">
        <x:f>IFERROR(VLOOKUP($A110,'Jason FLEX'!$A$6:$N$268,7,FALSE),"")</x:f>
        <x:v>0</x:v>
      </x:c>
      <x:c r="Z110" s="111" t="n">
        <x:f>IFERROR(VLOOKUP($A110,'Jason FLEX'!$A$6:$N$268,8,FALSE),"")</x:f>
        <x:v>0</x:v>
      </x:c>
      <x:c r="AA110" s="111" t="n">
        <x:f>IFERROR(VLOOKUP($A110,'Jason FLEX'!$A$6:$N$268,9,FALSE),"")</x:f>
        <x:v>0</x:v>
      </x:c>
      <x:c r="AB110" s="111" t="n">
        <x:f>IFERROR(VLOOKUP($A110,'Jason FLEX'!$A$6:$N$268,10,FALSE),"")</x:f>
        <x:v>59</x:v>
      </x:c>
      <x:c r="AC110" s="111" t="n">
        <x:f>IFERROR(VLOOKUP($A110,'Jason FLEX'!$A$6:$N$268,11,FALSE),"")</x:f>
        <x:v>669</x:v>
      </x:c>
      <x:c r="AD110" s="111" t="n">
        <x:f>IFERROR(VLOOKUP($A110,'Jason FLEX'!$A$6:$N$268,12,FALSE),"")</x:f>
        <x:v>8</x:v>
      </x:c>
      <x:c r="AE110" s="111" t="n">
        <x:f>IFERROR(VLOOKUP($A110,'Jason FLEX'!$A$6:$N$268,13,FALSE),"")</x:f>
        <x:v>0</x:v>
      </x:c>
      <x:c r="AF110" s="110" t="n">
        <x:f>IF(COUNT(E110,N110,W110)=0,"",AVERAGE(E110,N110,W110))</x:f>
        <x:v>103</x:v>
      </x:c>
      <x:c r="AG110" s="110" t="n">
        <x:f>IF(COUNT(E110,N110,W110)=0,"",MAX(E110,N110,W110)-MIN(E110,N110,W110))</x:f>
        <x:v>25</x:v>
      </x:c>
      <x:c r="AH110" s="110" t="n">
        <x:f>IF(COUNT(F110,O110,X110)=0,"",AVERAGE(F110,O110,X110))</x:f>
        <x:v>9.166666666666666</x:v>
      </x:c>
      <x:c r="AI110" s="112" t="n">
        <x:f>IF(COUNT(G110,P110,Y110)=0,"",AVERAGE(G110,P110,Y110))</x:f>
        <x:v>0.6666666666666666</x:v>
      </x:c>
      <x:c r="AJ110" s="112" t="n">
        <x:f>IF(COUNT(H110,Q110,Z110)=0,"",AVERAGE(H110,Q110,Z110))</x:f>
        <x:v>3.3333333333333335</x:v>
      </x:c>
      <x:c r="AK110" s="112" t="n">
        <x:f>IF(COUNT(I110,R110,AA110)=0,"",AVERAGE(I110,R110,AA110))</x:f>
        <x:v>0</x:v>
      </x:c>
      <x:c r="AL110" s="112" t="n">
        <x:f>IF(COUNT(J110,S110,AB110)=0,"",AVERAGE(J110,S110,AB110))</x:f>
        <x:v>57.666666666666664</x:v>
      </x:c>
      <x:c r="AM110" s="112" t="n">
        <x:f>IF(COUNT(K110,T110,AC110)=0,"",AVERAGE(K110,T110,AC110))</x:f>
        <x:v>652</x:v>
      </x:c>
      <x:c r="AN110" s="112" t="n">
        <x:f>IF(COUNT(L110,U110,AD110)=0,"",AVERAGE(L110,U110,AD110))</x:f>
        <x:v>5.666666666666667</x:v>
      </x:c>
      <x:c r="AO110" s="112" t="n">
        <x:f>IF(COUNT(M110,V110,AE110)=0,"",AVERAGE(M110,V110,AE110))</x:f>
        <x:v>0.3333333333333333</x:v>
      </x:c>
    </x:row>
    <x:row r="111">
      <x:c r="A111" s="107" t="str">
        <x:v>Rashid Shaheed</x:v>
      </x:c>
      <x:c r="B111" s="108" t="str">
        <x:v>WR</x:v>
      </x:c>
      <x:c r="C111" s="108" t="str">
        <x:v>SEA</x:v>
      </x:c>
      <x:c r="D111" s="109" t="n">
        <x:v>11</x:v>
      </x:c>
      <x:c r="E111" s="109" t="n">
        <x:f>IFERROR(VLOOKUP($A111,'Mike FLEX'!$A$6:$N$278,5,FALSE),"")</x:f>
        <x:v>106</x:v>
      </x:c>
      <x:c r="F111" s="110" t="n">
        <x:f>IFERROR(VLOOKUP($A111,'Mike FLEX'!$A$6:$N$278,6,FALSE),"")</x:f>
        <x:v>9.2</x:v>
      </x:c>
      <x:c r="G111" s="111" t="n">
        <x:f>IFERROR(VLOOKUP($A111,'Mike FLEX'!$A$6:$N$278,7,FALSE),"")</x:f>
        <x:v>5</x:v>
      </x:c>
      <x:c r="H111" s="111" t="n">
        <x:f>IFERROR(VLOOKUP($A111,'Mike FLEX'!$A$6:$N$278,8,FALSE),"")</x:f>
        <x:v>35</x:v>
      </x:c>
      <x:c r="I111" s="111" t="n">
        <x:f>IFERROR(VLOOKUP($A111,'Mike FLEX'!$A$6:$N$278,9,FALSE),"")</x:f>
        <x:v>0</x:v>
      </x:c>
      <x:c r="J111" s="111" t="n">
        <x:f>IFERROR(VLOOKUP($A111,'Mike FLEX'!$A$6:$N$278,10,FALSE),"")</x:f>
        <x:v>53</x:v>
      </x:c>
      <x:c r="K111" s="111" t="n">
        <x:f>IFERROR(VLOOKUP($A111,'Mike FLEX'!$A$6:$N$278,11,FALSE),"")</x:f>
        <x:v>730</x:v>
      </x:c>
      <x:c r="L111" s="111" t="n">
        <x:f>IFERROR(VLOOKUP($A111,'Mike FLEX'!$A$6:$N$278,12,FALSE),"")</x:f>
        <x:v>4</x:v>
      </x:c>
      <x:c r="M111" s="111" t="n">
        <x:f>IFERROR(VLOOKUP($A111,'Mike FLEX'!$A$6:$N$278,13,FALSE),"")</x:f>
        <x:v>0</x:v>
      </x:c>
      <x:c r="N111" s="109" t="n">
        <x:f>IFERROR(VLOOKUP($A111,'Andy FLEX'!$A$6:$N$278,5,FALSE),"")</x:f>
        <x:v>113</x:v>
      </x:c>
      <x:c r="O111" s="110" t="n">
        <x:f>IFERROR(VLOOKUP($A111,'Andy FLEX'!$A$6:$N$278,6,FALSE),"")</x:f>
        <x:v>8.5</x:v>
      </x:c>
      <x:c r="P111" s="111" t="n">
        <x:f>IFERROR(VLOOKUP($A111,'Andy FLEX'!$A$6:$N$278,7,FALSE),"")</x:f>
        <x:v>8</x:v>
      </x:c>
      <x:c r="Q111" s="111" t="n">
        <x:f>IFERROR(VLOOKUP($A111,'Andy FLEX'!$A$6:$N$278,8,FALSE),"")</x:f>
        <x:v>55</x:v>
      </x:c>
      <x:c r="R111" s="111" t="n">
        <x:f>IFERROR(VLOOKUP($A111,'Andy FLEX'!$A$6:$N$278,9,FALSE),"")</x:f>
        <x:v>0</x:v>
      </x:c>
      <x:c r="S111" s="111" t="n">
        <x:f>IFERROR(VLOOKUP($A111,'Andy FLEX'!$A$6:$N$278,10,FALSE),"")</x:f>
        <x:v>56</x:v>
      </x:c>
      <x:c r="T111" s="111" t="n">
        <x:f>IFERROR(VLOOKUP($A111,'Andy FLEX'!$A$6:$N$278,11,FALSE),"")</x:f>
        <x:v>662</x:v>
      </x:c>
      <x:c r="U111" s="111" t="n">
        <x:f>IFERROR(VLOOKUP($A111,'Andy FLEX'!$A$6:$N$278,12,FALSE),"")</x:f>
        <x:v>3</x:v>
      </x:c>
      <x:c r="V111" s="111" t="n">
        <x:f>IFERROR(VLOOKUP($A111,'Andy FLEX'!$A$6:$N$278,13,FALSE),"")</x:f>
        <x:v>1</x:v>
      </x:c>
      <x:c r="W111" s="109" t="n">
        <x:f>IFERROR(VLOOKUP($A111,'Jason FLEX'!$A$6:$N$268,5,FALSE),"")</x:f>
        <x:v>90</x:v>
      </x:c>
      <x:c r="X111" s="110" t="n">
        <x:f>IFERROR(VLOOKUP($A111,'Jason FLEX'!$A$6:$N$268,6,FALSE),"")</x:f>
        <x:v>10</x:v>
      </x:c>
      <x:c r="Y111" s="111" t="n">
        <x:f>IFERROR(VLOOKUP($A111,'Jason FLEX'!$A$6:$N$268,7,FALSE),"")</x:f>
        <x:v>15</x:v>
      </x:c>
      <x:c r="Z111" s="111" t="n">
        <x:f>IFERROR(VLOOKUP($A111,'Jason FLEX'!$A$6:$N$268,8,FALSE),"")</x:f>
        <x:v>85</x:v>
      </x:c>
      <x:c r="AA111" s="111" t="n">
        <x:f>IFERROR(VLOOKUP($A111,'Jason FLEX'!$A$6:$N$268,9,FALSE),"")</x:f>
        <x:v>1</x:v>
      </x:c>
      <x:c r="AB111" s="111" t="n">
        <x:f>IFERROR(VLOOKUP($A111,'Jason FLEX'!$A$6:$N$268,10,FALSE),"")</x:f>
        <x:v>52</x:v>
      </x:c>
      <x:c r="AC111" s="111" t="n">
        <x:f>IFERROR(VLOOKUP($A111,'Jason FLEX'!$A$6:$N$268,11,FALSE),"")</x:f>
        <x:v>780</x:v>
      </x:c>
      <x:c r="AD111" s="111" t="n">
        <x:f>IFERROR(VLOOKUP($A111,'Jason FLEX'!$A$6:$N$268,12,FALSE),"")</x:f>
        <x:v>5</x:v>
      </x:c>
      <x:c r="AE111" s="111" t="n">
        <x:f>IFERROR(VLOOKUP($A111,'Jason FLEX'!$A$6:$N$268,13,FALSE),"")</x:f>
        <x:v>0</x:v>
      </x:c>
      <x:c r="AF111" s="110" t="n">
        <x:f>IF(COUNT(E111,N111,W111)=0,"",AVERAGE(E111,N111,W111))</x:f>
        <x:v>103</x:v>
      </x:c>
      <x:c r="AG111" s="110" t="n">
        <x:f>IF(COUNT(E111,N111,W111)=0,"",MAX(E111,N111,W111)-MIN(E111,N111,W111))</x:f>
        <x:v>23</x:v>
      </x:c>
      <x:c r="AH111" s="110" t="n">
        <x:f>IF(COUNT(F111,O111,X111)=0,"",AVERAGE(F111,O111,X111))</x:f>
        <x:v>9.233333333333333</x:v>
      </x:c>
      <x:c r="AI111" s="112" t="n">
        <x:f>IF(COUNT(G111,P111,Y111)=0,"",AVERAGE(G111,P111,Y111))</x:f>
        <x:v>9.333333333333334</x:v>
      </x:c>
      <x:c r="AJ111" s="112" t="n">
        <x:f>IF(COUNT(H111,Q111,Z111)=0,"",AVERAGE(H111,Q111,Z111))</x:f>
        <x:v>58.333333333333336</x:v>
      </x:c>
      <x:c r="AK111" s="112" t="n">
        <x:f>IF(COUNT(I111,R111,AA111)=0,"",AVERAGE(I111,R111,AA111))</x:f>
        <x:v>0.3333333333333333</x:v>
      </x:c>
      <x:c r="AL111" s="112" t="n">
        <x:f>IF(COUNT(J111,S111,AB111)=0,"",AVERAGE(J111,S111,AB111))</x:f>
        <x:v>53.666666666666664</x:v>
      </x:c>
      <x:c r="AM111" s="112" t="n">
        <x:f>IF(COUNT(K111,T111,AC111)=0,"",AVERAGE(K111,T111,AC111))</x:f>
        <x:v>724</x:v>
      </x:c>
      <x:c r="AN111" s="112" t="n">
        <x:f>IF(COUNT(L111,U111,AD111)=0,"",AVERAGE(L111,U111,AD111))</x:f>
        <x:v>4</x:v>
      </x:c>
      <x:c r="AO111" s="112" t="n">
        <x:f>IF(COUNT(M111,V111,AE111)=0,"",AVERAGE(M111,V111,AE111))</x:f>
        <x:v>0.3333333333333333</x:v>
      </x:c>
    </x:row>
    <x:row r="112">
      <x:c r="A112" s="107" t="str">
        <x:v>Kayshon Boutte</x:v>
      </x:c>
      <x:c r="B112" s="108" t="str">
        <x:v>WR</x:v>
      </x:c>
      <x:c r="C112" s="108" t="str">
        <x:v>HOU</x:v>
      </x:c>
      <x:c r="D112" s="109" t="n">
        <x:v>8</x:v>
      </x:c>
      <x:c r="E112" s="109" t="n">
        <x:f>IFERROR(VLOOKUP($A112,'Mike FLEX'!$A$6:$N$278,5,FALSE),"")</x:f>
        <x:v>92</x:v>
      </x:c>
      <x:c r="F112" s="110" t="n">
        <x:f>IFERROR(VLOOKUP($A112,'Mike FLEX'!$A$6:$N$278,6,FALSE),"")</x:f>
        <x:v>9.9</x:v>
      </x:c>
      <x:c r="G112" s="111" t="n">
        <x:f>IFERROR(VLOOKUP($A112,'Mike FLEX'!$A$6:$N$278,7,FALSE),"")</x:f>
        <x:v>0</x:v>
      </x:c>
      <x:c r="H112" s="111" t="n">
        <x:f>IFERROR(VLOOKUP($A112,'Mike FLEX'!$A$6:$N$278,8,FALSE),"")</x:f>
        <x:v>0</x:v>
      </x:c>
      <x:c r="I112" s="111" t="n">
        <x:f>IFERROR(VLOOKUP($A112,'Mike FLEX'!$A$6:$N$278,9,FALSE),"")</x:f>
        <x:v>0</x:v>
      </x:c>
      <x:c r="J112" s="111" t="n">
        <x:f>IFERROR(VLOOKUP($A112,'Mike FLEX'!$A$6:$N$278,10,FALSE),"")</x:f>
        <x:v>58</x:v>
      </x:c>
      <x:c r="K112" s="111" t="n">
        <x:f>IFERROR(VLOOKUP($A112,'Mike FLEX'!$A$6:$N$278,11,FALSE),"")</x:f>
        <x:v>810</x:v>
      </x:c>
      <x:c r="L112" s="111" t="n">
        <x:f>IFERROR(VLOOKUP($A112,'Mike FLEX'!$A$6:$N$278,12,FALSE),"")</x:f>
        <x:v>5</x:v>
      </x:c>
      <x:c r="M112" s="111" t="n">
        <x:f>IFERROR(VLOOKUP($A112,'Mike FLEX'!$A$6:$N$278,13,FALSE),"")</x:f>
        <x:v>0</x:v>
      </x:c>
      <x:c r="N112" s="109" t="n">
        <x:f>IFERROR(VLOOKUP($A112,'Andy FLEX'!$A$6:$N$278,5,FALSE),"")</x:f>
        <x:v>117</x:v>
      </x:c>
      <x:c r="O112" s="110" t="n">
        <x:f>IFERROR(VLOOKUP($A112,'Andy FLEX'!$A$6:$N$278,6,FALSE),"")</x:f>
        <x:v>8.3</x:v>
      </x:c>
      <x:c r="P112" s="111" t="n">
        <x:f>IFERROR(VLOOKUP($A112,'Andy FLEX'!$A$6:$N$278,7,FALSE),"")</x:f>
        <x:v>3</x:v>
      </x:c>
      <x:c r="Q112" s="111" t="n">
        <x:f>IFERROR(VLOOKUP($A112,'Andy FLEX'!$A$6:$N$278,8,FALSE),"")</x:f>
        <x:v>23</x:v>
      </x:c>
      <x:c r="R112" s="111" t="n">
        <x:f>IFERROR(VLOOKUP($A112,'Andy FLEX'!$A$6:$N$278,9,FALSE),"")</x:f>
        <x:v>0</x:v>
      </x:c>
      <x:c r="S112" s="111" t="n">
        <x:f>IFERROR(VLOOKUP($A112,'Andy FLEX'!$A$6:$N$278,10,FALSE),"")</x:f>
        <x:v>50</x:v>
      </x:c>
      <x:c r="T112" s="111" t="n">
        <x:f>IFERROR(VLOOKUP($A112,'Andy FLEX'!$A$6:$N$278,11,FALSE),"")</x:f>
        <x:v>693</x:v>
      </x:c>
      <x:c r="U112" s="111" t="n">
        <x:f>IFERROR(VLOOKUP($A112,'Andy FLEX'!$A$6:$N$278,12,FALSE),"")</x:f>
        <x:v>3</x:v>
      </x:c>
      <x:c r="V112" s="111" t="n">
        <x:f>IFERROR(VLOOKUP($A112,'Andy FLEX'!$A$6:$N$278,13,FALSE),"")</x:f>
        <x:v>1</x:v>
      </x:c>
      <x:c r="W112" s="109" t="n">
        <x:f>IFERROR(VLOOKUP($A112,'Jason FLEX'!$A$6:$N$268,5,FALSE),"")</x:f>
        <x:v>102</x:v>
      </x:c>
      <x:c r="X112" s="110" t="n">
        <x:f>IFERROR(VLOOKUP($A112,'Jason FLEX'!$A$6:$N$268,6,FALSE),"")</x:f>
        <x:v>9.5</x:v>
      </x:c>
      <x:c r="Y112" s="111" t="n">
        <x:f>IFERROR(VLOOKUP($A112,'Jason FLEX'!$A$6:$N$268,7,FALSE),"")</x:f>
        <x:v>0</x:v>
      </x:c>
      <x:c r="Z112" s="111" t="n">
        <x:f>IFERROR(VLOOKUP($A112,'Jason FLEX'!$A$6:$N$268,8,FALSE),"")</x:f>
        <x:v>0</x:v>
      </x:c>
      <x:c r="AA112" s="111" t="n">
        <x:f>IFERROR(VLOOKUP($A112,'Jason FLEX'!$A$6:$N$268,9,FALSE),"")</x:f>
        <x:v>0</x:v>
      </x:c>
      <x:c r="AB112" s="111" t="n">
        <x:f>IFERROR(VLOOKUP($A112,'Jason FLEX'!$A$6:$N$268,10,FALSE),"")</x:f>
        <x:v>64</x:v>
      </x:c>
      <x:c r="AC112" s="111" t="n">
        <x:f>IFERROR(VLOOKUP($A112,'Jason FLEX'!$A$6:$N$268,11,FALSE),"")</x:f>
        <x:v>732</x:v>
      </x:c>
      <x:c r="AD112" s="111" t="n">
        <x:f>IFERROR(VLOOKUP($A112,'Jason FLEX'!$A$6:$N$268,12,FALSE),"")</x:f>
        <x:v>4</x:v>
      </x:c>
      <x:c r="AE112" s="111" t="n">
        <x:f>IFERROR(VLOOKUP($A112,'Jason FLEX'!$A$6:$N$268,13,FALSE),"")</x:f>
        <x:v>0</x:v>
      </x:c>
      <x:c r="AF112" s="110" t="n">
        <x:f>IF(COUNT(E112,N112,W112)=0,"",AVERAGE(E112,N112,W112))</x:f>
        <x:v>103.66666666666667</x:v>
      </x:c>
      <x:c r="AG112" s="110" t="n">
        <x:f>IF(COUNT(E112,N112,W112)=0,"",MAX(E112,N112,W112)-MIN(E112,N112,W112))</x:f>
        <x:v>25</x:v>
      </x:c>
      <x:c r="AH112" s="110" t="n">
        <x:f>IF(COUNT(F112,O112,X112)=0,"",AVERAGE(F112,O112,X112))</x:f>
        <x:v>9.233333333333334</x:v>
      </x:c>
      <x:c r="AI112" s="112" t="n">
        <x:f>IF(COUNT(G112,P112,Y112)=0,"",AVERAGE(G112,P112,Y112))</x:f>
        <x:v>1</x:v>
      </x:c>
      <x:c r="AJ112" s="112" t="n">
        <x:f>IF(COUNT(H112,Q112,Z112)=0,"",AVERAGE(H112,Q112,Z112))</x:f>
        <x:v>7.666666666666667</x:v>
      </x:c>
      <x:c r="AK112" s="112" t="n">
        <x:f>IF(COUNT(I112,R112,AA112)=0,"",AVERAGE(I112,R112,AA112))</x:f>
        <x:v>0</x:v>
      </x:c>
      <x:c r="AL112" s="112" t="n">
        <x:f>IF(COUNT(J112,S112,AB112)=0,"",AVERAGE(J112,S112,AB112))</x:f>
        <x:v>57.333333333333336</x:v>
      </x:c>
      <x:c r="AM112" s="112" t="n">
        <x:f>IF(COUNT(K112,T112,AC112)=0,"",AVERAGE(K112,T112,AC112))</x:f>
        <x:v>745</x:v>
      </x:c>
      <x:c r="AN112" s="112" t="n">
        <x:f>IF(COUNT(L112,U112,AD112)=0,"",AVERAGE(L112,U112,AD112))</x:f>
        <x:v>4</x:v>
      </x:c>
      <x:c r="AO112" s="112" t="n">
        <x:f>IF(COUNT(M112,V112,AE112)=0,"",AVERAGE(M112,V112,AE112))</x:f>
        <x:v>0.3333333333333333</x:v>
      </x:c>
    </x:row>
    <x:row r="113">
      <x:c r="A113" s="107" t="str">
        <x:v>Kyle Monangai</x:v>
      </x:c>
      <x:c r="B113" s="108" t="str">
        <x:v>RB</x:v>
      </x:c>
      <x:c r="C113" s="108" t="str">
        <x:v>CHI</x:v>
      </x:c>
      <x:c r="D113" s="109" t="n">
        <x:v>10</x:v>
      </x:c>
      <x:c r="E113" s="109" t="n">
        <x:f>IFERROR(VLOOKUP($A113,'Mike FLEX'!$A$6:$N$278,5,FALSE),"")</x:f>
        <x:v>98</x:v>
      </x:c>
      <x:c r="F113" s="110" t="n">
        <x:f>IFERROR(VLOOKUP($A113,'Mike FLEX'!$A$6:$N$278,6,FALSE),"")</x:f>
        <x:v>9.4</x:v>
      </x:c>
      <x:c r="G113" s="111" t="n">
        <x:f>IFERROR(VLOOKUP($A113,'Mike FLEX'!$A$6:$N$278,7,FALSE),"")</x:f>
        <x:v>178</x:v>
      </x:c>
      <x:c r="H113" s="111" t="n">
        <x:f>IFERROR(VLOOKUP($A113,'Mike FLEX'!$A$6:$N$278,8,FALSE),"")</x:f>
        <x:v>819</x:v>
      </x:c>
      <x:c r="I113" s="111" t="n">
        <x:f>IFERROR(VLOOKUP($A113,'Mike FLEX'!$A$6:$N$278,9,FALSE),"")</x:f>
        <x:v>6</x:v>
      </x:c>
      <x:c r="J113" s="111" t="n">
        <x:f>IFERROR(VLOOKUP($A113,'Mike FLEX'!$A$6:$N$278,10,FALSE),"")</x:f>
        <x:v>21</x:v>
      </x:c>
      <x:c r="K113" s="111" t="n">
        <x:f>IFERROR(VLOOKUP($A113,'Mike FLEX'!$A$6:$N$278,11,FALSE),"")</x:f>
        <x:v>186</x:v>
      </x:c>
      <x:c r="L113" s="111" t="n">
        <x:f>IFERROR(VLOOKUP($A113,'Mike FLEX'!$A$6:$N$278,12,FALSE),"")</x:f>
        <x:v>1</x:v>
      </x:c>
      <x:c r="M113" s="111" t="n">
        <x:f>IFERROR(VLOOKUP($A113,'Mike FLEX'!$A$6:$N$278,13,FALSE),"")</x:f>
        <x:v>0</x:v>
      </x:c>
      <x:c r="N113" s="109" t="n">
        <x:f>IFERROR(VLOOKUP($A113,'Andy FLEX'!$A$6:$N$278,5,FALSE),"")</x:f>
        <x:v>105</x:v>
      </x:c>
      <x:c r="O113" s="110" t="n">
        <x:f>IFERROR(VLOOKUP($A113,'Andy FLEX'!$A$6:$N$278,6,FALSE),"")</x:f>
        <x:v>8.9</x:v>
      </x:c>
      <x:c r="P113" s="111" t="n">
        <x:f>IFERROR(VLOOKUP($A113,'Andy FLEX'!$A$6:$N$278,7,FALSE),"")</x:f>
        <x:v>171</x:v>
      </x:c>
      <x:c r="Q113" s="111" t="n">
        <x:f>IFERROR(VLOOKUP($A113,'Andy FLEX'!$A$6:$N$278,8,FALSE),"")</x:f>
        <x:v>823</x:v>
      </x:c>
      <x:c r="R113" s="111" t="n">
        <x:f>IFERROR(VLOOKUP($A113,'Andy FLEX'!$A$6:$N$278,9,FALSE),"")</x:f>
        <x:v>5</x:v>
      </x:c>
      <x:c r="S113" s="111" t="n">
        <x:f>IFERROR(VLOOKUP($A113,'Andy FLEX'!$A$6:$N$278,10,FALSE),"")</x:f>
        <x:v>21</x:v>
      </x:c>
      <x:c r="T113" s="111" t="n">
        <x:f>IFERROR(VLOOKUP($A113,'Andy FLEX'!$A$6:$N$278,11,FALSE),"")</x:f>
        <x:v>188</x:v>
      </x:c>
      <x:c r="U113" s="111" t="n">
        <x:f>IFERROR(VLOOKUP($A113,'Andy FLEX'!$A$6:$N$278,12,FALSE),"")</x:f>
        <x:v>0</x:v>
      </x:c>
      <x:c r="V113" s="111" t="n">
        <x:f>IFERROR(VLOOKUP($A113,'Andy FLEX'!$A$6:$N$278,13,FALSE),"")</x:f>
        <x:v>0</x:v>
      </x:c>
      <x:c r="W113" s="109" t="n">
        <x:f>IFERROR(VLOOKUP($A113,'Jason FLEX'!$A$6:$N$268,5,FALSE),"")</x:f>
        <x:v>108</x:v>
      </x:c>
      <x:c r="X113" s="110" t="n">
        <x:f>IFERROR(VLOOKUP($A113,'Jason FLEX'!$A$6:$N$268,6,FALSE),"")</x:f>
        <x:v>9.3</x:v>
      </x:c>
      <x:c r="Y113" s="111" t="n">
        <x:f>IFERROR(VLOOKUP($A113,'Jason FLEX'!$A$6:$N$268,7,FALSE),"")</x:f>
        <x:v>165</x:v>
      </x:c>
      <x:c r="Z113" s="111" t="n">
        <x:f>IFERROR(VLOOKUP($A113,'Jason FLEX'!$A$6:$N$268,8,FALSE),"")</x:f>
        <x:v>805</x:v>
      </x:c>
      <x:c r="AA113" s="111" t="n">
        <x:f>IFERROR(VLOOKUP($A113,'Jason FLEX'!$A$6:$N$268,9,FALSE),"")</x:f>
        <x:v>6</x:v>
      </x:c>
      <x:c r="AB113" s="111" t="n">
        <x:f>IFERROR(VLOOKUP($A113,'Jason FLEX'!$A$6:$N$268,10,FALSE),"")</x:f>
        <x:v>22</x:v>
      </x:c>
      <x:c r="AC113" s="111" t="n">
        <x:f>IFERROR(VLOOKUP($A113,'Jason FLEX'!$A$6:$N$268,11,FALSE),"")</x:f>
        <x:v>185</x:v>
      </x:c>
      <x:c r="AD113" s="111" t="n">
        <x:f>IFERROR(VLOOKUP($A113,'Jason FLEX'!$A$6:$N$268,12,FALSE),"")</x:f>
        <x:v>1</x:v>
      </x:c>
      <x:c r="AE113" s="111" t="n">
        <x:f>IFERROR(VLOOKUP($A113,'Jason FLEX'!$A$6:$N$268,13,FALSE),"")</x:f>
        <x:v>1</x:v>
      </x:c>
      <x:c r="AF113" s="110" t="n">
        <x:f>IF(COUNT(E113,N113,W113)=0,"",AVERAGE(E113,N113,W113))</x:f>
        <x:v>103.66666666666667</x:v>
      </x:c>
      <x:c r="AG113" s="110" t="n">
        <x:f>IF(COUNT(E113,N113,W113)=0,"",MAX(E113,N113,W113)-MIN(E113,N113,W113))</x:f>
        <x:v>10</x:v>
      </x:c>
      <x:c r="AH113" s="110" t="n">
        <x:f>IF(COUNT(F113,O113,X113)=0,"",AVERAGE(F113,O113,X113))</x:f>
        <x:v>9.200000000000001</x:v>
      </x:c>
      <x:c r="AI113" s="112" t="n">
        <x:f>IF(COUNT(G113,P113,Y113)=0,"",AVERAGE(G113,P113,Y113))</x:f>
        <x:v>171.33333333333334</x:v>
      </x:c>
      <x:c r="AJ113" s="112" t="n">
        <x:f>IF(COUNT(H113,Q113,Z113)=0,"",AVERAGE(H113,Q113,Z113))</x:f>
        <x:v>815.6666666666666</x:v>
      </x:c>
      <x:c r="AK113" s="112" t="n">
        <x:f>IF(COUNT(I113,R113,AA113)=0,"",AVERAGE(I113,R113,AA113))</x:f>
        <x:v>5.666666666666667</x:v>
      </x:c>
      <x:c r="AL113" s="112" t="n">
        <x:f>IF(COUNT(J113,S113,AB113)=0,"",AVERAGE(J113,S113,AB113))</x:f>
        <x:v>21.333333333333332</x:v>
      </x:c>
      <x:c r="AM113" s="112" t="n">
        <x:f>IF(COUNT(K113,T113,AC113)=0,"",AVERAGE(K113,T113,AC113))</x:f>
        <x:v>186.33333333333334</x:v>
      </x:c>
      <x:c r="AN113" s="112" t="n">
        <x:f>IF(COUNT(L113,U113,AD113)=0,"",AVERAGE(L113,U113,AD113))</x:f>
        <x:v>0.6666666666666666</x:v>
      </x:c>
      <x:c r="AO113" s="112" t="n">
        <x:f>IF(COUNT(M113,V113,AE113)=0,"",AVERAGE(M113,V113,AE113))</x:f>
        <x:v>0.3333333333333333</x:v>
      </x:c>
    </x:row>
    <x:row r="114">
      <x:c r="A114" s="107" t="str">
        <x:v>Matthew Golden</x:v>
      </x:c>
      <x:c r="B114" s="108" t="str">
        <x:v>WR</x:v>
      </x:c>
      <x:c r="C114" s="108" t="str">
        <x:v>GB</x:v>
      </x:c>
      <x:c r="D114" s="109" t="n">
        <x:v>11</x:v>
      </x:c>
      <x:c r="E114" s="109" t="n">
        <x:f>IFERROR(VLOOKUP($A114,'Mike FLEX'!$A$6:$N$278,5,FALSE),"")</x:f>
        <x:v>127</x:v>
      </x:c>
      <x:c r="F114" s="110" t="n">
        <x:f>IFERROR(VLOOKUP($A114,'Mike FLEX'!$A$6:$N$278,6,FALSE),"")</x:f>
        <x:v>7.8</x:v>
      </x:c>
      <x:c r="G114" s="111" t="n">
        <x:f>IFERROR(VLOOKUP($A114,'Mike FLEX'!$A$6:$N$278,7,FALSE),"")</x:f>
        <x:v>10</x:v>
      </x:c>
      <x:c r="H114" s="111" t="n">
        <x:f>IFERROR(VLOOKUP($A114,'Mike FLEX'!$A$6:$N$278,8,FALSE),"")</x:f>
        <x:v>49</x:v>
      </x:c>
      <x:c r="I114" s="111" t="n">
        <x:f>IFERROR(VLOOKUP($A114,'Mike FLEX'!$A$6:$N$278,9,FALSE),"")</x:f>
        <x:v>0</x:v>
      </x:c>
      <x:c r="J114" s="111" t="n">
        <x:f>IFERROR(VLOOKUP($A114,'Mike FLEX'!$A$6:$N$278,10,FALSE),"")</x:f>
        <x:v>49</x:v>
      </x:c>
      <x:c r="K114" s="111" t="n">
        <x:f>IFERROR(VLOOKUP($A114,'Mike FLEX'!$A$6:$N$278,11,FALSE),"")</x:f>
        <x:v>609</x:v>
      </x:c>
      <x:c r="L114" s="111" t="n">
        <x:f>IFERROR(VLOOKUP($A114,'Mike FLEX'!$A$6:$N$278,12,FALSE),"")</x:f>
        <x:v>3</x:v>
      </x:c>
      <x:c r="M114" s="111" t="n">
        <x:f>IFERROR(VLOOKUP($A114,'Mike FLEX'!$A$6:$N$278,13,FALSE),"")</x:f>
        <x:v>0</x:v>
      </x:c>
      <x:c r="N114" s="109" t="n">
        <x:f>IFERROR(VLOOKUP($A114,'Andy FLEX'!$A$6:$N$278,5,FALSE),"")</x:f>
        <x:v>99</x:v>
      </x:c>
      <x:c r="O114" s="110" t="n">
        <x:f>IFERROR(VLOOKUP($A114,'Andy FLEX'!$A$6:$N$278,6,FALSE),"")</x:f>
        <x:v>9.4</x:v>
      </x:c>
      <x:c r="P114" s="111" t="n">
        <x:f>IFERROR(VLOOKUP($A114,'Andy FLEX'!$A$6:$N$278,7,FALSE),"")</x:f>
        <x:v>10</x:v>
      </x:c>
      <x:c r="Q114" s="111" t="n">
        <x:f>IFERROR(VLOOKUP($A114,'Andy FLEX'!$A$6:$N$278,8,FALSE),"")</x:f>
        <x:v>51</x:v>
      </x:c>
      <x:c r="R114" s="111" t="n">
        <x:f>IFERROR(VLOOKUP($A114,'Andy FLEX'!$A$6:$N$278,9,FALSE),"")</x:f>
        <x:v>0</x:v>
      </x:c>
      <x:c r="S114" s="111" t="n">
        <x:f>IFERROR(VLOOKUP($A114,'Andy FLEX'!$A$6:$N$278,10,FALSE),"")</x:f>
        <x:v>55</x:v>
      </x:c>
      <x:c r="T114" s="111" t="n">
        <x:f>IFERROR(VLOOKUP($A114,'Andy FLEX'!$A$6:$N$278,11,FALSE),"")</x:f>
        <x:v>762</x:v>
      </x:c>
      <x:c r="U114" s="111" t="n">
        <x:f>IFERROR(VLOOKUP($A114,'Andy FLEX'!$A$6:$N$278,12,FALSE),"")</x:f>
        <x:v>4</x:v>
      </x:c>
      <x:c r="V114" s="111" t="n">
        <x:f>IFERROR(VLOOKUP($A114,'Andy FLEX'!$A$6:$N$278,13,FALSE),"")</x:f>
        <x:v>1</x:v>
      </x:c>
      <x:c r="W114" s="109" t="n">
        <x:f>IFERROR(VLOOKUP($A114,'Jason FLEX'!$A$6:$N$268,5,FALSE),"")</x:f>
        <x:v>86</x:v>
      </x:c>
      <x:c r="X114" s="110" t="n">
        <x:f>IFERROR(VLOOKUP($A114,'Jason FLEX'!$A$6:$N$268,6,FALSE),"")</x:f>
        <x:v>10.1</x:v>
      </x:c>
      <x:c r="Y114" s="111" t="n">
        <x:f>IFERROR(VLOOKUP($A114,'Jason FLEX'!$A$6:$N$268,7,FALSE),"")</x:f>
        <x:v>7</x:v>
      </x:c>
      <x:c r="Z114" s="111" t="n">
        <x:f>IFERROR(VLOOKUP($A114,'Jason FLEX'!$A$6:$N$268,8,FALSE),"")</x:f>
        <x:v>40</x:v>
      </x:c>
      <x:c r="AA114" s="111" t="n">
        <x:f>IFERROR(VLOOKUP($A114,'Jason FLEX'!$A$6:$N$268,9,FALSE),"")</x:f>
        <x:v>0</x:v>
      </x:c>
      <x:c r="AB114" s="111" t="n">
        <x:f>IFERROR(VLOOKUP($A114,'Jason FLEX'!$A$6:$N$268,10,FALSE),"")</x:f>
        <x:v>56</x:v>
      </x:c>
      <x:c r="AC114" s="111" t="n">
        <x:f>IFERROR(VLOOKUP($A114,'Jason FLEX'!$A$6:$N$268,11,FALSE),"")</x:f>
        <x:v>730</x:v>
      </x:c>
      <x:c r="AD114" s="111" t="n">
        <x:f>IFERROR(VLOOKUP($A114,'Jason FLEX'!$A$6:$N$268,12,FALSE),"")</x:f>
        <x:v>7</x:v>
      </x:c>
      <x:c r="AE114" s="111" t="n">
        <x:f>IFERROR(VLOOKUP($A114,'Jason FLEX'!$A$6:$N$268,13,FALSE),"")</x:f>
        <x:v>0</x:v>
      </x:c>
      <x:c r="AF114" s="110" t="n">
        <x:f>IF(COUNT(E114,N114,W114)=0,"",AVERAGE(E114,N114,W114))</x:f>
        <x:v>104</x:v>
      </x:c>
      <x:c r="AG114" s="110" t="n">
        <x:f>IF(COUNT(E114,N114,W114)=0,"",MAX(E114,N114,W114)-MIN(E114,N114,W114))</x:f>
        <x:v>41</x:v>
      </x:c>
      <x:c r="AH114" s="110" t="n">
        <x:f>IF(COUNT(F114,O114,X114)=0,"",AVERAGE(F114,O114,X114))</x:f>
        <x:v>9.1</x:v>
      </x:c>
      <x:c r="AI114" s="112" t="n">
        <x:f>IF(COUNT(G114,P114,Y114)=0,"",AVERAGE(G114,P114,Y114))</x:f>
        <x:v>9</x:v>
      </x:c>
      <x:c r="AJ114" s="112" t="n">
        <x:f>IF(COUNT(H114,Q114,Z114)=0,"",AVERAGE(H114,Q114,Z114))</x:f>
        <x:v>46.666666666666664</x:v>
      </x:c>
      <x:c r="AK114" s="112" t="n">
        <x:f>IF(COUNT(I114,R114,AA114)=0,"",AVERAGE(I114,R114,AA114))</x:f>
        <x:v>0</x:v>
      </x:c>
      <x:c r="AL114" s="112" t="n">
        <x:f>IF(COUNT(J114,S114,AB114)=0,"",AVERAGE(J114,S114,AB114))</x:f>
        <x:v>53.333333333333336</x:v>
      </x:c>
      <x:c r="AM114" s="112" t="n">
        <x:f>IF(COUNT(K114,T114,AC114)=0,"",AVERAGE(K114,T114,AC114))</x:f>
        <x:v>700.3333333333334</x:v>
      </x:c>
      <x:c r="AN114" s="112" t="n">
        <x:f>IF(COUNT(L114,U114,AD114)=0,"",AVERAGE(L114,U114,AD114))</x:f>
        <x:v>4.666666666666667</x:v>
      </x:c>
      <x:c r="AO114" s="112" t="n">
        <x:f>IF(COUNT(M114,V114,AE114)=0,"",AVERAGE(M114,V114,AE114))</x:f>
        <x:v>0.3333333333333333</x:v>
      </x:c>
    </x:row>
    <x:row r="115">
      <x:c r="A115" s="107" t="str">
        <x:v>Dallas Goedert</x:v>
      </x:c>
      <x:c r="B115" s="108" t="str">
        <x:v>TE</x:v>
      </x:c>
      <x:c r="C115" s="108" t="str">
        <x:v>PHI</x:v>
      </x:c>
      <x:c r="D115" s="109" t="n">
        <x:v>10</x:v>
      </x:c>
      <x:c r="E115" s="109" t="n">
        <x:f>IFERROR(VLOOKUP($A115,'Mike FLEX'!$A$6:$N$278,5,FALSE),"")</x:f>
        <x:v>110</x:v>
      </x:c>
      <x:c r="F115" s="110" t="n">
        <x:f>IFERROR(VLOOKUP($A115,'Mike FLEX'!$A$6:$N$278,6,FALSE),"")</x:f>
        <x:v>9</x:v>
      </x:c>
      <x:c r="G115" s="111" t="n">
        <x:f>IFERROR(VLOOKUP($A115,'Mike FLEX'!$A$6:$N$278,7,FALSE),"")</x:f>
        <x:v>0</x:v>
      </x:c>
      <x:c r="H115" s="111" t="n">
        <x:f>IFERROR(VLOOKUP($A115,'Mike FLEX'!$A$6:$N$278,8,FALSE),"")</x:f>
        <x:v>0</x:v>
      </x:c>
      <x:c r="I115" s="111" t="n">
        <x:f>IFERROR(VLOOKUP($A115,'Mike FLEX'!$A$6:$N$278,9,FALSE),"")</x:f>
        <x:v>0</x:v>
      </x:c>
      <x:c r="J115" s="111" t="n">
        <x:f>IFERROR(VLOOKUP($A115,'Mike FLEX'!$A$6:$N$278,10,FALSE),"")</x:f>
        <x:v>63</x:v>
      </x:c>
      <x:c r="K115" s="111" t="n">
        <x:f>IFERROR(VLOOKUP($A115,'Mike FLEX'!$A$6:$N$278,11,FALSE),"")</x:f>
        <x:v>631</x:v>
      </x:c>
      <x:c r="L115" s="111" t="n">
        <x:f>IFERROR(VLOOKUP($A115,'Mike FLEX'!$A$6:$N$278,12,FALSE),"")</x:f>
        <x:v>5</x:v>
      </x:c>
      <x:c r="M115" s="111" t="n">
        <x:f>IFERROR(VLOOKUP($A115,'Mike FLEX'!$A$6:$N$278,13,FALSE),"")</x:f>
        <x:v>1</x:v>
      </x:c>
      <x:c r="N115" s="109" t="n">
        <x:f>IFERROR(VLOOKUP($A115,'Andy FLEX'!$A$6:$N$278,5,FALSE),"")</x:f>
        <x:v>96</x:v>
      </x:c>
      <x:c r="O115" s="110" t="n">
        <x:f>IFERROR(VLOOKUP($A115,'Andy FLEX'!$A$6:$N$278,6,FALSE),"")</x:f>
        <x:v>9.7</x:v>
      </x:c>
      <x:c r="P115" s="111" t="n">
        <x:f>IFERROR(VLOOKUP($A115,'Andy FLEX'!$A$6:$N$278,7,FALSE),"")</x:f>
        <x:v>2</x:v>
      </x:c>
      <x:c r="Q115" s="111" t="n">
        <x:f>IFERROR(VLOOKUP($A115,'Andy FLEX'!$A$6:$N$278,8,FALSE),"")</x:f>
        <x:v>7</x:v>
      </x:c>
      <x:c r="R115" s="111" t="n">
        <x:f>IFERROR(VLOOKUP($A115,'Andy FLEX'!$A$6:$N$278,9,FALSE),"")</x:f>
        <x:v>0</x:v>
      </x:c>
      <x:c r="S115" s="111" t="n">
        <x:f>IFERROR(VLOOKUP($A115,'Andy FLEX'!$A$6:$N$278,10,FALSE),"")</x:f>
        <x:v>62</x:v>
      </x:c>
      <x:c r="T115" s="111" t="n">
        <x:f>IFERROR(VLOOKUP($A115,'Andy FLEX'!$A$6:$N$278,11,FALSE),"")</x:f>
        <x:v>650</x:v>
      </x:c>
      <x:c r="U115" s="111" t="n">
        <x:f>IFERROR(VLOOKUP($A115,'Andy FLEX'!$A$6:$N$278,12,FALSE),"")</x:f>
        <x:v>6</x:v>
      </x:c>
      <x:c r="V115" s="111" t="n">
        <x:f>IFERROR(VLOOKUP($A115,'Andy FLEX'!$A$6:$N$278,13,FALSE),"")</x:f>
        <x:v>1</x:v>
      </x:c>
      <x:c r="W115" s="109" t="n">
        <x:f>IFERROR(VLOOKUP($A115,'Jason FLEX'!$A$6:$N$268,5,FALSE),"")</x:f>
        <x:v>114</x:v>
      </x:c>
      <x:c r="X115" s="110" t="n">
        <x:f>IFERROR(VLOOKUP($A115,'Jason FLEX'!$A$6:$N$268,6,FALSE),"")</x:f>
        <x:v>9</x:v>
      </x:c>
      <x:c r="Y115" s="111" t="n">
        <x:f>IFERROR(VLOOKUP($A115,'Jason FLEX'!$A$6:$N$268,7,FALSE),"")</x:f>
        <x:v>0</x:v>
      </x:c>
      <x:c r="Z115" s="111" t="n">
        <x:f>IFERROR(VLOOKUP($A115,'Jason FLEX'!$A$6:$N$268,8,FALSE),"")</x:f>
        <x:v>0</x:v>
      </x:c>
      <x:c r="AA115" s="111" t="n">
        <x:f>IFERROR(VLOOKUP($A115,'Jason FLEX'!$A$6:$N$268,9,FALSE),"")</x:f>
        <x:v>0</x:v>
      </x:c>
      <x:c r="AB115" s="111" t="n">
        <x:f>IFERROR(VLOOKUP($A115,'Jason FLEX'!$A$6:$N$268,10,FALSE),"")</x:f>
        <x:v>57</x:v>
      </x:c>
      <x:c r="AC115" s="111" t="n">
        <x:f>IFERROR(VLOOKUP($A115,'Jason FLEX'!$A$6:$N$268,11,FALSE),"")</x:f>
        <x:v>547</x:v>
      </x:c>
      <x:c r="AD115" s="111" t="n">
        <x:f>IFERROR(VLOOKUP($A115,'Jason FLEX'!$A$6:$N$268,12,FALSE),"")</x:f>
        <x:v>7</x:v>
      </x:c>
      <x:c r="AE115" s="111" t="n">
        <x:f>IFERROR(VLOOKUP($A115,'Jason FLEX'!$A$6:$N$268,13,FALSE),"")</x:f>
        <x:v>0</x:v>
      </x:c>
      <x:c r="AF115" s="110" t="n">
        <x:f>IF(COUNT(E115,N115,W115)=0,"",AVERAGE(E115,N115,W115))</x:f>
        <x:v>106.66666666666667</x:v>
      </x:c>
      <x:c r="AG115" s="110" t="n">
        <x:f>IF(COUNT(E115,N115,W115)=0,"",MAX(E115,N115,W115)-MIN(E115,N115,W115))</x:f>
        <x:v>18</x:v>
      </x:c>
      <x:c r="AH115" s="110" t="n">
        <x:f>IF(COUNT(F115,O115,X115)=0,"",AVERAGE(F115,O115,X115))</x:f>
        <x:v>9.233333333333333</x:v>
      </x:c>
      <x:c r="AI115" s="112" t="n">
        <x:f>IF(COUNT(G115,P115,Y115)=0,"",AVERAGE(G115,P115,Y115))</x:f>
        <x:v>0.6666666666666666</x:v>
      </x:c>
      <x:c r="AJ115" s="112" t="n">
        <x:f>IF(COUNT(H115,Q115,Z115)=0,"",AVERAGE(H115,Q115,Z115))</x:f>
        <x:v>2.3333333333333335</x:v>
      </x:c>
      <x:c r="AK115" s="112" t="n">
        <x:f>IF(COUNT(I115,R115,AA115)=0,"",AVERAGE(I115,R115,AA115))</x:f>
        <x:v>0</x:v>
      </x:c>
      <x:c r="AL115" s="112" t="n">
        <x:f>IF(COUNT(J115,S115,AB115)=0,"",AVERAGE(J115,S115,AB115))</x:f>
        <x:v>60.666666666666664</x:v>
      </x:c>
      <x:c r="AM115" s="112" t="n">
        <x:f>IF(COUNT(K115,T115,AC115)=0,"",AVERAGE(K115,T115,AC115))</x:f>
        <x:v>609.3333333333334</x:v>
      </x:c>
      <x:c r="AN115" s="112" t="n">
        <x:f>IF(COUNT(L115,U115,AD115)=0,"",AVERAGE(L115,U115,AD115))</x:f>
        <x:v>6</x:v>
      </x:c>
      <x:c r="AO115" s="112" t="n">
        <x:f>IF(COUNT(M115,V115,AE115)=0,"",AVERAGE(M115,V115,AE115))</x:f>
        <x:v>0.6666666666666666</x:v>
      </x:c>
    </x:row>
    <x:row r="116">
      <x:c r="A116" s="107" t="str">
        <x:v>Keenan Allen</x:v>
      </x:c>
      <x:c r="B116" s="108" t="str">
        <x:v>WR</x:v>
      </x:c>
      <x:c r="C116" s="108" t="str">
        <x:v>IND</x:v>
      </x:c>
      <x:c r="D116" s="109" t="n">
        <x:v>13</x:v>
      </x:c>
      <x:c r="E116" s="109" t="n">
        <x:f>IFERROR(VLOOKUP($A116,'Mike FLEX'!$A$6:$N$278,5,FALSE),"")</x:f>
        <x:v>86</x:v>
      </x:c>
      <x:c r="F116" s="110" t="n">
        <x:f>IFERROR(VLOOKUP($A116,'Mike FLEX'!$A$6:$N$278,6,FALSE),"")</x:f>
        <x:v>10.2</x:v>
      </x:c>
      <x:c r="G116" s="111" t="n">
        <x:f>IFERROR(VLOOKUP($A116,'Mike FLEX'!$A$6:$N$278,7,FALSE),"")</x:f>
        <x:v>0</x:v>
      </x:c>
      <x:c r="H116" s="111" t="n">
        <x:f>IFERROR(VLOOKUP($A116,'Mike FLEX'!$A$6:$N$278,8,FALSE),"")</x:f>
        <x:v>0</x:v>
      </x:c>
      <x:c r="I116" s="111" t="n">
        <x:f>IFERROR(VLOOKUP($A116,'Mike FLEX'!$A$6:$N$278,9,FALSE),"")</x:f>
        <x:v>0</x:v>
      </x:c>
      <x:c r="J116" s="111" t="n">
        <x:f>IFERROR(VLOOKUP($A116,'Mike FLEX'!$A$6:$N$278,10,FALSE),"")</x:f>
        <x:v>75</x:v>
      </x:c>
      <x:c r="K116" s="111" t="n">
        <x:f>IFERROR(VLOOKUP($A116,'Mike FLEX'!$A$6:$N$278,11,FALSE),"")</x:f>
        <x:v>727</x:v>
      </x:c>
      <x:c r="L116" s="111" t="n">
        <x:f>IFERROR(VLOOKUP($A116,'Mike FLEX'!$A$6:$N$278,12,FALSE),"")</x:f>
        <x:v>4</x:v>
      </x:c>
      <x:c r="M116" s="111" t="n">
        <x:f>IFERROR(VLOOKUP($A116,'Mike FLEX'!$A$6:$N$278,13,FALSE),"")</x:f>
        <x:v>0</x:v>
      </x:c>
      <x:c r="N116" s="109" t="n">
        <x:f>IFERROR(VLOOKUP($A116,'Andy FLEX'!$A$6:$N$278,5,FALSE),"")</x:f>
        <x:v>136</x:v>
      </x:c>
      <x:c r="O116" s="110" t="n">
        <x:f>IFERROR(VLOOKUP($A116,'Andy FLEX'!$A$6:$N$278,6,FALSE),"")</x:f>
        <x:v>7.4</x:v>
      </x:c>
      <x:c r="P116" s="111" t="n">
        <x:f>IFERROR(VLOOKUP($A116,'Andy FLEX'!$A$6:$N$278,7,FALSE),"")</x:f>
        <x:v>0</x:v>
      </x:c>
      <x:c r="Q116" s="111" t="n">
        <x:f>IFERROR(VLOOKUP($A116,'Andy FLEX'!$A$6:$N$278,8,FALSE),"")</x:f>
        <x:v>0</x:v>
      </x:c>
      <x:c r="R116" s="111" t="n">
        <x:f>IFERROR(VLOOKUP($A116,'Andy FLEX'!$A$6:$N$278,9,FALSE),"")</x:f>
        <x:v>0</x:v>
      </x:c>
      <x:c r="S116" s="111" t="n">
        <x:f>IFERROR(VLOOKUP($A116,'Andy FLEX'!$A$6:$N$278,10,FALSE),"")</x:f>
        <x:v>55</x:v>
      </x:c>
      <x:c r="T116" s="111" t="n">
        <x:f>IFERROR(VLOOKUP($A116,'Andy FLEX'!$A$6:$N$278,11,FALSE),"")</x:f>
        <x:v>531</x:v>
      </x:c>
      <x:c r="U116" s="111" t="n">
        <x:f>IFERROR(VLOOKUP($A116,'Andy FLEX'!$A$6:$N$278,12,FALSE),"")</x:f>
        <x:v>3</x:v>
      </x:c>
      <x:c r="V116" s="111" t="n">
        <x:f>IFERROR(VLOOKUP($A116,'Andy FLEX'!$A$6:$N$278,13,FALSE),"")</x:f>
        <x:v>0</x:v>
      </x:c>
      <x:c r="W116" s="109" t="n">
        <x:f>IFERROR(VLOOKUP($A116,'Jason FLEX'!$A$6:$N$268,5,FALSE),"")</x:f>
        <x:v>103</x:v>
      </x:c>
      <x:c r="X116" s="110" t="n">
        <x:f>IFERROR(VLOOKUP($A116,'Jason FLEX'!$A$6:$N$268,6,FALSE),"")</x:f>
        <x:v>9.5</x:v>
      </x:c>
      <x:c r="Y116" s="111" t="n">
        <x:f>IFERROR(VLOOKUP($A116,'Jason FLEX'!$A$6:$N$268,7,FALSE),"")</x:f>
        <x:v>0</x:v>
      </x:c>
      <x:c r="Z116" s="111" t="n">
        <x:f>IFERROR(VLOOKUP($A116,'Jason FLEX'!$A$6:$N$268,8,FALSE),"")</x:f>
        <x:v>0</x:v>
      </x:c>
      <x:c r="AA116" s="111" t="n">
        <x:f>IFERROR(VLOOKUP($A116,'Jason FLEX'!$A$6:$N$268,9,FALSE),"")</x:f>
        <x:v>0</x:v>
      </x:c>
      <x:c r="AB116" s="111" t="n">
        <x:f>IFERROR(VLOOKUP($A116,'Jason FLEX'!$A$6:$N$268,10,FALSE),"")</x:f>
        <x:v>70</x:v>
      </x:c>
      <x:c r="AC116" s="111" t="n">
        <x:f>IFERROR(VLOOKUP($A116,'Jason FLEX'!$A$6:$N$268,11,FALSE),"")</x:f>
        <x:v>666</x:v>
      </x:c>
      <x:c r="AD116" s="111" t="n">
        <x:f>IFERROR(VLOOKUP($A116,'Jason FLEX'!$A$6:$N$268,12,FALSE),"")</x:f>
        <x:v>4</x:v>
      </x:c>
      <x:c r="AE116" s="111" t="n">
        <x:f>IFERROR(VLOOKUP($A116,'Jason FLEX'!$A$6:$N$268,13,FALSE),"")</x:f>
        <x:v>0</x:v>
      </x:c>
      <x:c r="AF116" s="110" t="n">
        <x:f>IF(COUNT(E116,N116,W116)=0,"",AVERAGE(E116,N116,W116))</x:f>
        <x:v>108.33333333333333</x:v>
      </x:c>
      <x:c r="AG116" s="110" t="n">
        <x:f>IF(COUNT(E116,N116,W116)=0,"",MAX(E116,N116,W116)-MIN(E116,N116,W116))</x:f>
        <x:v>50</x:v>
      </x:c>
      <x:c r="AH116" s="110" t="n">
        <x:f>IF(COUNT(F116,O116,X116)=0,"",AVERAGE(F116,O116,X116))</x:f>
        <x:v>9.033333333333333</x:v>
      </x:c>
      <x:c r="AI116" s="112" t="n">
        <x:f>IF(COUNT(G116,P116,Y116)=0,"",AVERAGE(G116,P116,Y116))</x:f>
        <x:v>0</x:v>
      </x:c>
      <x:c r="AJ116" s="112" t="n">
        <x:f>IF(COUNT(H116,Q116,Z116)=0,"",AVERAGE(H116,Q116,Z116))</x:f>
        <x:v>0</x:v>
      </x:c>
      <x:c r="AK116" s="112" t="n">
        <x:f>IF(COUNT(I116,R116,AA116)=0,"",AVERAGE(I116,R116,AA116))</x:f>
        <x:v>0</x:v>
      </x:c>
      <x:c r="AL116" s="112" t="n">
        <x:f>IF(COUNT(J116,S116,AB116)=0,"",AVERAGE(J116,S116,AB116))</x:f>
        <x:v>66.66666666666667</x:v>
      </x:c>
      <x:c r="AM116" s="112" t="n">
        <x:f>IF(COUNT(K116,T116,AC116)=0,"",AVERAGE(K116,T116,AC116))</x:f>
        <x:v>641.3333333333334</x:v>
      </x:c>
      <x:c r="AN116" s="112" t="n">
        <x:f>IF(COUNT(L116,U116,AD116)=0,"",AVERAGE(L116,U116,AD116))</x:f>
        <x:v>3.6666666666666665</x:v>
      </x:c>
      <x:c r="AO116" s="112" t="n">
        <x:f>IF(COUNT(M116,V116,AE116)=0,"",AVERAGE(M116,V116,AE116))</x:f>
        <x:v>0</x:v>
      </x:c>
    </x:row>
    <x:row r="117">
      <x:c r="A117" s="107" t="str">
        <x:v>Jordan Mason</x:v>
      </x:c>
      <x:c r="B117" s="108" t="str">
        <x:v>RB</x:v>
      </x:c>
      <x:c r="C117" s="108" t="str">
        <x:v>MIN</x:v>
      </x:c>
      <x:c r="D117" s="109" t="n">
        <x:v>6</x:v>
      </x:c>
      <x:c r="E117" s="109" t="n">
        <x:f>IFERROR(VLOOKUP($A117,'Mike FLEX'!$A$6:$N$278,5,FALSE),"")</x:f>
        <x:v>105</x:v>
      </x:c>
      <x:c r="F117" s="110" t="n">
        <x:f>IFERROR(VLOOKUP($A117,'Mike FLEX'!$A$6:$N$278,6,FALSE),"")</x:f>
        <x:v>9.2</x:v>
      </x:c>
      <x:c r="G117" s="111" t="n">
        <x:f>IFERROR(VLOOKUP($A117,'Mike FLEX'!$A$6:$N$278,7,FALSE),"")</x:f>
        <x:v>208</x:v>
      </x:c>
      <x:c r="H117" s="111" t="n">
        <x:f>IFERROR(VLOOKUP($A117,'Mike FLEX'!$A$6:$N$278,8,FALSE),"")</x:f>
        <x:v>979</x:v>
      </x:c>
      <x:c r="I117" s="111" t="n">
        <x:f>IFERROR(VLOOKUP($A117,'Mike FLEX'!$A$6:$N$278,9,FALSE),"")</x:f>
        <x:v>7</x:v>
      </x:c>
      <x:c r="J117" s="111" t="n">
        <x:f>IFERROR(VLOOKUP($A117,'Mike FLEX'!$A$6:$N$278,10,FALSE),"")</x:f>
        <x:v>13</x:v>
      </x:c>
      <x:c r="K117" s="111" t="n">
        <x:f>IFERROR(VLOOKUP($A117,'Mike FLEX'!$A$6:$N$278,11,FALSE),"")</x:f>
        <x:v>84</x:v>
      </x:c>
      <x:c r="L117" s="111" t="n">
        <x:f>IFERROR(VLOOKUP($A117,'Mike FLEX'!$A$6:$N$278,12,FALSE),"")</x:f>
        <x:v>0</x:v>
      </x:c>
      <x:c r="M117" s="111" t="n">
        <x:f>IFERROR(VLOOKUP($A117,'Mike FLEX'!$A$6:$N$278,13,FALSE),"")</x:f>
        <x:v>2</x:v>
      </x:c>
      <x:c r="N117" s="109" t="n">
        <x:f>IFERROR(VLOOKUP($A117,'Andy FLEX'!$A$6:$N$278,5,FALSE),"")</x:f>
        <x:v>97</x:v>
      </x:c>
      <x:c r="O117" s="110" t="n">
        <x:f>IFERROR(VLOOKUP($A117,'Andy FLEX'!$A$6:$N$278,6,FALSE),"")</x:f>
        <x:v>9.5</x:v>
      </x:c>
      <x:c r="P117" s="111" t="n">
        <x:f>IFERROR(VLOOKUP($A117,'Andy FLEX'!$A$6:$N$278,7,FALSE),"")</x:f>
        <x:v>203</x:v>
      </x:c>
      <x:c r="Q117" s="111" t="n">
        <x:f>IFERROR(VLOOKUP($A117,'Andy FLEX'!$A$6:$N$278,8,FALSE),"")</x:f>
        <x:v>941</x:v>
      </x:c>
      <x:c r="R117" s="111" t="n">
        <x:f>IFERROR(VLOOKUP($A117,'Andy FLEX'!$A$6:$N$278,9,FALSE),"")</x:f>
        <x:v>6</x:v>
      </x:c>
      <x:c r="S117" s="111" t="n">
        <x:f>IFERROR(VLOOKUP($A117,'Andy FLEX'!$A$6:$N$278,10,FALSE),"")</x:f>
        <x:v>22</x:v>
      </x:c>
      <x:c r="T117" s="111" t="n">
        <x:f>IFERROR(VLOOKUP($A117,'Andy FLEX'!$A$6:$N$278,11,FALSE),"")</x:f>
        <x:v>80</x:v>
      </x:c>
      <x:c r="U117" s="111" t="n">
        <x:f>IFERROR(VLOOKUP($A117,'Andy FLEX'!$A$6:$N$278,12,FALSE),"")</x:f>
        <x:v>1</x:v>
      </x:c>
      <x:c r="V117" s="111" t="n">
        <x:f>IFERROR(VLOOKUP($A117,'Andy FLEX'!$A$6:$N$278,13,FALSE),"")</x:f>
        <x:v>2</x:v>
      </x:c>
      <x:c r="W117" s="109" t="n">
        <x:f>IFERROR(VLOOKUP($A117,'Jason FLEX'!$A$6:$N$268,5,FALSE),"")</x:f>
        <x:v>126</x:v>
      </x:c>
      <x:c r="X117" s="110" t="n">
        <x:f>IFERROR(VLOOKUP($A117,'Jason FLEX'!$A$6:$N$268,6,FALSE),"")</x:f>
        <x:v>8.3</x:v>
      </x:c>
      <x:c r="Y117" s="111" t="n">
        <x:f>IFERROR(VLOOKUP($A117,'Jason FLEX'!$A$6:$N$268,7,FALSE),"")</x:f>
        <x:v>188</x:v>
      </x:c>
      <x:c r="Z117" s="111" t="n">
        <x:f>IFERROR(VLOOKUP($A117,'Jason FLEX'!$A$6:$N$268,8,FALSE),"")</x:f>
        <x:v>893</x:v>
      </x:c>
      <x:c r="AA117" s="111" t="n">
        <x:f>IFERROR(VLOOKUP($A117,'Jason FLEX'!$A$6:$N$268,9,FALSE),"")</x:f>
        <x:v>6</x:v>
      </x:c>
      <x:c r="AB117" s="111" t="n">
        <x:f>IFERROR(VLOOKUP($A117,'Jason FLEX'!$A$6:$N$268,10,FALSE),"")</x:f>
        <x:v>11</x:v>
      </x:c>
      <x:c r="AC117" s="111" t="n">
        <x:f>IFERROR(VLOOKUP($A117,'Jason FLEX'!$A$6:$N$268,11,FALSE),"")</x:f>
        <x:v>55</x:v>
      </x:c>
      <x:c r="AD117" s="111" t="n">
        <x:f>IFERROR(VLOOKUP($A117,'Jason FLEX'!$A$6:$N$268,12,FALSE),"")</x:f>
        <x:v>0</x:v>
      </x:c>
      <x:c r="AE117" s="111" t="n">
        <x:f>IFERROR(VLOOKUP($A117,'Jason FLEX'!$A$6:$N$268,13,FALSE),"")</x:f>
        <x:v>1</x:v>
      </x:c>
      <x:c r="AF117" s="110" t="n">
        <x:f>IF(COUNT(E117,N117,W117)=0,"",AVERAGE(E117,N117,W117))</x:f>
        <x:v>109.33333333333333</x:v>
      </x:c>
      <x:c r="AG117" s="110" t="n">
        <x:f>IF(COUNT(E117,N117,W117)=0,"",MAX(E117,N117,W117)-MIN(E117,N117,W117))</x:f>
        <x:v>29</x:v>
      </x:c>
      <x:c r="AH117" s="110" t="n">
        <x:f>IF(COUNT(F117,O117,X117)=0,"",AVERAGE(F117,O117,X117))</x:f>
        <x:v>9</x:v>
      </x:c>
      <x:c r="AI117" s="112" t="n">
        <x:f>IF(COUNT(G117,P117,Y117)=0,"",AVERAGE(G117,P117,Y117))</x:f>
        <x:v>199.66666666666666</x:v>
      </x:c>
      <x:c r="AJ117" s="112" t="n">
        <x:f>IF(COUNT(H117,Q117,Z117)=0,"",AVERAGE(H117,Q117,Z117))</x:f>
        <x:v>937.6666666666666</x:v>
      </x:c>
      <x:c r="AK117" s="112" t="n">
        <x:f>IF(COUNT(I117,R117,AA117)=0,"",AVERAGE(I117,R117,AA117))</x:f>
        <x:v>6.333333333333333</x:v>
      </x:c>
      <x:c r="AL117" s="112" t="n">
        <x:f>IF(COUNT(J117,S117,AB117)=0,"",AVERAGE(J117,S117,AB117))</x:f>
        <x:v>15.333333333333334</x:v>
      </x:c>
      <x:c r="AM117" s="112" t="n">
        <x:f>IF(COUNT(K117,T117,AC117)=0,"",AVERAGE(K117,T117,AC117))</x:f>
        <x:v>73</x:v>
      </x:c>
      <x:c r="AN117" s="112" t="n">
        <x:f>IF(COUNT(L117,U117,AD117)=0,"",AVERAGE(L117,U117,AD117))</x:f>
        <x:v>0.3333333333333333</x:v>
      </x:c>
      <x:c r="AO117" s="112" t="n">
        <x:f>IF(COUNT(M117,V117,AE117)=0,"",AVERAGE(M117,V117,AE117))</x:f>
        <x:v>1.6666666666666667</x:v>
      </x:c>
    </x:row>
    <x:row r="118">
      <x:c r="A118" s="107" t="str">
        <x:v>Rachaad White</x:v>
      </x:c>
      <x:c r="B118" s="108" t="str">
        <x:v>RB</x:v>
      </x:c>
      <x:c r="C118" s="108" t="str">
        <x:v>WAS</x:v>
      </x:c>
      <x:c r="D118" s="109" t="n">
        <x:v>7</x:v>
      </x:c>
      <x:c r="E118" s="109" t="n">
        <x:f>IFERROR(VLOOKUP($A118,'Mike FLEX'!$A$6:$N$278,5,FALSE),"")</x:f>
        <x:v>104</x:v>
      </x:c>
      <x:c r="F118" s="110" t="n">
        <x:f>IFERROR(VLOOKUP($A118,'Mike FLEX'!$A$6:$N$278,6,FALSE),"")</x:f>
        <x:v>9.3</x:v>
      </x:c>
      <x:c r="G118" s="111" t="n">
        <x:f>IFERROR(VLOOKUP($A118,'Mike FLEX'!$A$6:$N$278,7,FALSE),"")</x:f>
        <x:v>93</x:v>
      </x:c>
      <x:c r="H118" s="111" t="n">
        <x:f>IFERROR(VLOOKUP($A118,'Mike FLEX'!$A$6:$N$278,8,FALSE),"")</x:f>
        <x:v>379</x:v>
      </x:c>
      <x:c r="I118" s="111" t="n">
        <x:f>IFERROR(VLOOKUP($A118,'Mike FLEX'!$A$6:$N$278,9,FALSE),"")</x:f>
        <x:v>2</x:v>
      </x:c>
      <x:c r="J118" s="111" t="n">
        <x:f>IFERROR(VLOOKUP($A118,'Mike FLEX'!$A$6:$N$278,10,FALSE),"")</x:f>
        <x:v>56</x:v>
      </x:c>
      <x:c r="K118" s="111" t="n">
        <x:f>IFERROR(VLOOKUP($A118,'Mike FLEX'!$A$6:$N$278,11,FALSE),"")</x:f>
        <x:v>395</x:v>
      </x:c>
      <x:c r="L118" s="111" t="n">
        <x:f>IFERROR(VLOOKUP($A118,'Mike FLEX'!$A$6:$N$278,12,FALSE),"")</x:f>
        <x:v>3</x:v>
      </x:c>
      <x:c r="M118" s="111" t="n">
        <x:f>IFERROR(VLOOKUP($A118,'Mike FLEX'!$A$6:$N$278,13,FALSE),"")</x:f>
        <x:v>2</x:v>
      </x:c>
      <x:c r="N118" s="109" t="n">
        <x:f>IFERROR(VLOOKUP($A118,'Andy FLEX'!$A$6:$N$278,5,FALSE),"")</x:f>
        <x:v>107</x:v>
      </x:c>
      <x:c r="O118" s="110" t="n">
        <x:f>IFERROR(VLOOKUP($A118,'Andy FLEX'!$A$6:$N$278,6,FALSE),"")</x:f>
        <x:v>8.8</x:v>
      </x:c>
      <x:c r="P118" s="111" t="n">
        <x:f>IFERROR(VLOOKUP($A118,'Andy FLEX'!$A$6:$N$278,7,FALSE),"")</x:f>
        <x:v>146</x:v>
      </x:c>
      <x:c r="Q118" s="111" t="n">
        <x:f>IFERROR(VLOOKUP($A118,'Andy FLEX'!$A$6:$N$278,8,FALSE),"")</x:f>
        <x:v>612</x:v>
      </x:c>
      <x:c r="R118" s="111" t="n">
        <x:f>IFERROR(VLOOKUP($A118,'Andy FLEX'!$A$6:$N$278,9,FALSE),"")</x:f>
        <x:v>5</x:v>
      </x:c>
      <x:c r="S118" s="111" t="n">
        <x:f>IFERROR(VLOOKUP($A118,'Andy FLEX'!$A$6:$N$278,10,FALSE),"")</x:f>
        <x:v>36</x:v>
      </x:c>
      <x:c r="T118" s="111" t="n">
        <x:f>IFERROR(VLOOKUP($A118,'Andy FLEX'!$A$6:$N$278,11,FALSE),"")</x:f>
        <x:v>199</x:v>
      </x:c>
      <x:c r="U118" s="111" t="n">
        <x:f>IFERROR(VLOOKUP($A118,'Andy FLEX'!$A$6:$N$278,12,FALSE),"")</x:f>
        <x:v>1</x:v>
      </x:c>
      <x:c r="V118" s="111" t="n">
        <x:f>IFERROR(VLOOKUP($A118,'Andy FLEX'!$A$6:$N$278,13,FALSE),"")</x:f>
        <x:v>1</x:v>
      </x:c>
      <x:c r="W118" s="109" t="n">
        <x:f>IFERROR(VLOOKUP($A118,'Jason FLEX'!$A$6:$N$268,5,FALSE),"")</x:f>
        <x:v>120</x:v>
      </x:c>
      <x:c r="X118" s="110" t="n">
        <x:f>IFERROR(VLOOKUP($A118,'Jason FLEX'!$A$6:$N$268,6,FALSE),"")</x:f>
        <x:v>8.5</x:v>
      </x:c>
      <x:c r="Y118" s="111" t="n">
        <x:f>IFERROR(VLOOKUP($A118,'Jason FLEX'!$A$6:$N$268,7,FALSE),"")</x:f>
        <x:v>115</x:v>
      </x:c>
      <x:c r="Z118" s="111" t="n">
        <x:f>IFERROR(VLOOKUP($A118,'Jason FLEX'!$A$6:$N$268,8,FALSE),"")</x:f>
        <x:v>446</x:v>
      </x:c>
      <x:c r="AA118" s="111" t="n">
        <x:f>IFERROR(VLOOKUP($A118,'Jason FLEX'!$A$6:$N$268,9,FALSE),"")</x:f>
        <x:v>3</x:v>
      </x:c>
      <x:c r="AB118" s="111" t="n">
        <x:f>IFERROR(VLOOKUP($A118,'Jason FLEX'!$A$6:$N$268,10,FALSE),"")</x:f>
        <x:v>41</x:v>
      </x:c>
      <x:c r="AC118" s="111" t="n">
        <x:f>IFERROR(VLOOKUP($A118,'Jason FLEX'!$A$6:$N$268,11,FALSE),"")</x:f>
        <x:v>308</x:v>
      </x:c>
      <x:c r="AD118" s="111" t="n">
        <x:f>IFERROR(VLOOKUP($A118,'Jason FLEX'!$A$6:$N$268,12,FALSE),"")</x:f>
        <x:v>2</x:v>
      </x:c>
      <x:c r="AE118" s="111" t="n">
        <x:f>IFERROR(VLOOKUP($A118,'Jason FLEX'!$A$6:$N$268,13,FALSE),"")</x:f>
        <x:v>1</x:v>
      </x:c>
      <x:c r="AF118" s="110" t="n">
        <x:f>IF(COUNT(E118,N118,W118)=0,"",AVERAGE(E118,N118,W118))</x:f>
        <x:v>110.33333333333333</x:v>
      </x:c>
      <x:c r="AG118" s="110" t="n">
        <x:f>IF(COUNT(E118,N118,W118)=0,"",MAX(E118,N118,W118)-MIN(E118,N118,W118))</x:f>
        <x:v>16</x:v>
      </x:c>
      <x:c r="AH118" s="110" t="n">
        <x:f>IF(COUNT(F118,O118,X118)=0,"",AVERAGE(F118,O118,X118))</x:f>
        <x:v>8.866666666666667</x:v>
      </x:c>
      <x:c r="AI118" s="112" t="n">
        <x:f>IF(COUNT(G118,P118,Y118)=0,"",AVERAGE(G118,P118,Y118))</x:f>
        <x:v>118</x:v>
      </x:c>
      <x:c r="AJ118" s="112" t="n">
        <x:f>IF(COUNT(H118,Q118,Z118)=0,"",AVERAGE(H118,Q118,Z118))</x:f>
        <x:v>479</x:v>
      </x:c>
      <x:c r="AK118" s="112" t="n">
        <x:f>IF(COUNT(I118,R118,AA118)=0,"",AVERAGE(I118,R118,AA118))</x:f>
        <x:v>3.3333333333333335</x:v>
      </x:c>
      <x:c r="AL118" s="112" t="n">
        <x:f>IF(COUNT(J118,S118,AB118)=0,"",AVERAGE(J118,S118,AB118))</x:f>
        <x:v>44.333333333333336</x:v>
      </x:c>
      <x:c r="AM118" s="112" t="n">
        <x:f>IF(COUNT(K118,T118,AC118)=0,"",AVERAGE(K118,T118,AC118))</x:f>
        <x:v>300.6666666666667</x:v>
      </x:c>
      <x:c r="AN118" s="112" t="n">
        <x:f>IF(COUNT(L118,U118,AD118)=0,"",AVERAGE(L118,U118,AD118))</x:f>
        <x:v>2</x:v>
      </x:c>
      <x:c r="AO118" s="112" t="n">
        <x:f>IF(COUNT(M118,V118,AE118)=0,"",AVERAGE(M118,V118,AE118))</x:f>
        <x:v>1.3333333333333333</x:v>
      </x:c>
    </x:row>
    <x:row r="119">
      <x:c r="A119" s="107" t="str">
        <x:v>Mark Andrews</x:v>
      </x:c>
      <x:c r="B119" s="108" t="str">
        <x:v>TE</x:v>
      </x:c>
      <x:c r="C119" s="108" t="str">
        <x:v>BAL</x:v>
      </x:c>
      <x:c r="D119" s="109" t="n">
        <x:v>13</x:v>
      </x:c>
      <x:c r="E119" s="109" t="n">
        <x:f>IFERROR(VLOOKUP($A119,'Mike FLEX'!$A$6:$N$278,5,FALSE),"")</x:f>
        <x:v>116</x:v>
      </x:c>
      <x:c r="F119" s="110" t="n">
        <x:f>IFERROR(VLOOKUP($A119,'Mike FLEX'!$A$6:$N$278,6,FALSE),"")</x:f>
        <x:v>8.4</x:v>
      </x:c>
      <x:c r="G119" s="111" t="n">
        <x:f>IFERROR(VLOOKUP($A119,'Mike FLEX'!$A$6:$N$278,7,FALSE),"")</x:f>
        <x:v>6</x:v>
      </x:c>
      <x:c r="H119" s="111" t="n">
        <x:f>IFERROR(VLOOKUP($A119,'Mike FLEX'!$A$6:$N$278,8,FALSE),"")</x:f>
        <x:v>24</x:v>
      </x:c>
      <x:c r="I119" s="111" t="n">
        <x:f>IFERROR(VLOOKUP($A119,'Mike FLEX'!$A$6:$N$278,9,FALSE),"")</x:f>
        <x:v>0</x:v>
      </x:c>
      <x:c r="J119" s="111" t="n">
        <x:f>IFERROR(VLOOKUP($A119,'Mike FLEX'!$A$6:$N$278,10,FALSE),"")</x:f>
        <x:v>52</x:v>
      </x:c>
      <x:c r="K119" s="111" t="n">
        <x:f>IFERROR(VLOOKUP($A119,'Mike FLEX'!$A$6:$N$278,11,FALSE),"")</x:f>
        <x:v>580</x:v>
      </x:c>
      <x:c r="L119" s="111" t="n">
        <x:f>IFERROR(VLOOKUP($A119,'Mike FLEX'!$A$6:$N$278,12,FALSE),"")</x:f>
        <x:v>5</x:v>
      </x:c>
      <x:c r="M119" s="111" t="n">
        <x:f>IFERROR(VLOOKUP($A119,'Mike FLEX'!$A$6:$N$278,13,FALSE),"")</x:f>
        <x:v>1</x:v>
      </x:c>
      <x:c r="N119" s="109" t="n">
        <x:f>IFERROR(VLOOKUP($A119,'Andy FLEX'!$A$6:$N$278,5,FALSE),"")</x:f>
        <x:v>126</x:v>
      </x:c>
      <x:c r="O119" s="110" t="n">
        <x:f>IFERROR(VLOOKUP($A119,'Andy FLEX'!$A$6:$N$278,6,FALSE),"")</x:f>
        <x:v>7.9</x:v>
      </x:c>
      <x:c r="P119" s="111" t="n">
        <x:f>IFERROR(VLOOKUP($A119,'Andy FLEX'!$A$6:$N$278,7,FALSE),"")</x:f>
        <x:v>8</x:v>
      </x:c>
      <x:c r="Q119" s="111" t="n">
        <x:f>IFERROR(VLOOKUP($A119,'Andy FLEX'!$A$6:$N$278,8,FALSE),"")</x:f>
        <x:v>33</x:v>
      </x:c>
      <x:c r="R119" s="111" t="n">
        <x:f>IFERROR(VLOOKUP($A119,'Andy FLEX'!$A$6:$N$278,9,FALSE),"")</x:f>
        <x:v>1</x:v>
      </x:c>
      <x:c r="S119" s="111" t="n">
        <x:f>IFERROR(VLOOKUP($A119,'Andy FLEX'!$A$6:$N$278,10,FALSE),"")</x:f>
        <x:v>48</x:v>
      </x:c>
      <x:c r="T119" s="111" t="n">
        <x:f>IFERROR(VLOOKUP($A119,'Andy FLEX'!$A$6:$N$278,11,FALSE),"")</x:f>
        <x:v>414</x:v>
      </x:c>
      <x:c r="U119" s="111" t="n">
        <x:f>IFERROR(VLOOKUP($A119,'Andy FLEX'!$A$6:$N$278,12,FALSE),"")</x:f>
        <x:v>6</x:v>
      </x:c>
      <x:c r="V119" s="111" t="n">
        <x:f>IFERROR(VLOOKUP($A119,'Andy FLEX'!$A$6:$N$278,13,FALSE),"")</x:f>
        <x:v>0</x:v>
      </x:c>
      <x:c r="W119" s="109" t="n">
        <x:f>IFERROR(VLOOKUP($A119,'Jason FLEX'!$A$6:$N$268,5,FALSE),"")</x:f>
        <x:v>92</x:v>
      </x:c>
      <x:c r="X119" s="110" t="n">
        <x:f>IFERROR(VLOOKUP($A119,'Jason FLEX'!$A$6:$N$268,6,FALSE),"")</x:f>
        <x:v>10</x:v>
      </x:c>
      <x:c r="Y119" s="111" t="n">
        <x:f>IFERROR(VLOOKUP($A119,'Jason FLEX'!$A$6:$N$268,7,FALSE),"")</x:f>
        <x:v>0</x:v>
      </x:c>
      <x:c r="Z119" s="111" t="n">
        <x:f>IFERROR(VLOOKUP($A119,'Jason FLEX'!$A$6:$N$268,8,FALSE),"")</x:f>
        <x:v>0</x:v>
      </x:c>
      <x:c r="AA119" s="111" t="n">
        <x:f>IFERROR(VLOOKUP($A119,'Jason FLEX'!$A$6:$N$268,9,FALSE),"")</x:f>
        <x:v>0</x:v>
      </x:c>
      <x:c r="AB119" s="111" t="n">
        <x:f>IFERROR(VLOOKUP($A119,'Jason FLEX'!$A$6:$N$268,10,FALSE),"")</x:f>
        <x:v>60</x:v>
      </x:c>
      <x:c r="AC119" s="111" t="n">
        <x:f>IFERROR(VLOOKUP($A119,'Jason FLEX'!$A$6:$N$268,11,FALSE),"")</x:f>
        <x:v>648</x:v>
      </x:c>
      <x:c r="AD119" s="111" t="n">
        <x:f>IFERROR(VLOOKUP($A119,'Jason FLEX'!$A$6:$N$268,12,FALSE),"")</x:f>
        <x:v>8</x:v>
      </x:c>
      <x:c r="AE119" s="111" t="n">
        <x:f>IFERROR(VLOOKUP($A119,'Jason FLEX'!$A$6:$N$268,13,FALSE),"")</x:f>
        <x:v>0</x:v>
      </x:c>
      <x:c r="AF119" s="110" t="n">
        <x:f>IF(COUNT(E119,N119,W119)=0,"",AVERAGE(E119,N119,W119))</x:f>
        <x:v>111.33333333333333</x:v>
      </x:c>
      <x:c r="AG119" s="110" t="n">
        <x:f>IF(COUNT(E119,N119,W119)=0,"",MAX(E119,N119,W119)-MIN(E119,N119,W119))</x:f>
        <x:v>34</x:v>
      </x:c>
      <x:c r="AH119" s="110" t="n">
        <x:f>IF(COUNT(F119,O119,X119)=0,"",AVERAGE(F119,O119,X119))</x:f>
        <x:v>8.766666666666667</x:v>
      </x:c>
      <x:c r="AI119" s="112" t="n">
        <x:f>IF(COUNT(G119,P119,Y119)=0,"",AVERAGE(G119,P119,Y119))</x:f>
        <x:v>4.666666666666667</x:v>
      </x:c>
      <x:c r="AJ119" s="112" t="n">
        <x:f>IF(COUNT(H119,Q119,Z119)=0,"",AVERAGE(H119,Q119,Z119))</x:f>
        <x:v>19</x:v>
      </x:c>
      <x:c r="AK119" s="112" t="n">
        <x:f>IF(COUNT(I119,R119,AA119)=0,"",AVERAGE(I119,R119,AA119))</x:f>
        <x:v>0.3333333333333333</x:v>
      </x:c>
      <x:c r="AL119" s="112" t="n">
        <x:f>IF(COUNT(J119,S119,AB119)=0,"",AVERAGE(J119,S119,AB119))</x:f>
        <x:v>53.333333333333336</x:v>
      </x:c>
      <x:c r="AM119" s="112" t="n">
        <x:f>IF(COUNT(K119,T119,AC119)=0,"",AVERAGE(K119,T119,AC119))</x:f>
        <x:v>547.3333333333334</x:v>
      </x:c>
      <x:c r="AN119" s="112" t="n">
        <x:f>IF(COUNT(L119,U119,AD119)=0,"",AVERAGE(L119,U119,AD119))</x:f>
        <x:v>6.333333333333333</x:v>
      </x:c>
      <x:c r="AO119" s="112" t="n">
        <x:f>IF(COUNT(M119,V119,AE119)=0,"",AVERAGE(M119,V119,AE119))</x:f>
        <x:v>0.3333333333333333</x:v>
      </x:c>
    </x:row>
    <x:row r="120">
      <x:c r="A120" s="107" t="str">
        <x:v>Jordyn Tyson</x:v>
      </x:c>
      <x:c r="B120" s="108" t="str">
        <x:v>WR</x:v>
      </x:c>
      <x:c r="C120" s="108" t="str">
        <x:v>NO</x:v>
      </x:c>
      <x:c r="D120" s="109" t="n">
        <x:v>8</x:v>
      </x:c>
      <x:c r="E120" s="109" t="n">
        <x:f>IFERROR(VLOOKUP($A120,'Mike FLEX'!$A$6:$N$278,5,FALSE),"")</x:f>
        <x:v>128</x:v>
      </x:c>
      <x:c r="F120" s="110" t="n">
        <x:f>IFERROR(VLOOKUP($A120,'Mike FLEX'!$A$6:$N$278,6,FALSE),"")</x:f>
        <x:v>7.5</x:v>
      </x:c>
      <x:c r="G120" s="111" t="n">
        <x:f>IFERROR(VLOOKUP($A120,'Mike FLEX'!$A$6:$N$278,7,FALSE),"")</x:f>
        <x:v>0</x:v>
      </x:c>
      <x:c r="H120" s="111" t="n">
        <x:f>IFERROR(VLOOKUP($A120,'Mike FLEX'!$A$6:$N$278,8,FALSE),"")</x:f>
        <x:v>0</x:v>
      </x:c>
      <x:c r="I120" s="111" t="n">
        <x:f>IFERROR(VLOOKUP($A120,'Mike FLEX'!$A$6:$N$278,9,FALSE),"")</x:f>
        <x:v>0</x:v>
      </x:c>
      <x:c r="J120" s="111" t="n">
        <x:f>IFERROR(VLOOKUP($A120,'Mike FLEX'!$A$6:$N$278,10,FALSE),"")</x:f>
        <x:v>47</x:v>
      </x:c>
      <x:c r="K120" s="111" t="n">
        <x:f>IFERROR(VLOOKUP($A120,'Mike FLEX'!$A$6:$N$278,11,FALSE),"")</x:f>
        <x:v>593</x:v>
      </x:c>
      <x:c r="L120" s="111" t="n">
        <x:f>IFERROR(VLOOKUP($A120,'Mike FLEX'!$A$6:$N$278,12,FALSE),"")</x:f>
        <x:v>4</x:v>
      </x:c>
      <x:c r="M120" s="111" t="n">
        <x:f>IFERROR(VLOOKUP($A120,'Mike FLEX'!$A$6:$N$278,13,FALSE),"")</x:f>
        <x:v>0</x:v>
      </x:c>
      <x:c r="N120" s="109" t="n">
        <x:f>IFERROR(VLOOKUP($A120,'Andy FLEX'!$A$6:$N$278,5,FALSE),"")</x:f>
        <x:v>123</x:v>
      </x:c>
      <x:c r="O120" s="110" t="n">
        <x:f>IFERROR(VLOOKUP($A120,'Andy FLEX'!$A$6:$N$278,6,FALSE),"")</x:f>
        <x:v>8.1</x:v>
      </x:c>
      <x:c r="P120" s="111" t="n">
        <x:f>IFERROR(VLOOKUP($A120,'Andy FLEX'!$A$6:$N$278,7,FALSE),"")</x:f>
        <x:v>7</x:v>
      </x:c>
      <x:c r="Q120" s="111" t="n">
        <x:f>IFERROR(VLOOKUP($A120,'Andy FLEX'!$A$6:$N$278,8,FALSE),"")</x:f>
        <x:v>44</x:v>
      </x:c>
      <x:c r="R120" s="111" t="n">
        <x:f>IFERROR(VLOOKUP($A120,'Andy FLEX'!$A$6:$N$278,9,FALSE),"")</x:f>
        <x:v>0</x:v>
      </x:c>
      <x:c r="S120" s="111" t="n">
        <x:f>IFERROR(VLOOKUP($A120,'Andy FLEX'!$A$6:$N$278,10,FALSE),"")</x:f>
        <x:v>46</x:v>
      </x:c>
      <x:c r="T120" s="111" t="n">
        <x:f>IFERROR(VLOOKUP($A120,'Andy FLEX'!$A$6:$N$278,11,FALSE),"")</x:f>
        <x:v>636</x:v>
      </x:c>
      <x:c r="U120" s="111" t="n">
        <x:f>IFERROR(VLOOKUP($A120,'Andy FLEX'!$A$6:$N$278,12,FALSE),"")</x:f>
        <x:v>4</x:v>
      </x:c>
      <x:c r="V120" s="111" t="n">
        <x:f>IFERROR(VLOOKUP($A120,'Andy FLEX'!$A$6:$N$278,13,FALSE),"")</x:f>
        <x:v>1</x:v>
      </x:c>
      <x:c r="W120" s="109" t="n">
        <x:f>IFERROR(VLOOKUP($A120,'Jason FLEX'!$A$6:$N$268,5,FALSE),"")</x:f>
        <x:v>88</x:v>
      </x:c>
      <x:c r="X120" s="110" t="n">
        <x:f>IFERROR(VLOOKUP($A120,'Jason FLEX'!$A$6:$N$268,6,FALSE),"")</x:f>
        <x:v>10</x:v>
      </x:c>
      <x:c r="Y120" s="111" t="n">
        <x:f>IFERROR(VLOOKUP($A120,'Jason FLEX'!$A$6:$N$268,7,FALSE),"")</x:f>
        <x:v>1</x:v>
      </x:c>
      <x:c r="Z120" s="111" t="n">
        <x:f>IFERROR(VLOOKUP($A120,'Jason FLEX'!$A$6:$N$268,8,FALSE),"")</x:f>
        <x:v>5</x:v>
      </x:c>
      <x:c r="AA120" s="111" t="n">
        <x:f>IFERROR(VLOOKUP($A120,'Jason FLEX'!$A$6:$N$268,9,FALSE),"")</x:f>
        <x:v>0</x:v>
      </x:c>
      <x:c r="AB120" s="111" t="n">
        <x:f>IFERROR(VLOOKUP($A120,'Jason FLEX'!$A$6:$N$268,10,FALSE),"")</x:f>
        <x:v>55</x:v>
      </x:c>
      <x:c r="AC120" s="111" t="n">
        <x:f>IFERROR(VLOOKUP($A120,'Jason FLEX'!$A$6:$N$268,11,FALSE),"")</x:f>
        <x:v>781</x:v>
      </x:c>
      <x:c r="AD120" s="111" t="n">
        <x:f>IFERROR(VLOOKUP($A120,'Jason FLEX'!$A$6:$N$268,12,FALSE),"")</x:f>
        <x:v>6</x:v>
      </x:c>
      <x:c r="AE120" s="111" t="n">
        <x:f>IFERROR(VLOOKUP($A120,'Jason FLEX'!$A$6:$N$268,13,FALSE),"")</x:f>
        <x:v>0</x:v>
      </x:c>
      <x:c r="AF120" s="110" t="n">
        <x:f>IF(COUNT(E120,N120,W120)=0,"",AVERAGE(E120,N120,W120))</x:f>
        <x:v>113</x:v>
      </x:c>
      <x:c r="AG120" s="110" t="n">
        <x:f>IF(COUNT(E120,N120,W120)=0,"",MAX(E120,N120,W120)-MIN(E120,N120,W120))</x:f>
        <x:v>40</x:v>
      </x:c>
      <x:c r="AH120" s="110" t="n">
        <x:f>IF(COUNT(F120,O120,X120)=0,"",AVERAGE(F120,O120,X120))</x:f>
        <x:v>8.533333333333333</x:v>
      </x:c>
      <x:c r="AI120" s="112" t="n">
        <x:f>IF(COUNT(G120,P120,Y120)=0,"",AVERAGE(G120,P120,Y120))</x:f>
        <x:v>2.6666666666666665</x:v>
      </x:c>
      <x:c r="AJ120" s="112" t="n">
        <x:f>IF(COUNT(H120,Q120,Z120)=0,"",AVERAGE(H120,Q120,Z120))</x:f>
        <x:v>16.333333333333332</x:v>
      </x:c>
      <x:c r="AK120" s="112" t="n">
        <x:f>IF(COUNT(I120,R120,AA120)=0,"",AVERAGE(I120,R120,AA120))</x:f>
        <x:v>0</x:v>
      </x:c>
      <x:c r="AL120" s="112" t="n">
        <x:f>IF(COUNT(J120,S120,AB120)=0,"",AVERAGE(J120,S120,AB120))</x:f>
        <x:v>49.333333333333336</x:v>
      </x:c>
      <x:c r="AM120" s="112" t="n">
        <x:f>IF(COUNT(K120,T120,AC120)=0,"",AVERAGE(K120,T120,AC120))</x:f>
        <x:v>670</x:v>
      </x:c>
      <x:c r="AN120" s="112" t="n">
        <x:f>IF(COUNT(L120,U120,AD120)=0,"",AVERAGE(L120,U120,AD120))</x:f>
        <x:v>4.666666666666667</x:v>
      </x:c>
      <x:c r="AO120" s="112" t="n">
        <x:f>IF(COUNT(M120,V120,AE120)=0,"",AVERAGE(M120,V120,AE120))</x:f>
        <x:v>0.3333333333333333</x:v>
      </x:c>
    </x:row>
    <x:row r="121">
      <x:c r="A121" s="107" t="str">
        <x:v>Blake Corum</x:v>
      </x:c>
      <x:c r="B121" s="108" t="str">
        <x:v>RB</x:v>
      </x:c>
      <x:c r="C121" s="108" t="str">
        <x:v>LAR</x:v>
      </x:c>
      <x:c r="D121" s="109" t="n">
        <x:v>11</x:v>
      </x:c>
      <x:c r="E121" s="109" t="n">
        <x:f>IFERROR(VLOOKUP($A121,'Mike FLEX'!$A$6:$N$278,5,FALSE),"")</x:f>
        <x:v>122</x:v>
      </x:c>
      <x:c r="F121" s="110" t="n">
        <x:f>IFERROR(VLOOKUP($A121,'Mike FLEX'!$A$6:$N$278,6,FALSE),"")</x:f>
        <x:v>8</x:v>
      </x:c>
      <x:c r="G121" s="111" t="n">
        <x:f>IFERROR(VLOOKUP($A121,'Mike FLEX'!$A$6:$N$278,7,FALSE),"")</x:f>
        <x:v>138</x:v>
      </x:c>
      <x:c r="H121" s="111" t="n">
        <x:f>IFERROR(VLOOKUP($A121,'Mike FLEX'!$A$6:$N$278,8,FALSE),"")</x:f>
        <x:v>662</x:v>
      </x:c>
      <x:c r="I121" s="111" t="n">
        <x:f>IFERROR(VLOOKUP($A121,'Mike FLEX'!$A$6:$N$278,9,FALSE),"")</x:f>
        <x:v>4</x:v>
      </x:c>
      <x:c r="J121" s="111" t="n">
        <x:f>IFERROR(VLOOKUP($A121,'Mike FLEX'!$A$6:$N$278,10,FALSE),"")</x:f>
        <x:v>24</x:v>
      </x:c>
      <x:c r="K121" s="111" t="n">
        <x:f>IFERROR(VLOOKUP($A121,'Mike FLEX'!$A$6:$N$278,11,FALSE),"")</x:f>
        <x:v>154</x:v>
      </x:c>
      <x:c r="L121" s="111" t="n">
        <x:f>IFERROR(VLOOKUP($A121,'Mike FLEX'!$A$6:$N$278,12,FALSE),"")</x:f>
        <x:v>1</x:v>
      </x:c>
      <x:c r="M121" s="111" t="n">
        <x:f>IFERROR(VLOOKUP($A121,'Mike FLEX'!$A$6:$N$278,13,FALSE),"")</x:f>
        <x:v>0</x:v>
      </x:c>
      <x:c r="N121" s="109" t="n">
        <x:f>IFERROR(VLOOKUP($A121,'Andy FLEX'!$A$6:$N$278,5,FALSE),"")</x:f>
        <x:v>93</x:v>
      </x:c>
      <x:c r="O121" s="110" t="n">
        <x:f>IFERROR(VLOOKUP($A121,'Andy FLEX'!$A$6:$N$278,6,FALSE),"")</x:f>
        <x:v>9.8</x:v>
      </x:c>
      <x:c r="P121" s="111" t="n">
        <x:f>IFERROR(VLOOKUP($A121,'Andy FLEX'!$A$6:$N$278,7,FALSE),"")</x:f>
        <x:v>187</x:v>
      </x:c>
      <x:c r="Q121" s="111" t="n">
        <x:f>IFERROR(VLOOKUP($A121,'Andy FLEX'!$A$6:$N$278,8,FALSE),"")</x:f>
        <x:v>842</x:v>
      </x:c>
      <x:c r="R121" s="111" t="n">
        <x:f>IFERROR(VLOOKUP($A121,'Andy FLEX'!$A$6:$N$278,9,FALSE),"")</x:f>
        <x:v>7</x:v>
      </x:c>
      <x:c r="S121" s="111" t="n">
        <x:f>IFERROR(VLOOKUP($A121,'Andy FLEX'!$A$6:$N$278,10,FALSE),"")</x:f>
        <x:v>26</x:v>
      </x:c>
      <x:c r="T121" s="111" t="n">
        <x:f>IFERROR(VLOOKUP($A121,'Andy FLEX'!$A$6:$N$278,11,FALSE),"")</x:f>
        <x:v>161</x:v>
      </x:c>
      <x:c r="U121" s="111" t="n">
        <x:f>IFERROR(VLOOKUP($A121,'Andy FLEX'!$A$6:$N$278,12,FALSE),"")</x:f>
        <x:v>0</x:v>
      </x:c>
      <x:c r="V121" s="111" t="n">
        <x:f>IFERROR(VLOOKUP($A121,'Andy FLEX'!$A$6:$N$278,13,FALSE),"")</x:f>
        <x:v>2</x:v>
      </x:c>
      <x:c r="W121" s="109" t="n">
        <x:f>IFERROR(VLOOKUP($A121,'Jason FLEX'!$A$6:$N$268,5,FALSE),"")</x:f>
        <x:v>128</x:v>
      </x:c>
      <x:c r="X121" s="110" t="n">
        <x:f>IFERROR(VLOOKUP($A121,'Jason FLEX'!$A$6:$N$268,6,FALSE),"")</x:f>
        <x:v>8.1</x:v>
      </x:c>
      <x:c r="Y121" s="111" t="n">
        <x:f>IFERROR(VLOOKUP($A121,'Jason FLEX'!$A$6:$N$268,7,FALSE),"")</x:f>
        <x:v>169</x:v>
      </x:c>
      <x:c r="Z121" s="111" t="n">
        <x:f>IFERROR(VLOOKUP($A121,'Jason FLEX'!$A$6:$N$268,8,FALSE),"")</x:f>
        <x:v>769</x:v>
      </x:c>
      <x:c r="AA121" s="111" t="n">
        <x:f>IFERROR(VLOOKUP($A121,'Jason FLEX'!$A$6:$N$268,9,FALSE),"")</x:f>
        <x:v>7</x:v>
      </x:c>
      <x:c r="AB121" s="111" t="n">
        <x:f>IFERROR(VLOOKUP($A121,'Jason FLEX'!$A$6:$N$268,10,FALSE),"")</x:f>
        <x:v>11</x:v>
      </x:c>
      <x:c r="AC121" s="111" t="n">
        <x:f>IFERROR(VLOOKUP($A121,'Jason FLEX'!$A$6:$N$268,11,FALSE),"")</x:f>
        <x:v>65</x:v>
      </x:c>
      <x:c r="AD121" s="111" t="n">
        <x:f>IFERROR(VLOOKUP($A121,'Jason FLEX'!$A$6:$N$268,12,FALSE),"")</x:f>
        <x:v>1</x:v>
      </x:c>
      <x:c r="AE121" s="111" t="n">
        <x:f>IFERROR(VLOOKUP($A121,'Jason FLEX'!$A$6:$N$268,13,FALSE),"")</x:f>
        <x:v>1</x:v>
      </x:c>
      <x:c r="AF121" s="110" t="n">
        <x:f>IF(COUNT(E121,N121,W121)=0,"",AVERAGE(E121,N121,W121))</x:f>
        <x:v>114.33333333333333</x:v>
      </x:c>
      <x:c r="AG121" s="110" t="n">
        <x:f>IF(COUNT(E121,N121,W121)=0,"",MAX(E121,N121,W121)-MIN(E121,N121,W121))</x:f>
        <x:v>35</x:v>
      </x:c>
      <x:c r="AH121" s="110" t="n">
        <x:f>IF(COUNT(F121,O121,X121)=0,"",AVERAGE(F121,O121,X121))</x:f>
        <x:v>8.633333333333333</x:v>
      </x:c>
      <x:c r="AI121" s="112" t="n">
        <x:f>IF(COUNT(G121,P121,Y121)=0,"",AVERAGE(G121,P121,Y121))</x:f>
        <x:v>164.66666666666666</x:v>
      </x:c>
      <x:c r="AJ121" s="112" t="n">
        <x:f>IF(COUNT(H121,Q121,Z121)=0,"",AVERAGE(H121,Q121,Z121))</x:f>
        <x:v>757.6666666666666</x:v>
      </x:c>
      <x:c r="AK121" s="112" t="n">
        <x:f>IF(COUNT(I121,R121,AA121)=0,"",AVERAGE(I121,R121,AA121))</x:f>
        <x:v>6</x:v>
      </x:c>
      <x:c r="AL121" s="112" t="n">
        <x:f>IF(COUNT(J121,S121,AB121)=0,"",AVERAGE(J121,S121,AB121))</x:f>
        <x:v>20.333333333333332</x:v>
      </x:c>
      <x:c r="AM121" s="112" t="n">
        <x:f>IF(COUNT(K121,T121,AC121)=0,"",AVERAGE(K121,T121,AC121))</x:f>
        <x:v>126.66666666666667</x:v>
      </x:c>
      <x:c r="AN121" s="112" t="n">
        <x:f>IF(COUNT(L121,U121,AD121)=0,"",AVERAGE(L121,U121,AD121))</x:f>
        <x:v>0.6666666666666666</x:v>
      </x:c>
      <x:c r="AO121" s="112" t="n">
        <x:f>IF(COUNT(M121,V121,AE121)=0,"",AVERAGE(M121,V121,AE121))</x:f>
        <x:v>1</x:v>
      </x:c>
    </x:row>
    <x:row r="122">
      <x:c r="A122" s="107" t="str">
        <x:v>Hunter Henry</x:v>
      </x:c>
      <x:c r="B122" s="108" t="str">
        <x:v>TE</x:v>
      </x:c>
      <x:c r="C122" s="108" t="str">
        <x:v>NE</x:v>
      </x:c>
      <x:c r="D122" s="109" t="n">
        <x:v>11</x:v>
      </x:c>
      <x:c r="E122" s="109" t="n">
        <x:f>IFERROR(VLOOKUP($A122,'Mike FLEX'!$A$6:$N$278,5,FALSE),"")</x:f>
        <x:v>111</x:v>
      </x:c>
      <x:c r="F122" s="110" t="n">
        <x:f>IFERROR(VLOOKUP($A122,'Mike FLEX'!$A$6:$N$278,6,FALSE),"")</x:f>
        <x:v>8.8</x:v>
      </x:c>
      <x:c r="G122" s="111" t="n">
        <x:f>IFERROR(VLOOKUP($A122,'Mike FLEX'!$A$6:$N$278,7,FALSE),"")</x:f>
        <x:v>0</x:v>
      </x:c>
      <x:c r="H122" s="111" t="n">
        <x:f>IFERROR(VLOOKUP($A122,'Mike FLEX'!$A$6:$N$278,8,FALSE),"")</x:f>
        <x:v>0</x:v>
      </x:c>
      <x:c r="I122" s="111" t="n">
        <x:f>IFERROR(VLOOKUP($A122,'Mike FLEX'!$A$6:$N$278,9,FALSE),"")</x:f>
        <x:v>0</x:v>
      </x:c>
      <x:c r="J122" s="111" t="n">
        <x:f>IFERROR(VLOOKUP($A122,'Mike FLEX'!$A$6:$N$278,10,FALSE),"")</x:f>
        <x:v>54</x:v>
      </x:c>
      <x:c r="K122" s="111" t="n">
        <x:f>IFERROR(VLOOKUP($A122,'Mike FLEX'!$A$6:$N$278,11,FALSE),"")</x:f>
        <x:v>629</x:v>
      </x:c>
      <x:c r="L122" s="111" t="n">
        <x:f>IFERROR(VLOOKUP($A122,'Mike FLEX'!$A$6:$N$278,12,FALSE),"")</x:f>
        <x:v>5</x:v>
      </x:c>
      <x:c r="M122" s="111" t="n">
        <x:f>IFERROR(VLOOKUP($A122,'Mike FLEX'!$A$6:$N$278,13,FALSE),"")</x:f>
        <x:v>0</x:v>
      </x:c>
      <x:c r="N122" s="109" t="n">
        <x:f>IFERROR(VLOOKUP($A122,'Andy FLEX'!$A$6:$N$278,5,FALSE),"")</x:f>
        <x:v>109</x:v>
      </x:c>
      <x:c r="O122" s="110" t="n">
        <x:f>IFERROR(VLOOKUP($A122,'Andy FLEX'!$A$6:$N$278,6,FALSE),"")</x:f>
        <x:v>8.6</x:v>
      </x:c>
      <x:c r="P122" s="111" t="n">
        <x:f>IFERROR(VLOOKUP($A122,'Andy FLEX'!$A$6:$N$278,7,FALSE),"")</x:f>
        <x:v>0</x:v>
      </x:c>
      <x:c r="Q122" s="111" t="n">
        <x:f>IFERROR(VLOOKUP($A122,'Andy FLEX'!$A$6:$N$278,8,FALSE),"")</x:f>
        <x:v>0</x:v>
      </x:c>
      <x:c r="R122" s="111" t="n">
        <x:f>IFERROR(VLOOKUP($A122,'Andy FLEX'!$A$6:$N$278,9,FALSE),"")</x:f>
        <x:v>0</x:v>
      </x:c>
      <x:c r="S122" s="111" t="n">
        <x:f>IFERROR(VLOOKUP($A122,'Andy FLEX'!$A$6:$N$278,10,FALSE),"")</x:f>
        <x:v>51</x:v>
      </x:c>
      <x:c r="T122" s="111" t="n">
        <x:f>IFERROR(VLOOKUP($A122,'Andy FLEX'!$A$6:$N$278,11,FALSE),"")</x:f>
        <x:v>641</x:v>
      </x:c>
      <x:c r="U122" s="111" t="n">
        <x:f>IFERROR(VLOOKUP($A122,'Andy FLEX'!$A$6:$N$278,12,FALSE),"")</x:f>
        <x:v>5</x:v>
      </x:c>
      <x:c r="V122" s="111" t="n">
        <x:f>IFERROR(VLOOKUP($A122,'Andy FLEX'!$A$6:$N$278,13,FALSE),"")</x:f>
        <x:v>0</x:v>
      </x:c>
      <x:c r="W122" s="109" t="n">
        <x:f>IFERROR(VLOOKUP($A122,'Jason FLEX'!$A$6:$N$268,5,FALSE),"")</x:f>
        <x:v>123</x:v>
      </x:c>
      <x:c r="X122" s="110" t="n">
        <x:f>IFERROR(VLOOKUP($A122,'Jason FLEX'!$A$6:$N$268,6,FALSE),"")</x:f>
        <x:v>8.4</x:v>
      </x:c>
      <x:c r="Y122" s="111" t="n">
        <x:f>IFERROR(VLOOKUP($A122,'Jason FLEX'!$A$6:$N$268,7,FALSE),"")</x:f>
        <x:v>0</x:v>
      </x:c>
      <x:c r="Z122" s="111" t="n">
        <x:f>IFERROR(VLOOKUP($A122,'Jason FLEX'!$A$6:$N$268,8,FALSE),"")</x:f>
        <x:v>0</x:v>
      </x:c>
      <x:c r="AA122" s="111" t="n">
        <x:f>IFERROR(VLOOKUP($A122,'Jason FLEX'!$A$6:$N$268,9,FALSE),"")</x:f>
        <x:v>0</x:v>
      </x:c>
      <x:c r="AB122" s="111" t="n">
        <x:f>IFERROR(VLOOKUP($A122,'Jason FLEX'!$A$6:$N$268,10,FALSE),"")</x:f>
        <x:v>53</x:v>
      </x:c>
      <x:c r="AC122" s="111" t="n">
        <x:f>IFERROR(VLOOKUP($A122,'Jason FLEX'!$A$6:$N$268,11,FALSE),"")</x:f>
        <x:v>636</x:v>
      </x:c>
      <x:c r="AD122" s="111" t="n">
        <x:f>IFERROR(VLOOKUP($A122,'Jason FLEX'!$A$6:$N$268,12,FALSE),"")</x:f>
        <x:v>5</x:v>
      </x:c>
      <x:c r="AE122" s="111" t="n">
        <x:f>IFERROR(VLOOKUP($A122,'Jason FLEX'!$A$6:$N$268,13,FALSE),"")</x:f>
        <x:v>0</x:v>
      </x:c>
      <x:c r="AF122" s="110" t="n">
        <x:f>IF(COUNT(E122,N122,W122)=0,"",AVERAGE(E122,N122,W122))</x:f>
        <x:v>114.33333333333333</x:v>
      </x:c>
      <x:c r="AG122" s="110" t="n">
        <x:f>IF(COUNT(E122,N122,W122)=0,"",MAX(E122,N122,W122)-MIN(E122,N122,W122))</x:f>
        <x:v>14</x:v>
      </x:c>
      <x:c r="AH122" s="110" t="n">
        <x:f>IF(COUNT(F122,O122,X122)=0,"",AVERAGE(F122,O122,X122))</x:f>
        <x:v>8.6</x:v>
      </x:c>
      <x:c r="AI122" s="112" t="n">
        <x:f>IF(COUNT(G122,P122,Y122)=0,"",AVERAGE(G122,P122,Y122))</x:f>
        <x:v>0</x:v>
      </x:c>
      <x:c r="AJ122" s="112" t="n">
        <x:f>IF(COUNT(H122,Q122,Z122)=0,"",AVERAGE(H122,Q122,Z122))</x:f>
        <x:v>0</x:v>
      </x:c>
      <x:c r="AK122" s="112" t="n">
        <x:f>IF(COUNT(I122,R122,AA122)=0,"",AVERAGE(I122,R122,AA122))</x:f>
        <x:v>0</x:v>
      </x:c>
      <x:c r="AL122" s="112" t="n">
        <x:f>IF(COUNT(J122,S122,AB122)=0,"",AVERAGE(J122,S122,AB122))</x:f>
        <x:v>52.666666666666664</x:v>
      </x:c>
      <x:c r="AM122" s="112" t="n">
        <x:f>IF(COUNT(K122,T122,AC122)=0,"",AVERAGE(K122,T122,AC122))</x:f>
        <x:v>635.3333333333334</x:v>
      </x:c>
      <x:c r="AN122" s="112" t="n">
        <x:f>IF(COUNT(L122,U122,AD122)=0,"",AVERAGE(L122,U122,AD122))</x:f>
        <x:v>5</x:v>
      </x:c>
      <x:c r="AO122" s="112" t="n">
        <x:f>IF(COUNT(M122,V122,AE122)=0,"",AVERAGE(M122,V122,AE122))</x:f>
        <x:v>0</x:v>
      </x:c>
    </x:row>
    <x:row r="123">
      <x:c r="A123" s="107" t="str">
        <x:v>RJ Harvey</x:v>
      </x:c>
      <x:c r="B123" s="108" t="str">
        <x:v>RB</x:v>
      </x:c>
      <x:c r="C123" s="108" t="str">
        <x:v>DEN</x:v>
      </x:c>
      <x:c r="D123" s="109" t="n">
        <x:v>10</x:v>
      </x:c>
      <x:c r="E123" s="109" t="n">
        <x:f>IFERROR(VLOOKUP($A123,'Mike FLEX'!$A$6:$N$278,5,FALSE),"")</x:f>
        <x:v>109</x:v>
      </x:c>
      <x:c r="F123" s="110" t="n">
        <x:f>IFERROR(VLOOKUP($A123,'Mike FLEX'!$A$6:$N$278,6,FALSE),"")</x:f>
        <x:v>9</x:v>
      </x:c>
      <x:c r="G123" s="111" t="n">
        <x:f>IFERROR(VLOOKUP($A123,'Mike FLEX'!$A$6:$N$278,7,FALSE),"")</x:f>
        <x:v>121</x:v>
      </x:c>
      <x:c r="H123" s="111" t="n">
        <x:f>IFERROR(VLOOKUP($A123,'Mike FLEX'!$A$6:$N$278,8,FALSE),"")</x:f>
        <x:v>449</x:v>
      </x:c>
      <x:c r="I123" s="111" t="n">
        <x:f>IFERROR(VLOOKUP($A123,'Mike FLEX'!$A$6:$N$278,9,FALSE),"")</x:f>
        <x:v>3</x:v>
      </x:c>
      <x:c r="J123" s="111" t="n">
        <x:f>IFERROR(VLOOKUP($A123,'Mike FLEX'!$A$6:$N$278,10,FALSE),"")</x:f>
        <x:v>44</x:v>
      </x:c>
      <x:c r="K123" s="111" t="n">
        <x:f>IFERROR(VLOOKUP($A123,'Mike FLEX'!$A$6:$N$278,11,FALSE),"")</x:f>
        <x:v>331</x:v>
      </x:c>
      <x:c r="L123" s="111" t="n">
        <x:f>IFERROR(VLOOKUP($A123,'Mike FLEX'!$A$6:$N$278,12,FALSE),"")</x:f>
        <x:v>2</x:v>
      </x:c>
      <x:c r="M123" s="111" t="n">
        <x:f>IFERROR(VLOOKUP($A123,'Mike FLEX'!$A$6:$N$278,13,FALSE),"")</x:f>
        <x:v>1</x:v>
      </x:c>
      <x:c r="N123" s="109" t="n">
        <x:f>IFERROR(VLOOKUP($A123,'Andy FLEX'!$A$6:$N$278,5,FALSE),"")</x:f>
        <x:v>140</x:v>
      </x:c>
      <x:c r="O123" s="110" t="n">
        <x:f>IFERROR(VLOOKUP($A123,'Andy FLEX'!$A$6:$N$278,6,FALSE),"")</x:f>
        <x:v>7.1</x:v>
      </x:c>
      <x:c r="P123" s="111" t="n">
        <x:f>IFERROR(VLOOKUP($A123,'Andy FLEX'!$A$6:$N$278,7,FALSE),"")</x:f>
        <x:v>103</x:v>
      </x:c>
      <x:c r="Q123" s="111" t="n">
        <x:f>IFERROR(VLOOKUP($A123,'Andy FLEX'!$A$6:$N$278,8,FALSE),"")</x:f>
        <x:v>382</x:v>
      </x:c>
      <x:c r="R123" s="111" t="n">
        <x:f>IFERROR(VLOOKUP($A123,'Andy FLEX'!$A$6:$N$278,9,FALSE),"")</x:f>
        <x:v>4</x:v>
      </x:c>
      <x:c r="S123" s="111" t="n">
        <x:f>IFERROR(VLOOKUP($A123,'Andy FLEX'!$A$6:$N$278,10,FALSE),"")</x:f>
        <x:v>23</x:v>
      </x:c>
      <x:c r="T123" s="111" t="n">
        <x:f>IFERROR(VLOOKUP($A123,'Andy FLEX'!$A$6:$N$278,11,FALSE),"")</x:f>
        <x:v>240</x:v>
      </x:c>
      <x:c r="U123" s="111" t="n">
        <x:f>IFERROR(VLOOKUP($A123,'Andy FLEX'!$A$6:$N$278,12,FALSE),"")</x:f>
        <x:v>2</x:v>
      </x:c>
      <x:c r="V123" s="111" t="n">
        <x:f>IFERROR(VLOOKUP($A123,'Andy FLEX'!$A$6:$N$278,13,FALSE),"")</x:f>
        <x:v>2</x:v>
      </x:c>
      <x:c r="W123" s="109" t="n">
        <x:f>IFERROR(VLOOKUP($A123,'Jason FLEX'!$A$6:$N$268,5,FALSE),"")</x:f>
        <x:v>97</x:v>
      </x:c>
      <x:c r="X123" s="110" t="n">
        <x:f>IFERROR(VLOOKUP($A123,'Jason FLEX'!$A$6:$N$268,6,FALSE),"")</x:f>
        <x:v>9.7</x:v>
      </x:c>
      <x:c r="Y123" s="111" t="n">
        <x:f>IFERROR(VLOOKUP($A123,'Jason FLEX'!$A$6:$N$268,7,FALSE),"")</x:f>
        <x:v>122</x:v>
      </x:c>
      <x:c r="Z123" s="111" t="n">
        <x:f>IFERROR(VLOOKUP($A123,'Jason FLEX'!$A$6:$N$268,8,FALSE),"")</x:f>
        <x:v>511</x:v>
      </x:c>
      <x:c r="AA123" s="111" t="n">
        <x:f>IFERROR(VLOOKUP($A123,'Jason FLEX'!$A$6:$N$268,9,FALSE),"")</x:f>
        <x:v>5</x:v>
      </x:c>
      <x:c r="AB123" s="111" t="n">
        <x:f>IFERROR(VLOOKUP($A123,'Jason FLEX'!$A$6:$N$268,10,FALSE),"")</x:f>
        <x:v>42</x:v>
      </x:c>
      <x:c r="AC123" s="111" t="n">
        <x:f>IFERROR(VLOOKUP($A123,'Jason FLEX'!$A$6:$N$268,11,FALSE),"")</x:f>
        <x:v>300</x:v>
      </x:c>
      <x:c r="AD123" s="111" t="n">
        <x:f>IFERROR(VLOOKUP($A123,'Jason FLEX'!$A$6:$N$268,12,FALSE),"")</x:f>
        <x:v>2</x:v>
      </x:c>
      <x:c r="AE123" s="111" t="n">
        <x:f>IFERROR(VLOOKUP($A123,'Jason FLEX'!$A$6:$N$268,13,FALSE),"")</x:f>
        <x:v>1</x:v>
      </x:c>
      <x:c r="AF123" s="110" t="n">
        <x:f>IF(COUNT(E123,N123,W123)=0,"",AVERAGE(E123,N123,W123))</x:f>
        <x:v>115.33333333333333</x:v>
      </x:c>
      <x:c r="AG123" s="110" t="n">
        <x:f>IF(COUNT(E123,N123,W123)=0,"",MAX(E123,N123,W123)-MIN(E123,N123,W123))</x:f>
        <x:v>43</x:v>
      </x:c>
      <x:c r="AH123" s="110" t="n">
        <x:f>IF(COUNT(F123,O123,X123)=0,"",AVERAGE(F123,O123,X123))</x:f>
        <x:v>8.6</x:v>
      </x:c>
      <x:c r="AI123" s="112" t="n">
        <x:f>IF(COUNT(G123,P123,Y123)=0,"",AVERAGE(G123,P123,Y123))</x:f>
        <x:v>115.33333333333333</x:v>
      </x:c>
      <x:c r="AJ123" s="112" t="n">
        <x:f>IF(COUNT(H123,Q123,Z123)=0,"",AVERAGE(H123,Q123,Z123))</x:f>
        <x:v>447.3333333333333</x:v>
      </x:c>
      <x:c r="AK123" s="112" t="n">
        <x:f>IF(COUNT(I123,R123,AA123)=0,"",AVERAGE(I123,R123,AA123))</x:f>
        <x:v>4</x:v>
      </x:c>
      <x:c r="AL123" s="112" t="n">
        <x:f>IF(COUNT(J123,S123,AB123)=0,"",AVERAGE(J123,S123,AB123))</x:f>
        <x:v>36.333333333333336</x:v>
      </x:c>
      <x:c r="AM123" s="112" t="n">
        <x:f>IF(COUNT(K123,T123,AC123)=0,"",AVERAGE(K123,T123,AC123))</x:f>
        <x:v>290.3333333333333</x:v>
      </x:c>
      <x:c r="AN123" s="112" t="n">
        <x:f>IF(COUNT(L123,U123,AD123)=0,"",AVERAGE(L123,U123,AD123))</x:f>
        <x:v>2</x:v>
      </x:c>
      <x:c r="AO123" s="112" t="n">
        <x:f>IF(COUNT(M123,V123,AE123)=0,"",AVERAGE(M123,V123,AE123))</x:f>
        <x:v>1.3333333333333333</x:v>
      </x:c>
    </x:row>
    <x:row r="124">
      <x:c r="A124" s="107" t="str">
        <x:v>Tre Tucker</x:v>
      </x:c>
      <x:c r="B124" s="108" t="str">
        <x:v>WR</x:v>
      </x:c>
      <x:c r="C124" s="108" t="str">
        <x:v>LV</x:v>
      </x:c>
      <x:c r="D124" s="109" t="n">
        <x:v>13</x:v>
      </x:c>
      <x:c r="E124" s="109" t="n">
        <x:f>IFERROR(VLOOKUP($A124,'Mike FLEX'!$A$6:$N$278,5,FALSE),"")</x:f>
        <x:v>85</x:v>
      </x:c>
      <x:c r="F124" s="110" t="n">
        <x:f>IFERROR(VLOOKUP($A124,'Mike FLEX'!$A$6:$N$278,6,FALSE),"")</x:f>
        <x:v>10.3</x:v>
      </x:c>
      <x:c r="G124" s="111" t="n">
        <x:f>IFERROR(VLOOKUP($A124,'Mike FLEX'!$A$6:$N$278,7,FALSE),"")</x:f>
        <x:v>10</x:v>
      </x:c>
      <x:c r="H124" s="111" t="n">
        <x:f>IFERROR(VLOOKUP($A124,'Mike FLEX'!$A$6:$N$278,8,FALSE),"")</x:f>
        <x:v>54</x:v>
      </x:c>
      <x:c r="I124" s="111" t="n">
        <x:f>IFERROR(VLOOKUP($A124,'Mike FLEX'!$A$6:$N$278,9,FALSE),"")</x:f>
        <x:v>0</x:v>
      </x:c>
      <x:c r="J124" s="111" t="n">
        <x:f>IFERROR(VLOOKUP($A124,'Mike FLEX'!$A$6:$N$278,10,FALSE),"")</x:f>
        <x:v>62</x:v>
      </x:c>
      <x:c r="K124" s="111" t="n">
        <x:f>IFERROR(VLOOKUP($A124,'Mike FLEX'!$A$6:$N$278,11,FALSE),"")</x:f>
        <x:v>771</x:v>
      </x:c>
      <x:c r="L124" s="111" t="n">
        <x:f>IFERROR(VLOOKUP($A124,'Mike FLEX'!$A$6:$N$278,12,FALSE),"")</x:f>
        <x:v>5</x:v>
      </x:c>
      <x:c r="M124" s="111" t="n">
        <x:f>IFERROR(VLOOKUP($A124,'Mike FLEX'!$A$6:$N$278,13,FALSE),"")</x:f>
        <x:v>0</x:v>
      </x:c>
      <x:c r="N124" s="109" t="n">
        <x:f>IFERROR(VLOOKUP($A124,'Andy FLEX'!$A$6:$N$278,5,FALSE),"")</x:f>
        <x:v>127</x:v>
      </x:c>
      <x:c r="O124" s="110" t="n">
        <x:f>IFERROR(VLOOKUP($A124,'Andy FLEX'!$A$6:$N$278,6,FALSE),"")</x:f>
        <x:v>7.8</x:v>
      </x:c>
      <x:c r="P124" s="111" t="n">
        <x:f>IFERROR(VLOOKUP($A124,'Andy FLEX'!$A$6:$N$278,7,FALSE),"")</x:f>
        <x:v>6</x:v>
      </x:c>
      <x:c r="Q124" s="111" t="n">
        <x:f>IFERROR(VLOOKUP($A124,'Andy FLEX'!$A$6:$N$278,8,FALSE),"")</x:f>
        <x:v>42</x:v>
      </x:c>
      <x:c r="R124" s="111" t="n">
        <x:f>IFERROR(VLOOKUP($A124,'Andy FLEX'!$A$6:$N$278,9,FALSE),"")</x:f>
        <x:v>0</x:v>
      </x:c>
      <x:c r="S124" s="111" t="n">
        <x:f>IFERROR(VLOOKUP($A124,'Andy FLEX'!$A$6:$N$278,10,FALSE),"")</x:f>
        <x:v>49</x:v>
      </x:c>
      <x:c r="T124" s="111" t="n">
        <x:f>IFERROR(VLOOKUP($A124,'Andy FLEX'!$A$6:$N$278,11,FALSE),"")</x:f>
        <x:v>597</x:v>
      </x:c>
      <x:c r="U124" s="111" t="n">
        <x:f>IFERROR(VLOOKUP($A124,'Andy FLEX'!$A$6:$N$278,12,FALSE),"")</x:f>
        <x:v>4</x:v>
      </x:c>
      <x:c r="V124" s="111" t="n">
        <x:f>IFERROR(VLOOKUP($A124,'Andy FLEX'!$A$6:$N$278,13,FALSE),"")</x:f>
        <x:v>1</x:v>
      </x:c>
      <x:c r="W124" s="109" t="n">
        <x:f>IFERROR(VLOOKUP($A124,'Jason FLEX'!$A$6:$N$268,5,FALSE),"")</x:f>
        <x:v>139</x:v>
      </x:c>
      <x:c r="X124" s="110" t="n">
        <x:f>IFERROR(VLOOKUP($A124,'Jason FLEX'!$A$6:$N$268,6,FALSE),"")</x:f>
        <x:v>7.5</x:v>
      </x:c>
      <x:c r="Y124" s="111" t="n">
        <x:f>IFERROR(VLOOKUP($A124,'Jason FLEX'!$A$6:$N$268,7,FALSE),"")</x:f>
        <x:v>7</x:v>
      </x:c>
      <x:c r="Z124" s="111" t="n">
        <x:f>IFERROR(VLOOKUP($A124,'Jason FLEX'!$A$6:$N$268,8,FALSE),"")</x:f>
        <x:v>45</x:v>
      </x:c>
      <x:c r="AA124" s="111" t="n">
        <x:f>IFERROR(VLOOKUP($A124,'Jason FLEX'!$A$6:$N$268,9,FALSE),"")</x:f>
        <x:v>0</x:v>
      </x:c>
      <x:c r="AB124" s="111" t="n">
        <x:f>IFERROR(VLOOKUP($A124,'Jason FLEX'!$A$6:$N$268,10,FALSE),"")</x:f>
        <x:v>47</x:v>
      </x:c>
      <x:c r="AC124" s="111" t="n">
        <x:f>IFERROR(VLOOKUP($A124,'Jason FLEX'!$A$6:$N$268,11,FALSE),"")</x:f>
        <x:v>578</x:v>
      </x:c>
      <x:c r="AD124" s="111" t="n">
        <x:f>IFERROR(VLOOKUP($A124,'Jason FLEX'!$A$6:$N$268,12,FALSE),"")</x:f>
        <x:v>3</x:v>
      </x:c>
      <x:c r="AE124" s="111" t="n">
        <x:f>IFERROR(VLOOKUP($A124,'Jason FLEX'!$A$6:$N$268,13,FALSE),"")</x:f>
        <x:v>1</x:v>
      </x:c>
      <x:c r="AF124" s="110" t="n">
        <x:f>IF(COUNT(E124,N124,W124)=0,"",AVERAGE(E124,N124,W124))</x:f>
        <x:v>117</x:v>
      </x:c>
      <x:c r="AG124" s="110" t="n">
        <x:f>IF(COUNT(E124,N124,W124)=0,"",MAX(E124,N124,W124)-MIN(E124,N124,W124))</x:f>
        <x:v>54</x:v>
      </x:c>
      <x:c r="AH124" s="110" t="n">
        <x:f>IF(COUNT(F124,O124,X124)=0,"",AVERAGE(F124,O124,X124))</x:f>
        <x:v>8.533333333333333</x:v>
      </x:c>
      <x:c r="AI124" s="112" t="n">
        <x:f>IF(COUNT(G124,P124,Y124)=0,"",AVERAGE(G124,P124,Y124))</x:f>
        <x:v>7.666666666666667</x:v>
      </x:c>
      <x:c r="AJ124" s="112" t="n">
        <x:f>IF(COUNT(H124,Q124,Z124)=0,"",AVERAGE(H124,Q124,Z124))</x:f>
        <x:v>47</x:v>
      </x:c>
      <x:c r="AK124" s="112" t="n">
        <x:f>IF(COUNT(I124,R124,AA124)=0,"",AVERAGE(I124,R124,AA124))</x:f>
        <x:v>0</x:v>
      </x:c>
      <x:c r="AL124" s="112" t="n">
        <x:f>IF(COUNT(J124,S124,AB124)=0,"",AVERAGE(J124,S124,AB124))</x:f>
        <x:v>52.666666666666664</x:v>
      </x:c>
      <x:c r="AM124" s="112" t="n">
        <x:f>IF(COUNT(K124,T124,AC124)=0,"",AVERAGE(K124,T124,AC124))</x:f>
        <x:v>648.6666666666666</x:v>
      </x:c>
      <x:c r="AN124" s="112" t="n">
        <x:f>IF(COUNT(L124,U124,AD124)=0,"",AVERAGE(L124,U124,AD124))</x:f>
        <x:v>4</x:v>
      </x:c>
      <x:c r="AO124" s="112" t="n">
        <x:f>IF(COUNT(M124,V124,AE124)=0,"",AVERAGE(M124,V124,AE124))</x:f>
        <x:v>0.6666666666666666</x:v>
      </x:c>
    </x:row>
    <x:row r="125">
      <x:c r="A125" s="107" t="str">
        <x:v>Chig Okonkwo</x:v>
      </x:c>
      <x:c r="B125" s="108" t="str">
        <x:v>TE</x:v>
      </x:c>
      <x:c r="C125" s="108" t="str">
        <x:v>WAS</x:v>
      </x:c>
      <x:c r="D125" s="109" t="n">
        <x:v>7</x:v>
      </x:c>
      <x:c r="E125" s="109" t="n">
        <x:f>IFERROR(VLOOKUP($A125,'Mike FLEX'!$A$6:$N$278,5,FALSE),"")</x:f>
        <x:v>121</x:v>
      </x:c>
      <x:c r="F125" s="110" t="n">
        <x:f>IFERROR(VLOOKUP($A125,'Mike FLEX'!$A$6:$N$278,6,FALSE),"")</x:f>
        <x:v>8.3</x:v>
      </x:c>
      <x:c r="G125" s="111" t="n">
        <x:f>IFERROR(VLOOKUP($A125,'Mike FLEX'!$A$6:$N$278,7,FALSE),"")</x:f>
        <x:v>0</x:v>
      </x:c>
      <x:c r="H125" s="111" t="n">
        <x:f>IFERROR(VLOOKUP($A125,'Mike FLEX'!$A$6:$N$278,8,FALSE),"")</x:f>
        <x:v>0</x:v>
      </x:c>
      <x:c r="I125" s="111" t="n">
        <x:f>IFERROR(VLOOKUP($A125,'Mike FLEX'!$A$6:$N$278,9,FALSE),"")</x:f>
        <x:v>0</x:v>
      </x:c>
      <x:c r="J125" s="111" t="n">
        <x:f>IFERROR(VLOOKUP($A125,'Mike FLEX'!$A$6:$N$278,10,FALSE),"")</x:f>
        <x:v>59</x:v>
      </x:c>
      <x:c r="K125" s="111" t="n">
        <x:f>IFERROR(VLOOKUP($A125,'Mike FLEX'!$A$6:$N$278,11,FALSE),"")</x:f>
        <x:v>584</x:v>
      </x:c>
      <x:c r="L125" s="111" t="n">
        <x:f>IFERROR(VLOOKUP($A125,'Mike FLEX'!$A$6:$N$278,12,FALSE),"")</x:f>
        <x:v>4</x:v>
      </x:c>
      <x:c r="M125" s="111" t="n">
        <x:f>IFERROR(VLOOKUP($A125,'Mike FLEX'!$A$6:$N$278,13,FALSE),"")</x:f>
        <x:v>0</x:v>
      </x:c>
      <x:c r="N125" s="109" t="n">
        <x:f>IFERROR(VLOOKUP($A125,'Andy FLEX'!$A$6:$N$278,5,FALSE),"")</x:f>
        <x:v>112</x:v>
      </x:c>
      <x:c r="O125" s="110" t="n">
        <x:f>IFERROR(VLOOKUP($A125,'Andy FLEX'!$A$6:$N$278,6,FALSE),"")</x:f>
        <x:v>8.5</x:v>
      </x:c>
      <x:c r="P125" s="111" t="n">
        <x:f>IFERROR(VLOOKUP($A125,'Andy FLEX'!$A$6:$N$278,7,FALSE),"")</x:f>
        <x:v>2</x:v>
      </x:c>
      <x:c r="Q125" s="111" t="n">
        <x:f>IFERROR(VLOOKUP($A125,'Andy FLEX'!$A$6:$N$278,8,FALSE),"")</x:f>
        <x:v>10</x:v>
      </x:c>
      <x:c r="R125" s="111" t="n">
        <x:f>IFERROR(VLOOKUP($A125,'Andy FLEX'!$A$6:$N$278,9,FALSE),"")</x:f>
        <x:v>0</x:v>
      </x:c>
      <x:c r="S125" s="111" t="n">
        <x:f>IFERROR(VLOOKUP($A125,'Andy FLEX'!$A$6:$N$278,10,FALSE),"")</x:f>
        <x:v>58</x:v>
      </x:c>
      <x:c r="T125" s="111" t="n">
        <x:f>IFERROR(VLOOKUP($A125,'Andy FLEX'!$A$6:$N$278,11,FALSE),"")</x:f>
        <x:v>620</x:v>
      </x:c>
      <x:c r="U125" s="111" t="n">
        <x:f>IFERROR(VLOOKUP($A125,'Andy FLEX'!$A$6:$N$278,12,FALSE),"")</x:f>
        <x:v>4</x:v>
      </x:c>
      <x:c r="V125" s="111" t="n">
        <x:f>IFERROR(VLOOKUP($A125,'Andy FLEX'!$A$6:$N$278,13,FALSE),"")</x:f>
        <x:v>0</x:v>
      </x:c>
      <x:c r="W125" s="109" t="n">
        <x:f>IFERROR(VLOOKUP($A125,'Jason FLEX'!$A$6:$N$268,5,FALSE),"")</x:f>
        <x:v>121</x:v>
      </x:c>
      <x:c r="X125" s="110" t="n">
        <x:f>IFERROR(VLOOKUP($A125,'Jason FLEX'!$A$6:$N$268,6,FALSE),"")</x:f>
        <x:v>8.5</x:v>
      </x:c>
      <x:c r="Y125" s="111" t="n">
        <x:f>IFERROR(VLOOKUP($A125,'Jason FLEX'!$A$6:$N$268,7,FALSE),"")</x:f>
        <x:v>0</x:v>
      </x:c>
      <x:c r="Z125" s="111" t="n">
        <x:f>IFERROR(VLOOKUP($A125,'Jason FLEX'!$A$6:$N$268,8,FALSE),"")</x:f>
        <x:v>0</x:v>
      </x:c>
      <x:c r="AA125" s="111" t="n">
        <x:f>IFERROR(VLOOKUP($A125,'Jason FLEX'!$A$6:$N$268,9,FALSE),"")</x:f>
        <x:v>0</x:v>
      </x:c>
      <x:c r="AB125" s="111" t="n">
        <x:f>IFERROR(VLOOKUP($A125,'Jason FLEX'!$A$6:$N$268,10,FALSE),"")</x:f>
        <x:v>57</x:v>
      </x:c>
      <x:c r="AC125" s="111" t="n">
        <x:f>IFERROR(VLOOKUP($A125,'Jason FLEX'!$A$6:$N$268,11,FALSE),"")</x:f>
        <x:v>570</x:v>
      </x:c>
      <x:c r="AD125" s="111" t="n">
        <x:f>IFERROR(VLOOKUP($A125,'Jason FLEX'!$A$6:$N$268,12,FALSE),"")</x:f>
        <x:v>5</x:v>
      </x:c>
      <x:c r="AE125" s="111" t="n">
        <x:f>IFERROR(VLOOKUP($A125,'Jason FLEX'!$A$6:$N$268,13,FALSE),"")</x:f>
        <x:v>0</x:v>
      </x:c>
      <x:c r="AF125" s="110" t="n">
        <x:f>IF(COUNT(E125,N125,W125)=0,"",AVERAGE(E125,N125,W125))</x:f>
        <x:v>118</x:v>
      </x:c>
      <x:c r="AG125" s="110" t="n">
        <x:f>IF(COUNT(E125,N125,W125)=0,"",MAX(E125,N125,W125)-MIN(E125,N125,W125))</x:f>
        <x:v>9</x:v>
      </x:c>
      <x:c r="AH125" s="110" t="n">
        <x:f>IF(COUNT(F125,O125,X125)=0,"",AVERAGE(F125,O125,X125))</x:f>
        <x:v>8.433333333333334</x:v>
      </x:c>
      <x:c r="AI125" s="112" t="n">
        <x:f>IF(COUNT(G125,P125,Y125)=0,"",AVERAGE(G125,P125,Y125))</x:f>
        <x:v>0.6666666666666666</x:v>
      </x:c>
      <x:c r="AJ125" s="112" t="n">
        <x:f>IF(COUNT(H125,Q125,Z125)=0,"",AVERAGE(H125,Q125,Z125))</x:f>
        <x:v>3.3333333333333335</x:v>
      </x:c>
      <x:c r="AK125" s="112" t="n">
        <x:f>IF(COUNT(I125,R125,AA125)=0,"",AVERAGE(I125,R125,AA125))</x:f>
        <x:v>0</x:v>
      </x:c>
      <x:c r="AL125" s="112" t="n">
        <x:f>IF(COUNT(J125,S125,AB125)=0,"",AVERAGE(J125,S125,AB125))</x:f>
        <x:v>58</x:v>
      </x:c>
      <x:c r="AM125" s="112" t="n">
        <x:f>IF(COUNT(K125,T125,AC125)=0,"",AVERAGE(K125,T125,AC125))</x:f>
        <x:v>591.3333333333334</x:v>
      </x:c>
      <x:c r="AN125" s="112" t="n">
        <x:f>IF(COUNT(L125,U125,AD125)=0,"",AVERAGE(L125,U125,AD125))</x:f>
        <x:v>4.333333333333333</x:v>
      </x:c>
      <x:c r="AO125" s="112" t="n">
        <x:f>IF(COUNT(M125,V125,AE125)=0,"",AVERAGE(M125,V125,AE125))</x:f>
        <x:v>0</x:v>
      </x:c>
    </x:row>
    <x:row r="126">
      <x:c r="A126" s="107" t="str">
        <x:v>Aaron Jones Sr.</x:v>
      </x:c>
      <x:c r="B126" s="108" t="str">
        <x:v>RB</x:v>
      </x:c>
      <x:c r="C126" s="108" t="str">
        <x:v>MIN</x:v>
      </x:c>
      <x:c r="D126" s="109" t="n">
        <x:v>6</x:v>
      </x:c>
      <x:c r="E126" s="109" t="n">
        <x:f>IFERROR(VLOOKUP($A126,'Mike FLEX'!$A$6:$N$278,5,FALSE),"")</x:f>
        <x:v>115</x:v>
      </x:c>
      <x:c r="F126" s="110" t="n">
        <x:f>IFERROR(VLOOKUP($A126,'Mike FLEX'!$A$6:$N$278,6,FALSE),"")</x:f>
        <x:v>8.5</x:v>
      </x:c>
      <x:c r="G126" s="111" t="n">
        <x:f>IFERROR(VLOOKUP($A126,'Mike FLEX'!$A$6:$N$278,7,FALSE),"")</x:f>
        <x:v>133</x:v>
      </x:c>
      <x:c r="H126" s="111" t="n">
        <x:f>IFERROR(VLOOKUP($A126,'Mike FLEX'!$A$6:$N$278,8,FALSE),"")</x:f>
        <x:v>599</x:v>
      </x:c>
      <x:c r="I126" s="111" t="n">
        <x:f>IFERROR(VLOOKUP($A126,'Mike FLEX'!$A$6:$N$278,9,FALSE),"")</x:f>
        <x:v>4</x:v>
      </x:c>
      <x:c r="J126" s="111" t="n">
        <x:f>IFERROR(VLOOKUP($A126,'Mike FLEX'!$A$6:$N$278,10,FALSE),"")</x:f>
        <x:v>32</x:v>
      </x:c>
      <x:c r="K126" s="111" t="n">
        <x:f>IFERROR(VLOOKUP($A126,'Mike FLEX'!$A$6:$N$278,11,FALSE),"")</x:f>
        <x:v>246</x:v>
      </x:c>
      <x:c r="L126" s="111" t="n">
        <x:f>IFERROR(VLOOKUP($A126,'Mike FLEX'!$A$6:$N$278,12,FALSE),"")</x:f>
        <x:v>2</x:v>
      </x:c>
      <x:c r="M126" s="111" t="n">
        <x:f>IFERROR(VLOOKUP($A126,'Mike FLEX'!$A$6:$N$278,13,FALSE),"")</x:f>
        <x:v>3</x:v>
      </x:c>
      <x:c r="N126" s="109" t="n">
        <x:f>IFERROR(VLOOKUP($A126,'Andy FLEX'!$A$6:$N$278,5,FALSE),"")</x:f>
        <x:v>143</x:v>
      </x:c>
      <x:c r="O126" s="110" t="n">
        <x:f>IFERROR(VLOOKUP($A126,'Andy FLEX'!$A$6:$N$278,6,FALSE),"")</x:f>
        <x:v>6.9</x:v>
      </x:c>
      <x:c r="P126" s="111" t="n">
        <x:f>IFERROR(VLOOKUP($A126,'Andy FLEX'!$A$6:$N$278,7,FALSE),"")</x:f>
        <x:v>126</x:v>
      </x:c>
      <x:c r="Q126" s="111" t="n">
        <x:f>IFERROR(VLOOKUP($A126,'Andy FLEX'!$A$6:$N$278,8,FALSE),"")</x:f>
        <x:v>515</x:v>
      </x:c>
      <x:c r="R126" s="111" t="n">
        <x:f>IFERROR(VLOOKUP($A126,'Andy FLEX'!$A$6:$N$278,9,FALSE),"")</x:f>
        <x:v>3</x:v>
      </x:c>
      <x:c r="S126" s="111" t="n">
        <x:f>IFERROR(VLOOKUP($A126,'Andy FLEX'!$A$6:$N$278,10,FALSE),"")</x:f>
        <x:v>23</x:v>
      </x:c>
      <x:c r="T126" s="111" t="n">
        <x:f>IFERROR(VLOOKUP($A126,'Andy FLEX'!$A$6:$N$278,11,FALSE),"")</x:f>
        <x:v>176</x:v>
      </x:c>
      <x:c r="U126" s="111" t="n">
        <x:f>IFERROR(VLOOKUP($A126,'Andy FLEX'!$A$6:$N$278,12,FALSE),"")</x:f>
        <x:v>2</x:v>
      </x:c>
      <x:c r="V126" s="111" t="n">
        <x:f>IFERROR(VLOOKUP($A126,'Andy FLEX'!$A$6:$N$278,13,FALSE),"")</x:f>
        <x:v>1</x:v>
      </x:c>
      <x:c r="W126" s="109" t="n">
        <x:f>IFERROR(VLOOKUP($A126,'Jason FLEX'!$A$6:$N$268,5,FALSE),"")</x:f>
        <x:v>115</x:v>
      </x:c>
      <x:c r="X126" s="110" t="n">
        <x:f>IFERROR(VLOOKUP($A126,'Jason FLEX'!$A$6:$N$268,6,FALSE),"")</x:f>
        <x:v>9</x:v>
      </x:c>
      <x:c r="Y126" s="111" t="n">
        <x:f>IFERROR(VLOOKUP($A126,'Jason FLEX'!$A$6:$N$268,7,FALSE),"")</x:f>
        <x:v>145</x:v>
      </x:c>
      <x:c r="Z126" s="111" t="n">
        <x:f>IFERROR(VLOOKUP($A126,'Jason FLEX'!$A$6:$N$268,8,FALSE),"")</x:f>
        <x:v>609</x:v>
      </x:c>
      <x:c r="AA126" s="111" t="n">
        <x:f>IFERROR(VLOOKUP($A126,'Jason FLEX'!$A$6:$N$268,9,FALSE),"")</x:f>
        <x:v>5</x:v>
      </x:c>
      <x:c r="AB126" s="111" t="n">
        <x:f>IFERROR(VLOOKUP($A126,'Jason FLEX'!$A$6:$N$268,10,FALSE),"")</x:f>
        <x:v>36</x:v>
      </x:c>
      <x:c r="AC126" s="111" t="n">
        <x:f>IFERROR(VLOOKUP($A126,'Jason FLEX'!$A$6:$N$268,11,FALSE),"")</x:f>
        <x:v>245</x:v>
      </x:c>
      <x:c r="AD126" s="111" t="n">
        <x:f>IFERROR(VLOOKUP($A126,'Jason FLEX'!$A$6:$N$268,12,FALSE),"")</x:f>
        <x:v>1</x:v>
      </x:c>
      <x:c r="AE126" s="111" t="n">
        <x:f>IFERROR(VLOOKUP($A126,'Jason FLEX'!$A$6:$N$268,13,FALSE),"")</x:f>
        <x:v>2</x:v>
      </x:c>
      <x:c r="AF126" s="110" t="n">
        <x:f>IF(COUNT(E126,N126,W126)=0,"",AVERAGE(E126,N126,W126))</x:f>
        <x:v>124.33333333333333</x:v>
      </x:c>
      <x:c r="AG126" s="110" t="n">
        <x:f>IF(COUNT(E126,N126,W126)=0,"",MAX(E126,N126,W126)-MIN(E126,N126,W126))</x:f>
        <x:v>28</x:v>
      </x:c>
      <x:c r="AH126" s="110" t="n">
        <x:f>IF(COUNT(F126,O126,X126)=0,"",AVERAGE(F126,O126,X126))</x:f>
        <x:v>8.133333333333333</x:v>
      </x:c>
      <x:c r="AI126" s="112" t="n">
        <x:f>IF(COUNT(G126,P126,Y126)=0,"",AVERAGE(G126,P126,Y126))</x:f>
        <x:v>134.66666666666666</x:v>
      </x:c>
      <x:c r="AJ126" s="112" t="n">
        <x:f>IF(COUNT(H126,Q126,Z126)=0,"",AVERAGE(H126,Q126,Z126))</x:f>
        <x:v>574.3333333333334</x:v>
      </x:c>
      <x:c r="AK126" s="112" t="n">
        <x:f>IF(COUNT(I126,R126,AA126)=0,"",AVERAGE(I126,R126,AA126))</x:f>
        <x:v>4</x:v>
      </x:c>
      <x:c r="AL126" s="112" t="n">
        <x:f>IF(COUNT(J126,S126,AB126)=0,"",AVERAGE(J126,S126,AB126))</x:f>
        <x:v>30.333333333333332</x:v>
      </x:c>
      <x:c r="AM126" s="112" t="n">
        <x:f>IF(COUNT(K126,T126,AC126)=0,"",AVERAGE(K126,T126,AC126))</x:f>
        <x:v>222.33333333333334</x:v>
      </x:c>
      <x:c r="AN126" s="112" t="n">
        <x:f>IF(COUNT(L126,U126,AD126)=0,"",AVERAGE(L126,U126,AD126))</x:f>
        <x:v>1.6666666666666667</x:v>
      </x:c>
      <x:c r="AO126" s="112" t="n">
        <x:f>IF(COUNT(M126,V126,AE126)=0,"",AVERAGE(M126,V126,AE126))</x:f>
        <x:v>2</x:v>
      </x:c>
    </x:row>
    <x:row r="127">
      <x:c r="A127" s="107" t="str">
        <x:v>Tyjae Spears</x:v>
      </x:c>
      <x:c r="B127" s="108" t="str">
        <x:v>RB</x:v>
      </x:c>
      <x:c r="C127" s="108" t="str">
        <x:v>TEN</x:v>
      </x:c>
      <x:c r="D127" s="109" t="n">
        <x:v>9</x:v>
      </x:c>
      <x:c r="E127" s="109" t="n">
        <x:f>IFERROR(VLOOKUP($A127,'Mike FLEX'!$A$6:$N$278,5,FALSE),"")</x:f>
        <x:v>136</x:v>
      </x:c>
      <x:c r="F127" s="110" t="n">
        <x:f>IFERROR(VLOOKUP($A127,'Mike FLEX'!$A$6:$N$278,6,FALSE),"")</x:f>
        <x:v>7</x:v>
      </x:c>
      <x:c r="G127" s="111" t="n">
        <x:f>IFERROR(VLOOKUP($A127,'Mike FLEX'!$A$6:$N$278,7,FALSE),"")</x:f>
        <x:v>71</x:v>
      </x:c>
      <x:c r="H127" s="111" t="n">
        <x:f>IFERROR(VLOOKUP($A127,'Mike FLEX'!$A$6:$N$278,8,FALSE),"")</x:f>
        <x:v>282</x:v>
      </x:c>
      <x:c r="I127" s="111" t="n">
        <x:f>IFERROR(VLOOKUP($A127,'Mike FLEX'!$A$6:$N$278,9,FALSE),"")</x:f>
        <x:v>2</x:v>
      </x:c>
      <x:c r="J127" s="111" t="n">
        <x:f>IFERROR(VLOOKUP($A127,'Mike FLEX'!$A$6:$N$278,10,FALSE),"")</x:f>
        <x:v>43</x:v>
      </x:c>
      <x:c r="K127" s="111" t="n">
        <x:f>IFERROR(VLOOKUP($A127,'Mike FLEX'!$A$6:$N$278,11,FALSE),"")</x:f>
        <x:v>292</x:v>
      </x:c>
      <x:c r="L127" s="111" t="n">
        <x:f>IFERROR(VLOOKUP($A127,'Mike FLEX'!$A$6:$N$278,12,FALSE),"")</x:f>
        <x:v>1</x:v>
      </x:c>
      <x:c r="M127" s="111" t="n">
        <x:f>IFERROR(VLOOKUP($A127,'Mike FLEX'!$A$6:$N$278,13,FALSE),"")</x:f>
        <x:v>0</x:v>
      </x:c>
      <x:c r="N127" s="109" t="n">
        <x:f>IFERROR(VLOOKUP($A127,'Andy FLEX'!$A$6:$N$278,5,FALSE),"")</x:f>
        <x:v>95</x:v>
      </x:c>
      <x:c r="O127" s="110" t="n">
        <x:f>IFERROR(VLOOKUP($A127,'Andy FLEX'!$A$6:$N$278,6,FALSE),"")</x:f>
        <x:v>9.7</x:v>
      </x:c>
      <x:c r="P127" s="111" t="n">
        <x:f>IFERROR(VLOOKUP($A127,'Andy FLEX'!$A$6:$N$278,7,FALSE),"")</x:f>
        <x:v>146</x:v>
      </x:c>
      <x:c r="Q127" s="111" t="n">
        <x:f>IFERROR(VLOOKUP($A127,'Andy FLEX'!$A$6:$N$278,8,FALSE),"")</x:f>
        <x:v>635</x:v>
      </x:c>
      <x:c r="R127" s="111" t="n">
        <x:f>IFERROR(VLOOKUP($A127,'Andy FLEX'!$A$6:$N$278,9,FALSE),"")</x:f>
        <x:v>4</x:v>
      </x:c>
      <x:c r="S127" s="111" t="n">
        <x:f>IFERROR(VLOOKUP($A127,'Andy FLEX'!$A$6:$N$278,10,FALSE),"")</x:f>
        <x:v>44</x:v>
      </x:c>
      <x:c r="T127" s="111" t="n">
        <x:f>IFERROR(VLOOKUP($A127,'Andy FLEX'!$A$6:$N$278,11,FALSE),"")</x:f>
        <x:v>299</x:v>
      </x:c>
      <x:c r="U127" s="111" t="n">
        <x:f>IFERROR(VLOOKUP($A127,'Andy FLEX'!$A$6:$N$278,12,FALSE),"")</x:f>
        <x:v>1</x:v>
      </x:c>
      <x:c r="V127" s="111" t="n">
        <x:f>IFERROR(VLOOKUP($A127,'Andy FLEX'!$A$6:$N$278,13,FALSE),"")</x:f>
        <x:v>1</x:v>
      </x:c>
      <x:c r="W127" s="109" t="n">
        <x:f>IFERROR(VLOOKUP($A127,'Jason FLEX'!$A$6:$N$268,5,FALSE),"")</x:f>
        <x:v>149</x:v>
      </x:c>
      <x:c r="X127" s="110" t="n">
        <x:f>IFERROR(VLOOKUP($A127,'Jason FLEX'!$A$6:$N$268,6,FALSE),"")</x:f>
        <x:v>6.9</x:v>
      </x:c>
      <x:c r="Y127" s="111" t="n">
        <x:f>IFERROR(VLOOKUP($A127,'Jason FLEX'!$A$6:$N$268,7,FALSE),"")</x:f>
        <x:v>90</x:v>
      </x:c>
      <x:c r="Z127" s="111" t="n">
        <x:f>IFERROR(VLOOKUP($A127,'Jason FLEX'!$A$6:$N$268,8,FALSE),"")</x:f>
        <x:v>385</x:v>
      </x:c>
      <x:c r="AA127" s="111" t="n">
        <x:f>IFERROR(VLOOKUP($A127,'Jason FLEX'!$A$6:$N$268,9,FALSE),"")</x:f>
        <x:v>2</x:v>
      </x:c>
      <x:c r="AB127" s="111" t="n">
        <x:f>IFERROR(VLOOKUP($A127,'Jason FLEX'!$A$6:$N$268,10,FALSE),"")</x:f>
        <x:v>35</x:v>
      </x:c>
      <x:c r="AC127" s="111" t="n">
        <x:f>IFERROR(VLOOKUP($A127,'Jason FLEX'!$A$6:$N$268,11,FALSE),"")</x:f>
        <x:v>252</x:v>
      </x:c>
      <x:c r="AD127" s="111" t="n">
        <x:f>IFERROR(VLOOKUP($A127,'Jason FLEX'!$A$6:$N$268,12,FALSE),"")</x:f>
        <x:v>2</x:v>
      </x:c>
      <x:c r="AE127" s="111" t="n">
        <x:f>IFERROR(VLOOKUP($A127,'Jason FLEX'!$A$6:$N$268,13,FALSE),"")</x:f>
        <x:v>1</x:v>
      </x:c>
      <x:c r="AF127" s="110" t="n">
        <x:f>IF(COUNT(E127,N127,W127)=0,"",AVERAGE(E127,N127,W127))</x:f>
        <x:v>126.66666666666667</x:v>
      </x:c>
      <x:c r="AG127" s="110" t="n">
        <x:f>IF(COUNT(E127,N127,W127)=0,"",MAX(E127,N127,W127)-MIN(E127,N127,W127))</x:f>
        <x:v>54</x:v>
      </x:c>
      <x:c r="AH127" s="110" t="n">
        <x:f>IF(COUNT(F127,O127,X127)=0,"",AVERAGE(F127,O127,X127))</x:f>
        <x:v>7.866666666666667</x:v>
      </x:c>
      <x:c r="AI127" s="112" t="n">
        <x:f>IF(COUNT(G127,P127,Y127)=0,"",AVERAGE(G127,P127,Y127))</x:f>
        <x:v>102.33333333333333</x:v>
      </x:c>
      <x:c r="AJ127" s="112" t="n">
        <x:f>IF(COUNT(H127,Q127,Z127)=0,"",AVERAGE(H127,Q127,Z127))</x:f>
        <x:v>434</x:v>
      </x:c>
      <x:c r="AK127" s="112" t="n">
        <x:f>IF(COUNT(I127,R127,AA127)=0,"",AVERAGE(I127,R127,AA127))</x:f>
        <x:v>2.6666666666666665</x:v>
      </x:c>
      <x:c r="AL127" s="112" t="n">
        <x:f>IF(COUNT(J127,S127,AB127)=0,"",AVERAGE(J127,S127,AB127))</x:f>
        <x:v>40.666666666666664</x:v>
      </x:c>
      <x:c r="AM127" s="112" t="n">
        <x:f>IF(COUNT(K127,T127,AC127)=0,"",AVERAGE(K127,T127,AC127))</x:f>
        <x:v>281</x:v>
      </x:c>
      <x:c r="AN127" s="112" t="n">
        <x:f>IF(COUNT(L127,U127,AD127)=0,"",AVERAGE(L127,U127,AD127))</x:f>
        <x:v>1.3333333333333333</x:v>
      </x:c>
      <x:c r="AO127" s="112" t="n">
        <x:f>IF(COUNT(M127,V127,AE127)=0,"",AVERAGE(M127,V127,AE127))</x:f>
        <x:v>0.6666666666666666</x:v>
      </x:c>
    </x:row>
    <x:row r="128">
      <x:c r="A128" s="107" t="str">
        <x:v>Omar Cooper Jr.</x:v>
      </x:c>
      <x:c r="B128" s="108" t="str">
        <x:v>WR</x:v>
      </x:c>
      <x:c r="C128" s="108" t="str">
        <x:v>NYJ</x:v>
      </x:c>
      <x:c r="D128" s="109" t="n">
        <x:v>13</x:v>
      </x:c>
      <x:c r="E128" s="109" t="n">
        <x:f>IFERROR(VLOOKUP($A128,'Mike FLEX'!$A$6:$N$278,5,FALSE),"")</x:f>
        <x:v>146</x:v>
      </x:c>
      <x:c r="F128" s="110" t="n">
        <x:f>IFERROR(VLOOKUP($A128,'Mike FLEX'!$A$6:$N$278,6,FALSE),"")</x:f>
        <x:v>6.7</x:v>
      </x:c>
      <x:c r="G128" s="111" t="n">
        <x:f>IFERROR(VLOOKUP($A128,'Mike FLEX'!$A$6:$N$278,7,FALSE),"")</x:f>
        <x:v>0</x:v>
      </x:c>
      <x:c r="H128" s="111" t="n">
        <x:f>IFERROR(VLOOKUP($A128,'Mike FLEX'!$A$6:$N$278,8,FALSE),"")</x:f>
        <x:v>0</x:v>
      </x:c>
      <x:c r="I128" s="111" t="n">
        <x:f>IFERROR(VLOOKUP($A128,'Mike FLEX'!$A$6:$N$278,9,FALSE),"")</x:f>
        <x:v>0</x:v>
      </x:c>
      <x:c r="J128" s="111" t="n">
        <x:f>IFERROR(VLOOKUP($A128,'Mike FLEX'!$A$6:$N$278,10,FALSE),"")</x:f>
        <x:v>43</x:v>
      </x:c>
      <x:c r="K128" s="111" t="n">
        <x:f>IFERROR(VLOOKUP($A128,'Mike FLEX'!$A$6:$N$278,11,FALSE),"")</x:f>
        <x:v>523</x:v>
      </x:c>
      <x:c r="L128" s="111" t="n">
        <x:f>IFERROR(VLOOKUP($A128,'Mike FLEX'!$A$6:$N$278,12,FALSE),"")</x:f>
        <x:v>3</x:v>
      </x:c>
      <x:c r="M128" s="111" t="n">
        <x:f>IFERROR(VLOOKUP($A128,'Mike FLEX'!$A$6:$N$278,13,FALSE),"")</x:f>
        <x:v>0</x:v>
      </x:c>
      <x:c r="N128" s="109" t="n">
        <x:f>IFERROR(VLOOKUP($A128,'Andy FLEX'!$A$6:$N$278,5,FALSE),"")</x:f>
        <x:v>128</x:v>
      </x:c>
      <x:c r="O128" s="110" t="n">
        <x:f>IFERROR(VLOOKUP($A128,'Andy FLEX'!$A$6:$N$278,6,FALSE),"")</x:f>
        <x:v>7.7</x:v>
      </x:c>
      <x:c r="P128" s="111" t="n">
        <x:f>IFERROR(VLOOKUP($A128,'Andy FLEX'!$A$6:$N$278,7,FALSE),"")</x:f>
        <x:v>8</x:v>
      </x:c>
      <x:c r="Q128" s="111" t="n">
        <x:f>IFERROR(VLOOKUP($A128,'Andy FLEX'!$A$6:$N$278,8,FALSE),"")</x:f>
        <x:v>46</x:v>
      </x:c>
      <x:c r="R128" s="111" t="n">
        <x:f>IFERROR(VLOOKUP($A128,'Andy FLEX'!$A$6:$N$278,9,FALSE),"")</x:f>
        <x:v>0</x:v>
      </x:c>
      <x:c r="S128" s="111" t="n">
        <x:f>IFERROR(VLOOKUP($A128,'Andy FLEX'!$A$6:$N$278,10,FALSE),"")</x:f>
        <x:v>45</x:v>
      </x:c>
      <x:c r="T128" s="111" t="n">
        <x:f>IFERROR(VLOOKUP($A128,'Andy FLEX'!$A$6:$N$278,11,FALSE),"")</x:f>
        <x:v>582</x:v>
      </x:c>
      <x:c r="U128" s="111" t="n">
        <x:f>IFERROR(VLOOKUP($A128,'Andy FLEX'!$A$6:$N$278,12,FALSE),"")</x:f>
        <x:v>4</x:v>
      </x:c>
      <x:c r="V128" s="111" t="n">
        <x:f>IFERROR(VLOOKUP($A128,'Andy FLEX'!$A$6:$N$278,13,FALSE),"")</x:f>
        <x:v>1</x:v>
      </x:c>
      <x:c r="W128" s="109" t="n">
        <x:f>IFERROR(VLOOKUP($A128,'Jason FLEX'!$A$6:$N$268,5,FALSE),"")</x:f>
        <x:v>110</x:v>
      </x:c>
      <x:c r="X128" s="110" t="n">
        <x:f>IFERROR(VLOOKUP($A128,'Jason FLEX'!$A$6:$N$268,6,FALSE),"")</x:f>
        <x:v>9.2</x:v>
      </x:c>
      <x:c r="Y128" s="111" t="n">
        <x:f>IFERROR(VLOOKUP($A128,'Jason FLEX'!$A$6:$N$268,7,FALSE),"")</x:f>
        <x:v>1</x:v>
      </x:c>
      <x:c r="Z128" s="111" t="n">
        <x:f>IFERROR(VLOOKUP($A128,'Jason FLEX'!$A$6:$N$268,8,FALSE),"")</x:f>
        <x:v>4</x:v>
      </x:c>
      <x:c r="AA128" s="111" t="n">
        <x:f>IFERROR(VLOOKUP($A128,'Jason FLEX'!$A$6:$N$268,9,FALSE),"")</x:f>
        <x:v>0</x:v>
      </x:c>
      <x:c r="AB128" s="111" t="n">
        <x:f>IFERROR(VLOOKUP($A128,'Jason FLEX'!$A$6:$N$268,10,FALSE),"")</x:f>
        <x:v>63</x:v>
      </x:c>
      <x:c r="AC128" s="111" t="n">
        <x:f>IFERROR(VLOOKUP($A128,'Jason FLEX'!$A$6:$N$268,11,FALSE),"")</x:f>
        <x:v>662</x:v>
      </x:c>
      <x:c r="AD128" s="111" t="n">
        <x:f>IFERROR(VLOOKUP($A128,'Jason FLEX'!$A$6:$N$268,12,FALSE),"")</x:f>
        <x:v>5</x:v>
      </x:c>
      <x:c r="AE128" s="111" t="n">
        <x:f>IFERROR(VLOOKUP($A128,'Jason FLEX'!$A$6:$N$268,13,FALSE),"")</x:f>
        <x:v>0</x:v>
      </x:c>
      <x:c r="AF128" s="110" t="n">
        <x:f>IF(COUNT(E128,N128,W128)=0,"",AVERAGE(E128,N128,W128))</x:f>
        <x:v>128</x:v>
      </x:c>
      <x:c r="AG128" s="110" t="n">
        <x:f>IF(COUNT(E128,N128,W128)=0,"",MAX(E128,N128,W128)-MIN(E128,N128,W128))</x:f>
        <x:v>36</x:v>
      </x:c>
      <x:c r="AH128" s="110" t="n">
        <x:f>IF(COUNT(F128,O128,X128)=0,"",AVERAGE(F128,O128,X128))</x:f>
        <x:v>7.866666666666667</x:v>
      </x:c>
      <x:c r="AI128" s="112" t="n">
        <x:f>IF(COUNT(G128,P128,Y128)=0,"",AVERAGE(G128,P128,Y128))</x:f>
        <x:v>3</x:v>
      </x:c>
      <x:c r="AJ128" s="112" t="n">
        <x:f>IF(COUNT(H128,Q128,Z128)=0,"",AVERAGE(H128,Q128,Z128))</x:f>
        <x:v>16.666666666666668</x:v>
      </x:c>
      <x:c r="AK128" s="112" t="n">
        <x:f>IF(COUNT(I128,R128,AA128)=0,"",AVERAGE(I128,R128,AA128))</x:f>
        <x:v>0</x:v>
      </x:c>
      <x:c r="AL128" s="112" t="n">
        <x:f>IF(COUNT(J128,S128,AB128)=0,"",AVERAGE(J128,S128,AB128))</x:f>
        <x:v>50.333333333333336</x:v>
      </x:c>
      <x:c r="AM128" s="112" t="n">
        <x:f>IF(COUNT(K128,T128,AC128)=0,"",AVERAGE(K128,T128,AC128))</x:f>
        <x:v>589</x:v>
      </x:c>
      <x:c r="AN128" s="112" t="n">
        <x:f>IF(COUNT(L128,U128,AD128)=0,"",AVERAGE(L128,U128,AD128))</x:f>
        <x:v>4</x:v>
      </x:c>
      <x:c r="AO128" s="112" t="n">
        <x:f>IF(COUNT(M128,V128,AE128)=0,"",AVERAGE(M128,V128,AE128))</x:f>
        <x:v>0.3333333333333333</x:v>
      </x:c>
    </x:row>
    <x:row r="129">
      <x:c r="A129" s="107" t="str">
        <x:v>Deebo Samuel Sr.</x:v>
      </x:c>
      <x:c r="B129" s="108" t="str">
        <x:v>WR</x:v>
      </x:c>
      <x:c r="C129" s="108" t="str">
        <x:v>SF</x:v>
      </x:c>
      <x:c r="D129" s="109" t="n">
        <x:v>8</x:v>
      </x:c>
      <x:c r="E129" s="109" t="n">
        <x:f>IFERROR(VLOOKUP($A129,'Mike FLEX'!$A$6:$N$278,5,FALSE),"")</x:f>
        <x:v>124</x:v>
      </x:c>
      <x:c r="F129" s="110" t="n">
        <x:f>IFERROR(VLOOKUP($A129,'Mike FLEX'!$A$6:$N$278,6,FALSE),"")</x:f>
        <x:v>8</x:v>
      </x:c>
      <x:c r="G129" s="111" t="n">
        <x:f>IFERROR(VLOOKUP($A129,'Mike FLEX'!$A$6:$N$278,7,FALSE),"")</x:f>
        <x:v>14</x:v>
      </x:c>
      <x:c r="H129" s="111" t="n">
        <x:f>IFERROR(VLOOKUP($A129,'Mike FLEX'!$A$6:$N$278,8,FALSE),"")</x:f>
        <x:v>56</x:v>
      </x:c>
      <x:c r="I129" s="111" t="n">
        <x:f>IFERROR(VLOOKUP($A129,'Mike FLEX'!$A$6:$N$278,9,FALSE),"")</x:f>
        <x:v>0</x:v>
      </x:c>
      <x:c r="J129" s="111" t="n">
        <x:f>IFERROR(VLOOKUP($A129,'Mike FLEX'!$A$6:$N$278,10,FALSE),"")</x:f>
        <x:v>55</x:v>
      </x:c>
      <x:c r="K129" s="111" t="n">
        <x:f>IFERROR(VLOOKUP($A129,'Mike FLEX'!$A$6:$N$278,11,FALSE),"")</x:f>
        <x:v>545</x:v>
      </x:c>
      <x:c r="L129" s="111" t="n">
        <x:f>IFERROR(VLOOKUP($A129,'Mike FLEX'!$A$6:$N$278,12,FALSE),"")</x:f>
        <x:v>3</x:v>
      </x:c>
      <x:c r="M129" s="111" t="n">
        <x:f>IFERROR(VLOOKUP($A129,'Mike FLEX'!$A$6:$N$278,13,FALSE),"")</x:f>
        <x:v>1</x:v>
      </x:c>
      <x:c r="N129" s="109" t="n">
        <x:f>IFERROR(VLOOKUP($A129,'Andy FLEX'!$A$6:$N$278,5,FALSE),"")</x:f>
        <x:v>144</x:v>
      </x:c>
      <x:c r="O129" s="110" t="n">
        <x:f>IFERROR(VLOOKUP($A129,'Andy FLEX'!$A$6:$N$278,6,FALSE),"")</x:f>
        <x:v>6.9</x:v>
      </x:c>
      <x:c r="P129" s="111" t="n">
        <x:f>IFERROR(VLOOKUP($A129,'Andy FLEX'!$A$6:$N$278,7,FALSE),"")</x:f>
        <x:v>27</x:v>
      </x:c>
      <x:c r="Q129" s="111" t="n">
        <x:f>IFERROR(VLOOKUP($A129,'Andy FLEX'!$A$6:$N$278,8,FALSE),"")</x:f>
        <x:v>142</x:v>
      </x:c>
      <x:c r="R129" s="111" t="n">
        <x:f>IFERROR(VLOOKUP($A129,'Andy FLEX'!$A$6:$N$278,9,FALSE),"")</x:f>
        <x:v>1</x:v>
      </x:c>
      <x:c r="S129" s="111" t="n">
        <x:f>IFERROR(VLOOKUP($A129,'Andy FLEX'!$A$6:$N$278,10,FALSE),"")</x:f>
        <x:v>41</x:v>
      </x:c>
      <x:c r="T129" s="111" t="n">
        <x:f>IFERROR(VLOOKUP($A129,'Andy FLEX'!$A$6:$N$278,11,FALSE),"")</x:f>
        <x:v>423</x:v>
      </x:c>
      <x:c r="U129" s="111" t="n">
        <x:f>IFERROR(VLOOKUP($A129,'Andy FLEX'!$A$6:$N$278,12,FALSE),"")</x:f>
        <x:v>3</x:v>
      </x:c>
      <x:c r="V129" s="111" t="n">
        <x:f>IFERROR(VLOOKUP($A129,'Andy FLEX'!$A$6:$N$278,13,FALSE),"")</x:f>
        <x:v>1</x:v>
      </x:c>
      <x:c r="W129" s="109" t="n">
        <x:f>IFERROR(VLOOKUP($A129,'Jason FLEX'!$A$6:$N$268,5,FALSE),"")</x:f>
        <x:v>117</x:v>
      </x:c>
      <x:c r="X129" s="110" t="n">
        <x:f>IFERROR(VLOOKUP($A129,'Jason FLEX'!$A$6:$N$268,6,FALSE),"")</x:f>
        <x:v>8.7</x:v>
      </x:c>
      <x:c r="Y129" s="111" t="n">
        <x:f>IFERROR(VLOOKUP($A129,'Jason FLEX'!$A$6:$N$268,7,FALSE),"")</x:f>
        <x:v>12</x:v>
      </x:c>
      <x:c r="Z129" s="111" t="n">
        <x:f>IFERROR(VLOOKUP($A129,'Jason FLEX'!$A$6:$N$268,8,FALSE),"")</x:f>
        <x:v>48</x:v>
      </x:c>
      <x:c r="AA129" s="111" t="n">
        <x:f>IFERROR(VLOOKUP($A129,'Jason FLEX'!$A$6:$N$268,9,FALSE),"")</x:f>
        <x:v>1</x:v>
      </x:c>
      <x:c r="AB129" s="111" t="n">
        <x:f>IFERROR(VLOOKUP($A129,'Jason FLEX'!$A$6:$N$268,10,FALSE),"")</x:f>
        <x:v>58</x:v>
      </x:c>
      <x:c r="AC129" s="111" t="n">
        <x:f>IFERROR(VLOOKUP($A129,'Jason FLEX'!$A$6:$N$268,11,FALSE),"")</x:f>
        <x:v>569</x:v>
      </x:c>
      <x:c r="AD129" s="111" t="n">
        <x:f>IFERROR(VLOOKUP($A129,'Jason FLEX'!$A$6:$N$268,12,FALSE),"")</x:f>
        <x:v>4</x:v>
      </x:c>
      <x:c r="AE129" s="111" t="n">
        <x:f>IFERROR(VLOOKUP($A129,'Jason FLEX'!$A$6:$N$268,13,FALSE),"")</x:f>
        <x:v>1</x:v>
      </x:c>
      <x:c r="AF129" s="110" t="n">
        <x:f>IF(COUNT(E129,N129,W129)=0,"",AVERAGE(E129,N129,W129))</x:f>
        <x:v>128.33333333333334</x:v>
      </x:c>
      <x:c r="AG129" s="110" t="n">
        <x:f>IF(COUNT(E129,N129,W129)=0,"",MAX(E129,N129,W129)-MIN(E129,N129,W129))</x:f>
        <x:v>27</x:v>
      </x:c>
      <x:c r="AH129" s="110" t="n">
        <x:f>IF(COUNT(F129,O129,X129)=0,"",AVERAGE(F129,O129,X129))</x:f>
        <x:v>7.866666666666667</x:v>
      </x:c>
      <x:c r="AI129" s="112" t="n">
        <x:f>IF(COUNT(G129,P129,Y129)=0,"",AVERAGE(G129,P129,Y129))</x:f>
        <x:v>17.666666666666668</x:v>
      </x:c>
      <x:c r="AJ129" s="112" t="n">
        <x:f>IF(COUNT(H129,Q129,Z129)=0,"",AVERAGE(H129,Q129,Z129))</x:f>
        <x:v>82</x:v>
      </x:c>
      <x:c r="AK129" s="112" t="n">
        <x:f>IF(COUNT(I129,R129,AA129)=0,"",AVERAGE(I129,R129,AA129))</x:f>
        <x:v>0.6666666666666666</x:v>
      </x:c>
      <x:c r="AL129" s="112" t="n">
        <x:f>IF(COUNT(J129,S129,AB129)=0,"",AVERAGE(J129,S129,AB129))</x:f>
        <x:v>51.333333333333336</x:v>
      </x:c>
      <x:c r="AM129" s="112" t="n">
        <x:f>IF(COUNT(K129,T129,AC129)=0,"",AVERAGE(K129,T129,AC129))</x:f>
        <x:v>512.3333333333334</x:v>
      </x:c>
      <x:c r="AN129" s="112" t="n">
        <x:f>IF(COUNT(L129,U129,AD129)=0,"",AVERAGE(L129,U129,AD129))</x:f>
        <x:v>3.3333333333333335</x:v>
      </x:c>
      <x:c r="AO129" s="112" t="n">
        <x:f>IF(COUNT(M129,V129,AE129)=0,"",AVERAGE(M129,V129,AE129))</x:f>
        <x:v>1</x:v>
      </x:c>
    </x:row>
    <x:row r="130">
      <x:c r="A130" s="107" t="str">
        <x:v>Jauan Jennings</x:v>
      </x:c>
      <x:c r="B130" s="108" t="str">
        <x:v>WR</x:v>
      </x:c>
      <x:c r="C130" s="108" t="str">
        <x:v>MIN</x:v>
      </x:c>
      <x:c r="D130" s="109" t="n">
        <x:v>6</x:v>
      </x:c>
      <x:c r="E130" s="109" t="str">
        <x:f>IFERROR(VLOOKUP($A130,'Mike FLEX'!$A$6:$N$278,5,FALSE),"")</x:f>
      </x:c>
      <x:c r="F130" s="110" t="str">
        <x:f>IFERROR(VLOOKUP($A130,'Mike FLEX'!$A$6:$N$278,6,FALSE),"")</x:f>
      </x:c>
      <x:c r="G130" s="111" t="str">
        <x:f>IFERROR(VLOOKUP($A130,'Mike FLEX'!$A$6:$N$278,7,FALSE),"")</x:f>
      </x:c>
      <x:c r="H130" s="111" t="str">
        <x:f>IFERROR(VLOOKUP($A130,'Mike FLEX'!$A$6:$N$278,8,FALSE),"")</x:f>
      </x:c>
      <x:c r="I130" s="111" t="str">
        <x:f>IFERROR(VLOOKUP($A130,'Mike FLEX'!$A$6:$N$278,9,FALSE),"")</x:f>
      </x:c>
      <x:c r="J130" s="111" t="str">
        <x:f>IFERROR(VLOOKUP($A130,'Mike FLEX'!$A$6:$N$278,10,FALSE),"")</x:f>
      </x:c>
      <x:c r="K130" s="111" t="str">
        <x:f>IFERROR(VLOOKUP($A130,'Mike FLEX'!$A$6:$N$278,11,FALSE),"")</x:f>
      </x:c>
      <x:c r="L130" s="111" t="str">
        <x:f>IFERROR(VLOOKUP($A130,'Mike FLEX'!$A$6:$N$278,12,FALSE),"")</x:f>
      </x:c>
      <x:c r="M130" s="111" t="str">
        <x:f>IFERROR(VLOOKUP($A130,'Mike FLEX'!$A$6:$N$278,13,FALSE),"")</x:f>
      </x:c>
      <x:c r="N130" s="109" t="n">
        <x:f>IFERROR(VLOOKUP($A130,'Andy FLEX'!$A$6:$N$278,5,FALSE),"")</x:f>
        <x:v>119</x:v>
      </x:c>
      <x:c r="O130" s="110" t="n">
        <x:f>IFERROR(VLOOKUP($A130,'Andy FLEX'!$A$6:$N$278,6,FALSE),"")</x:f>
        <x:v>8.2</x:v>
      </x:c>
      <x:c r="P130" s="111" t="n">
        <x:f>IFERROR(VLOOKUP($A130,'Andy FLEX'!$A$6:$N$278,7,FALSE),"")</x:f>
        <x:v>3</x:v>
      </x:c>
      <x:c r="Q130" s="111" t="n">
        <x:f>IFERROR(VLOOKUP($A130,'Andy FLEX'!$A$6:$N$278,8,FALSE),"")</x:f>
        <x:v>18</x:v>
      </x:c>
      <x:c r="R130" s="111" t="n">
        <x:f>IFERROR(VLOOKUP($A130,'Andy FLEX'!$A$6:$N$278,9,FALSE),"")</x:f>
        <x:v>0</x:v>
      </x:c>
      <x:c r="S130" s="111" t="n">
        <x:f>IFERROR(VLOOKUP($A130,'Andy FLEX'!$A$6:$N$278,10,FALSE),"")</x:f>
        <x:v>48</x:v>
      </x:c>
      <x:c r="T130" s="111" t="n">
        <x:f>IFERROR(VLOOKUP($A130,'Andy FLEX'!$A$6:$N$278,11,FALSE),"")</x:f>
        <x:v>560</x:v>
      </x:c>
      <x:c r="U130" s="111" t="n">
        <x:f>IFERROR(VLOOKUP($A130,'Andy FLEX'!$A$6:$N$278,12,FALSE),"")</x:f>
        <x:v>6</x:v>
      </x:c>
      <x:c r="V130" s="111" t="n">
        <x:f>IFERROR(VLOOKUP($A130,'Andy FLEX'!$A$6:$N$278,13,FALSE),"")</x:f>
        <x:v>1</x:v>
      </x:c>
      <x:c r="W130" s="109" t="n">
        <x:f>IFERROR(VLOOKUP($A130,'Jason FLEX'!$A$6:$N$268,5,FALSE),"")</x:f>
        <x:v>138</x:v>
      </x:c>
      <x:c r="X130" s="110" t="n">
        <x:f>IFERROR(VLOOKUP($A130,'Jason FLEX'!$A$6:$N$268,6,FALSE),"")</x:f>
        <x:v>7.5</x:v>
      </x:c>
      <x:c r="Y130" s="111" t="n">
        <x:f>IFERROR(VLOOKUP($A130,'Jason FLEX'!$A$6:$N$268,7,FALSE),"")</x:f>
        <x:v>0</x:v>
      </x:c>
      <x:c r="Z130" s="111" t="n">
        <x:f>IFERROR(VLOOKUP($A130,'Jason FLEX'!$A$6:$N$268,8,FALSE),"")</x:f>
        <x:v>0</x:v>
      </x:c>
      <x:c r="AA130" s="111" t="n">
        <x:f>IFERROR(VLOOKUP($A130,'Jason FLEX'!$A$6:$N$268,9,FALSE),"")</x:f>
        <x:v>0</x:v>
      </x:c>
      <x:c r="AB130" s="111" t="n">
        <x:f>IFERROR(VLOOKUP($A130,'Jason FLEX'!$A$6:$N$268,10,FALSE),"")</x:f>
        <x:v>48</x:v>
      </x:c>
      <x:c r="AC130" s="111" t="n">
        <x:f>IFERROR(VLOOKUP($A130,'Jason FLEX'!$A$6:$N$268,11,FALSE),"")</x:f>
        <x:v>547</x:v>
      </x:c>
      <x:c r="AD130" s="111" t="n">
        <x:f>IFERROR(VLOOKUP($A130,'Jason FLEX'!$A$6:$N$268,12,FALSE),"")</x:f>
        <x:v>4</x:v>
      </x:c>
      <x:c r="AE130" s="111" t="n">
        <x:f>IFERROR(VLOOKUP($A130,'Jason FLEX'!$A$6:$N$268,13,FALSE),"")</x:f>
        <x:v>0</x:v>
      </x:c>
      <x:c r="AF130" s="110" t="n">
        <x:f>IF(COUNT(E130,N130,W130)=0,"",AVERAGE(E130,N130,W130))</x:f>
        <x:v>128.5</x:v>
      </x:c>
      <x:c r="AG130" s="110" t="n">
        <x:f>IF(COUNT(E130,N130,W130)=0,"",MAX(E130,N130,W130)-MIN(E130,N130,W130))</x:f>
        <x:v>19</x:v>
      </x:c>
      <x:c r="AH130" s="110" t="n">
        <x:f>IF(COUNT(F130,O130,X130)=0,"",AVERAGE(F130,O130,X130))</x:f>
        <x:v>7.85</x:v>
      </x:c>
      <x:c r="AI130" s="112" t="n">
        <x:f>IF(COUNT(G130,P130,Y130)=0,"",AVERAGE(G130,P130,Y130))</x:f>
        <x:v>1.5</x:v>
      </x:c>
      <x:c r="AJ130" s="112" t="n">
        <x:f>IF(COUNT(H130,Q130,Z130)=0,"",AVERAGE(H130,Q130,Z130))</x:f>
        <x:v>9</x:v>
      </x:c>
      <x:c r="AK130" s="112" t="n">
        <x:f>IF(COUNT(I130,R130,AA130)=0,"",AVERAGE(I130,R130,AA130))</x:f>
        <x:v>0</x:v>
      </x:c>
      <x:c r="AL130" s="112" t="n">
        <x:f>IF(COUNT(J130,S130,AB130)=0,"",AVERAGE(J130,S130,AB130))</x:f>
        <x:v>48</x:v>
      </x:c>
      <x:c r="AM130" s="112" t="n">
        <x:f>IF(COUNT(K130,T130,AC130)=0,"",AVERAGE(K130,T130,AC130))</x:f>
        <x:v>553.5</x:v>
      </x:c>
      <x:c r="AN130" s="112" t="n">
        <x:f>IF(COUNT(L130,U130,AD130)=0,"",AVERAGE(L130,U130,AD130))</x:f>
        <x:v>5</x:v>
      </x:c>
      <x:c r="AO130" s="112" t="n">
        <x:f>IF(COUNT(M130,V130,AE130)=0,"",AVERAGE(M130,V130,AE130))</x:f>
        <x:v>0.5</x:v>
      </x:c>
    </x:row>
    <x:row r="131">
      <x:c r="A131" s="107" t="str">
        <x:v>Denzel Boston</x:v>
      </x:c>
      <x:c r="B131" s="108" t="str">
        <x:v>WR</x:v>
      </x:c>
      <x:c r="C131" s="108" t="str">
        <x:v>CLE</x:v>
      </x:c>
      <x:c r="D131" s="109" t="n">
        <x:v>11</x:v>
      </x:c>
      <x:c r="E131" s="109" t="n">
        <x:f>IFERROR(VLOOKUP($A131,'Mike FLEX'!$A$6:$N$278,5,FALSE),"")</x:f>
        <x:v>129</x:v>
      </x:c>
      <x:c r="F131" s="110" t="n">
        <x:f>IFERROR(VLOOKUP($A131,'Mike FLEX'!$A$6:$N$278,6,FALSE),"")</x:f>
        <x:v>7.5</x:v>
      </x:c>
      <x:c r="G131" s="111" t="n">
        <x:f>IFERROR(VLOOKUP($A131,'Mike FLEX'!$A$6:$N$278,7,FALSE),"")</x:f>
        <x:v>0</x:v>
      </x:c>
      <x:c r="H131" s="111" t="n">
        <x:f>IFERROR(VLOOKUP($A131,'Mike FLEX'!$A$6:$N$278,8,FALSE),"")</x:f>
        <x:v>0</x:v>
      </x:c>
      <x:c r="I131" s="111" t="n">
        <x:f>IFERROR(VLOOKUP($A131,'Mike FLEX'!$A$6:$N$278,9,FALSE),"")</x:f>
        <x:v>0</x:v>
      </x:c>
      <x:c r="J131" s="111" t="n">
        <x:f>IFERROR(VLOOKUP($A131,'Mike FLEX'!$A$6:$N$278,10,FALSE),"")</x:f>
        <x:v>45</x:v>
      </x:c>
      <x:c r="K131" s="111" t="n">
        <x:f>IFERROR(VLOOKUP($A131,'Mike FLEX'!$A$6:$N$278,11,FALSE),"")</x:f>
        <x:v>571</x:v>
      </x:c>
      <x:c r="L131" s="111" t="n">
        <x:f>IFERROR(VLOOKUP($A131,'Mike FLEX'!$A$6:$N$278,12,FALSE),"")</x:f>
        <x:v>4</x:v>
      </x:c>
      <x:c r="M131" s="111" t="n">
        <x:f>IFERROR(VLOOKUP($A131,'Mike FLEX'!$A$6:$N$278,13,FALSE),"")</x:f>
        <x:v>0</x:v>
      </x:c>
      <x:c r="N131" s="109" t="n">
        <x:f>IFERROR(VLOOKUP($A131,'Andy FLEX'!$A$6:$N$278,5,FALSE),"")</x:f>
        <x:v>94</x:v>
      </x:c>
      <x:c r="O131" s="110" t="n">
        <x:f>IFERROR(VLOOKUP($A131,'Andy FLEX'!$A$6:$N$278,6,FALSE),"")</x:f>
        <x:v>9.8</x:v>
      </x:c>
      <x:c r="P131" s="111" t="n">
        <x:f>IFERROR(VLOOKUP($A131,'Andy FLEX'!$A$6:$N$278,7,FALSE),"")</x:f>
        <x:v>0</x:v>
      </x:c>
      <x:c r="Q131" s="111" t="n">
        <x:f>IFERROR(VLOOKUP($A131,'Andy FLEX'!$A$6:$N$278,8,FALSE),"")</x:f>
        <x:v>0</x:v>
      </x:c>
      <x:c r="R131" s="111" t="n">
        <x:f>IFERROR(VLOOKUP($A131,'Andy FLEX'!$A$6:$N$278,9,FALSE),"")</x:f>
        <x:v>0</x:v>
      </x:c>
      <x:c r="S131" s="111" t="n">
        <x:f>IFERROR(VLOOKUP($A131,'Andy FLEX'!$A$6:$N$278,10,FALSE),"")</x:f>
        <x:v>58</x:v>
      </x:c>
      <x:c r="T131" s="111" t="n">
        <x:f>IFERROR(VLOOKUP($A131,'Andy FLEX'!$A$6:$N$278,11,FALSE),"")</x:f>
        <x:v>775</x:v>
      </x:c>
      <x:c r="U131" s="111" t="n">
        <x:f>IFERROR(VLOOKUP($A131,'Andy FLEX'!$A$6:$N$278,12,FALSE),"")</x:f>
        <x:v>5</x:v>
      </x:c>
      <x:c r="V131" s="111" t="n">
        <x:f>IFERROR(VLOOKUP($A131,'Andy FLEX'!$A$6:$N$278,13,FALSE),"")</x:f>
        <x:v>0</x:v>
      </x:c>
      <x:c r="W131" s="109" t="n">
        <x:f>IFERROR(VLOOKUP($A131,'Jason FLEX'!$A$6:$N$268,5,FALSE),"")</x:f>
        <x:v>169</x:v>
      </x:c>
      <x:c r="X131" s="110" t="n">
        <x:f>IFERROR(VLOOKUP($A131,'Jason FLEX'!$A$6:$N$268,6,FALSE),"")</x:f>
        <x:v>6.1</x:v>
      </x:c>
      <x:c r="Y131" s="111" t="n">
        <x:f>IFERROR(VLOOKUP($A131,'Jason FLEX'!$A$6:$N$268,7,FALSE),"")</x:f>
        <x:v>0</x:v>
      </x:c>
      <x:c r="Z131" s="111" t="n">
        <x:f>IFERROR(VLOOKUP($A131,'Jason FLEX'!$A$6:$N$268,8,FALSE),"")</x:f>
        <x:v>0</x:v>
      </x:c>
      <x:c r="AA131" s="111" t="n">
        <x:f>IFERROR(VLOOKUP($A131,'Jason FLEX'!$A$6:$N$268,9,FALSE),"")</x:f>
        <x:v>0</x:v>
      </x:c>
      <x:c r="AB131" s="111" t="n">
        <x:f>IFERROR(VLOOKUP($A131,'Jason FLEX'!$A$6:$N$268,10,FALSE),"")</x:f>
        <x:v>40</x:v>
      </x:c>
      <x:c r="AC131" s="111" t="n">
        <x:f>IFERROR(VLOOKUP($A131,'Jason FLEX'!$A$6:$N$268,11,FALSE),"")</x:f>
        <x:v>466</x:v>
      </x:c>
      <x:c r="AD131" s="111" t="n">
        <x:f>IFERROR(VLOOKUP($A131,'Jason FLEX'!$A$6:$N$268,12,FALSE),"")</x:f>
        <x:v>3</x:v>
      </x:c>
      <x:c r="AE131" s="111" t="n">
        <x:f>IFERROR(VLOOKUP($A131,'Jason FLEX'!$A$6:$N$268,13,FALSE),"")</x:f>
        <x:v>0</x:v>
      </x:c>
      <x:c r="AF131" s="110" t="n">
        <x:f>IF(COUNT(E131,N131,W131)=0,"",AVERAGE(E131,N131,W131))</x:f>
        <x:v>130.66666666666666</x:v>
      </x:c>
      <x:c r="AG131" s="110" t="n">
        <x:f>IF(COUNT(E131,N131,W131)=0,"",MAX(E131,N131,W131)-MIN(E131,N131,W131))</x:f>
        <x:v>75</x:v>
      </x:c>
      <x:c r="AH131" s="110" t="n">
        <x:f>IF(COUNT(F131,O131,X131)=0,"",AVERAGE(F131,O131,X131))</x:f>
        <x:v>7.8</x:v>
      </x:c>
      <x:c r="AI131" s="112" t="n">
        <x:f>IF(COUNT(G131,P131,Y131)=0,"",AVERAGE(G131,P131,Y131))</x:f>
        <x:v>0</x:v>
      </x:c>
      <x:c r="AJ131" s="112" t="n">
        <x:f>IF(COUNT(H131,Q131,Z131)=0,"",AVERAGE(H131,Q131,Z131))</x:f>
        <x:v>0</x:v>
      </x:c>
      <x:c r="AK131" s="112" t="n">
        <x:f>IF(COUNT(I131,R131,AA131)=0,"",AVERAGE(I131,R131,AA131))</x:f>
        <x:v>0</x:v>
      </x:c>
      <x:c r="AL131" s="112" t="n">
        <x:f>IF(COUNT(J131,S131,AB131)=0,"",AVERAGE(J131,S131,AB131))</x:f>
        <x:v>47.666666666666664</x:v>
      </x:c>
      <x:c r="AM131" s="112" t="n">
        <x:f>IF(COUNT(K131,T131,AC131)=0,"",AVERAGE(K131,T131,AC131))</x:f>
        <x:v>604</x:v>
      </x:c>
      <x:c r="AN131" s="112" t="n">
        <x:f>IF(COUNT(L131,U131,AD131)=0,"",AVERAGE(L131,U131,AD131))</x:f>
        <x:v>4</x:v>
      </x:c>
      <x:c r="AO131" s="112" t="n">
        <x:f>IF(COUNT(M131,V131,AE131)=0,"",AVERAGE(M131,V131,AE131))</x:f>
        <x:v>0</x:v>
      </x:c>
    </x:row>
    <x:row r="132">
      <x:c r="A132" s="107" t="str">
        <x:v>Dontayvion Wicks</x:v>
      </x:c>
      <x:c r="B132" s="108" t="str">
        <x:v>WR</x:v>
      </x:c>
      <x:c r="C132" s="108" t="str">
        <x:v>PHI</x:v>
      </x:c>
      <x:c r="D132" s="109" t="n">
        <x:v>10</x:v>
      </x:c>
      <x:c r="E132" s="109" t="n">
        <x:f>IFERROR(VLOOKUP($A132,'Mike FLEX'!$A$6:$N$278,5,FALSE),"")</x:f>
        <x:v>126</x:v>
      </x:c>
      <x:c r="F132" s="110" t="n">
        <x:f>IFERROR(VLOOKUP($A132,'Mike FLEX'!$A$6:$N$278,6,FALSE),"")</x:f>
        <x:v>7.9</x:v>
      </x:c>
      <x:c r="G132" s="111" t="n">
        <x:f>IFERROR(VLOOKUP($A132,'Mike FLEX'!$A$6:$N$278,7,FALSE),"")</x:f>
        <x:v>0</x:v>
      </x:c>
      <x:c r="H132" s="111" t="n">
        <x:f>IFERROR(VLOOKUP($A132,'Mike FLEX'!$A$6:$N$278,8,FALSE),"")</x:f>
        <x:v>0</x:v>
      </x:c>
      <x:c r="I132" s="111" t="n">
        <x:f>IFERROR(VLOOKUP($A132,'Mike FLEX'!$A$6:$N$278,9,FALSE),"")</x:f>
        <x:v>0</x:v>
      </x:c>
      <x:c r="J132" s="111" t="n">
        <x:f>IFERROR(VLOOKUP($A132,'Mike FLEX'!$A$6:$N$278,10,FALSE),"")</x:f>
        <x:v>49</x:v>
      </x:c>
      <x:c r="K132" s="111" t="n">
        <x:f>IFERROR(VLOOKUP($A132,'Mike FLEX'!$A$6:$N$278,11,FALSE),"")</x:f>
        <x:v>587</x:v>
      </x:c>
      <x:c r="L132" s="111" t="n">
        <x:f>IFERROR(VLOOKUP($A132,'Mike FLEX'!$A$6:$N$278,12,FALSE),"")</x:f>
        <x:v>4</x:v>
      </x:c>
      <x:c r="M132" s="111" t="n">
        <x:f>IFERROR(VLOOKUP($A132,'Mike FLEX'!$A$6:$N$278,13,FALSE),"")</x:f>
        <x:v>0</x:v>
      </x:c>
      <x:c r="N132" s="109" t="n">
        <x:f>IFERROR(VLOOKUP($A132,'Andy FLEX'!$A$6:$N$278,5,FALSE),"")</x:f>
        <x:v>142</x:v>
      </x:c>
      <x:c r="O132" s="110" t="n">
        <x:f>IFERROR(VLOOKUP($A132,'Andy FLEX'!$A$6:$N$278,6,FALSE),"")</x:f>
        <x:v>6.9</x:v>
      </x:c>
      <x:c r="P132" s="111" t="n">
        <x:f>IFERROR(VLOOKUP($A132,'Andy FLEX'!$A$6:$N$278,7,FALSE),"")</x:f>
        <x:v>7</x:v>
      </x:c>
      <x:c r="Q132" s="111" t="n">
        <x:f>IFERROR(VLOOKUP($A132,'Andy FLEX'!$A$6:$N$278,8,FALSE),"")</x:f>
        <x:v>34</x:v>
      </x:c>
      <x:c r="R132" s="111" t="n">
        <x:f>IFERROR(VLOOKUP($A132,'Andy FLEX'!$A$6:$N$278,9,FALSE),"")</x:f>
        <x:v>0</x:v>
      </x:c>
      <x:c r="S132" s="111" t="n">
        <x:f>IFERROR(VLOOKUP($A132,'Andy FLEX'!$A$6:$N$278,10,FALSE),"")</x:f>
        <x:v>43</x:v>
      </x:c>
      <x:c r="T132" s="111" t="n">
        <x:f>IFERROR(VLOOKUP($A132,'Andy FLEX'!$A$6:$N$278,11,FALSE),"")</x:f>
        <x:v>511</x:v>
      </x:c>
      <x:c r="U132" s="111" t="n">
        <x:f>IFERROR(VLOOKUP($A132,'Andy FLEX'!$A$6:$N$278,12,FALSE),"")</x:f>
        <x:v>3</x:v>
      </x:c>
      <x:c r="V132" s="111" t="n">
        <x:f>IFERROR(VLOOKUP($A132,'Andy FLEX'!$A$6:$N$278,13,FALSE),"")</x:f>
        <x:v>0</x:v>
      </x:c>
      <x:c r="W132" s="109" t="n">
        <x:f>IFERROR(VLOOKUP($A132,'Jason FLEX'!$A$6:$N$268,5,FALSE),"")</x:f>
        <x:v>133</x:v>
      </x:c>
      <x:c r="X132" s="110" t="n">
        <x:f>IFERROR(VLOOKUP($A132,'Jason FLEX'!$A$6:$N$268,6,FALSE),"")</x:f>
        <x:v>7.8</x:v>
      </x:c>
      <x:c r="Y132" s="111" t="n">
        <x:f>IFERROR(VLOOKUP($A132,'Jason FLEX'!$A$6:$N$268,7,FALSE),"")</x:f>
        <x:v>1</x:v>
      </x:c>
      <x:c r="Z132" s="111" t="n">
        <x:f>IFERROR(VLOOKUP($A132,'Jason FLEX'!$A$6:$N$268,8,FALSE),"")</x:f>
        <x:v>5</x:v>
      </x:c>
      <x:c r="AA132" s="111" t="n">
        <x:f>IFERROR(VLOOKUP($A132,'Jason FLEX'!$A$6:$N$268,9,FALSE),"")</x:f>
        <x:v>0</x:v>
      </x:c>
      <x:c r="AB132" s="111" t="n">
        <x:f>IFERROR(VLOOKUP($A132,'Jason FLEX'!$A$6:$N$268,10,FALSE),"")</x:f>
        <x:v>52</x:v>
      </x:c>
      <x:c r="AC132" s="111" t="n">
        <x:f>IFERROR(VLOOKUP($A132,'Jason FLEX'!$A$6:$N$268,11,FALSE),"")</x:f>
        <x:v>655</x:v>
      </x:c>
      <x:c r="AD132" s="111" t="n">
        <x:f>IFERROR(VLOOKUP($A132,'Jason FLEX'!$A$6:$N$268,12,FALSE),"")</x:f>
        <x:v>3</x:v>
      </x:c>
      <x:c r="AE132" s="111" t="n">
        <x:f>IFERROR(VLOOKUP($A132,'Jason FLEX'!$A$6:$N$268,13,FALSE),"")</x:f>
        <x:v>0</x:v>
      </x:c>
      <x:c r="AF132" s="110" t="n">
        <x:f>IF(COUNT(E132,N132,W132)=0,"",AVERAGE(E132,N132,W132))</x:f>
        <x:v>133.66666666666666</x:v>
      </x:c>
      <x:c r="AG132" s="110" t="n">
        <x:f>IF(COUNT(E132,N132,W132)=0,"",MAX(E132,N132,W132)-MIN(E132,N132,W132))</x:f>
        <x:v>16</x:v>
      </x:c>
      <x:c r="AH132" s="110" t="n">
        <x:f>IF(COUNT(F132,O132,X132)=0,"",AVERAGE(F132,O132,X132))</x:f>
        <x:v>7.533333333333334</x:v>
      </x:c>
      <x:c r="AI132" s="112" t="n">
        <x:f>IF(COUNT(G132,P132,Y132)=0,"",AVERAGE(G132,P132,Y132))</x:f>
        <x:v>2.6666666666666665</x:v>
      </x:c>
      <x:c r="AJ132" s="112" t="n">
        <x:f>IF(COUNT(H132,Q132,Z132)=0,"",AVERAGE(H132,Q132,Z132))</x:f>
        <x:v>13</x:v>
      </x:c>
      <x:c r="AK132" s="112" t="n">
        <x:f>IF(COUNT(I132,R132,AA132)=0,"",AVERAGE(I132,R132,AA132))</x:f>
        <x:v>0</x:v>
      </x:c>
      <x:c r="AL132" s="112" t="n">
        <x:f>IF(COUNT(J132,S132,AB132)=0,"",AVERAGE(J132,S132,AB132))</x:f>
        <x:v>48</x:v>
      </x:c>
      <x:c r="AM132" s="112" t="n">
        <x:f>IF(COUNT(K132,T132,AC132)=0,"",AVERAGE(K132,T132,AC132))</x:f>
        <x:v>584.3333333333334</x:v>
      </x:c>
      <x:c r="AN132" s="112" t="n">
        <x:f>IF(COUNT(L132,U132,AD132)=0,"",AVERAGE(L132,U132,AD132))</x:f>
        <x:v>3.3333333333333335</x:v>
      </x:c>
      <x:c r="AO132" s="112" t="n">
        <x:f>IF(COUNT(M132,V132,AE132)=0,"",AVERAGE(M132,V132,AE132))</x:f>
        <x:v>0</x:v>
      </x:c>
    </x:row>
    <x:row r="133">
      <x:c r="A133" s="107" t="str">
        <x:v>Greg Dulcich</x:v>
      </x:c>
      <x:c r="B133" s="108" t="str">
        <x:v>TE</x:v>
      </x:c>
      <x:c r="C133" s="108" t="str">
        <x:v>MIA</x:v>
      </x:c>
      <x:c r="D133" s="109" t="n">
        <x:v>6</x:v>
      </x:c>
      <x:c r="E133" s="109" t="n">
        <x:f>IFERROR(VLOOKUP($A133,'Mike FLEX'!$A$6:$N$278,5,FALSE),"")</x:f>
        <x:v>120</x:v>
      </x:c>
      <x:c r="F133" s="110" t="n">
        <x:f>IFERROR(VLOOKUP($A133,'Mike FLEX'!$A$6:$N$278,6,FALSE),"")</x:f>
        <x:v>8.3</x:v>
      </x:c>
      <x:c r="G133" s="111" t="n">
        <x:f>IFERROR(VLOOKUP($A133,'Mike FLEX'!$A$6:$N$278,7,FALSE),"")</x:f>
        <x:v>0</x:v>
      </x:c>
      <x:c r="H133" s="111" t="n">
        <x:f>IFERROR(VLOOKUP($A133,'Mike FLEX'!$A$6:$N$278,8,FALSE),"")</x:f>
        <x:v>0</x:v>
      </x:c>
      <x:c r="I133" s="111" t="n">
        <x:f>IFERROR(VLOOKUP($A133,'Mike FLEX'!$A$6:$N$278,9,FALSE),"")</x:f>
        <x:v>0</x:v>
      </x:c>
      <x:c r="J133" s="111" t="n">
        <x:f>IFERROR(VLOOKUP($A133,'Mike FLEX'!$A$6:$N$278,10,FALSE),"")</x:f>
        <x:v>53</x:v>
      </x:c>
      <x:c r="K133" s="111" t="n">
        <x:f>IFERROR(VLOOKUP($A133,'Mike FLEX'!$A$6:$N$278,11,FALSE),"")</x:f>
        <x:v>628</x:v>
      </x:c>
      <x:c r="L133" s="111" t="n">
        <x:f>IFERROR(VLOOKUP($A133,'Mike FLEX'!$A$6:$N$278,12,FALSE),"")</x:f>
        <x:v>4</x:v>
      </x:c>
      <x:c r="M133" s="111" t="n">
        <x:f>IFERROR(VLOOKUP($A133,'Mike FLEX'!$A$6:$N$278,13,FALSE),"")</x:f>
        <x:v>0</x:v>
      </x:c>
      <x:c r="N133" s="109" t="n">
        <x:f>IFERROR(VLOOKUP($A133,'Andy FLEX'!$A$6:$N$278,5,FALSE),"")</x:f>
        <x:v>111</x:v>
      </x:c>
      <x:c r="O133" s="110" t="n">
        <x:f>IFERROR(VLOOKUP($A133,'Andy FLEX'!$A$6:$N$278,6,FALSE),"")</x:f>
        <x:v>8.6</x:v>
      </x:c>
      <x:c r="P133" s="111" t="n">
        <x:f>IFERROR(VLOOKUP($A133,'Andy FLEX'!$A$6:$N$278,7,FALSE),"")</x:f>
        <x:v>2</x:v>
      </x:c>
      <x:c r="Q133" s="111" t="n">
        <x:f>IFERROR(VLOOKUP($A133,'Andy FLEX'!$A$6:$N$278,8,FALSE),"")</x:f>
        <x:v>6</x:v>
      </x:c>
      <x:c r="R133" s="111" t="n">
        <x:f>IFERROR(VLOOKUP($A133,'Andy FLEX'!$A$6:$N$278,9,FALSE),"")</x:f>
        <x:v>0</x:v>
      </x:c>
      <x:c r="S133" s="111" t="n">
        <x:f>IFERROR(VLOOKUP($A133,'Andy FLEX'!$A$6:$N$278,10,FALSE),"")</x:f>
        <x:v>54</x:v>
      </x:c>
      <x:c r="T133" s="111" t="n">
        <x:f>IFERROR(VLOOKUP($A133,'Andy FLEX'!$A$6:$N$278,11,FALSE),"")</x:f>
        <x:v>699</x:v>
      </x:c>
      <x:c r="U133" s="111" t="n">
        <x:f>IFERROR(VLOOKUP($A133,'Andy FLEX'!$A$6:$N$278,12,FALSE),"")</x:f>
        <x:v>4</x:v>
      </x:c>
      <x:c r="V133" s="111" t="n">
        <x:f>IFERROR(VLOOKUP($A133,'Andy FLEX'!$A$6:$N$278,13,FALSE),"")</x:f>
        <x:v>0</x:v>
      </x:c>
      <x:c r="W133" s="109" t="n">
        <x:f>IFERROR(VLOOKUP($A133,'Jason FLEX'!$A$6:$N$268,5,FALSE),"")</x:f>
        <x:v>170</x:v>
      </x:c>
      <x:c r="X133" s="110" t="n">
        <x:f>IFERROR(VLOOKUP($A133,'Jason FLEX'!$A$6:$N$268,6,FALSE),"")</x:f>
        <x:v>6.1</x:v>
      </x:c>
      <x:c r="Y133" s="111" t="n">
        <x:f>IFERROR(VLOOKUP($A133,'Jason FLEX'!$A$6:$N$268,7,FALSE),"")</x:f>
        <x:v>0</x:v>
      </x:c>
      <x:c r="Z133" s="111" t="n">
        <x:f>IFERROR(VLOOKUP($A133,'Jason FLEX'!$A$6:$N$268,8,FALSE),"")</x:f>
        <x:v>0</x:v>
      </x:c>
      <x:c r="AA133" s="111" t="n">
        <x:f>IFERROR(VLOOKUP($A133,'Jason FLEX'!$A$6:$N$268,9,FALSE),"")</x:f>
        <x:v>0</x:v>
      </x:c>
      <x:c r="AB133" s="111" t="n">
        <x:f>IFERROR(VLOOKUP($A133,'Jason FLEX'!$A$6:$N$268,10,FALSE),"")</x:f>
        <x:v>41</x:v>
      </x:c>
      <x:c r="AC133" s="111" t="n">
        <x:f>IFERROR(VLOOKUP($A133,'Jason FLEX'!$A$6:$N$268,11,FALSE),"")</x:f>
        <x:v>471</x:v>
      </x:c>
      <x:c r="AD133" s="111" t="n">
        <x:f>IFERROR(VLOOKUP($A133,'Jason FLEX'!$A$6:$N$268,12,FALSE),"")</x:f>
        <x:v>3</x:v>
      </x:c>
      <x:c r="AE133" s="111" t="n">
        <x:f>IFERROR(VLOOKUP($A133,'Jason FLEX'!$A$6:$N$268,13,FALSE),"")</x:f>
        <x:v>1</x:v>
      </x:c>
      <x:c r="AF133" s="110" t="n">
        <x:f>IF(COUNT(E133,N133,W133)=0,"",AVERAGE(E133,N133,W133))</x:f>
        <x:v>133.66666666666666</x:v>
      </x:c>
      <x:c r="AG133" s="110" t="n">
        <x:f>IF(COUNT(E133,N133,W133)=0,"",MAX(E133,N133,W133)-MIN(E133,N133,W133))</x:f>
        <x:v>59</x:v>
      </x:c>
      <x:c r="AH133" s="110" t="n">
        <x:f>IF(COUNT(F133,O133,X133)=0,"",AVERAGE(F133,O133,X133))</x:f>
        <x:v>7.666666666666667</x:v>
      </x:c>
      <x:c r="AI133" s="112" t="n">
        <x:f>IF(COUNT(G133,P133,Y133)=0,"",AVERAGE(G133,P133,Y133))</x:f>
        <x:v>0.6666666666666666</x:v>
      </x:c>
      <x:c r="AJ133" s="112" t="n">
        <x:f>IF(COUNT(H133,Q133,Z133)=0,"",AVERAGE(H133,Q133,Z133))</x:f>
        <x:v>2</x:v>
      </x:c>
      <x:c r="AK133" s="112" t="n">
        <x:f>IF(COUNT(I133,R133,AA133)=0,"",AVERAGE(I133,R133,AA133))</x:f>
        <x:v>0</x:v>
      </x:c>
      <x:c r="AL133" s="112" t="n">
        <x:f>IF(COUNT(J133,S133,AB133)=0,"",AVERAGE(J133,S133,AB133))</x:f>
        <x:v>49.333333333333336</x:v>
      </x:c>
      <x:c r="AM133" s="112" t="n">
        <x:f>IF(COUNT(K133,T133,AC133)=0,"",AVERAGE(K133,T133,AC133))</x:f>
        <x:v>599.3333333333334</x:v>
      </x:c>
      <x:c r="AN133" s="112" t="n">
        <x:f>IF(COUNT(L133,U133,AD133)=0,"",AVERAGE(L133,U133,AD133))</x:f>
        <x:v>3.6666666666666665</x:v>
      </x:c>
      <x:c r="AO133" s="112" t="n">
        <x:f>IF(COUNT(M133,V133,AE133)=0,"",AVERAGE(M133,V133,AE133))</x:f>
        <x:v>0.3333333333333333</x:v>
      </x:c>
    </x:row>
    <x:row r="134">
      <x:c r="A134" s="107" t="str">
        <x:v>T.J. Hockenson</x:v>
      </x:c>
      <x:c r="B134" s="108" t="str">
        <x:v>TE</x:v>
      </x:c>
      <x:c r="C134" s="108" t="str">
        <x:v>MIN</x:v>
      </x:c>
      <x:c r="D134" s="109" t="n">
        <x:v>6</x:v>
      </x:c>
      <x:c r="E134" s="109" t="n">
        <x:f>IFERROR(VLOOKUP($A134,'Mike FLEX'!$A$6:$N$278,5,FALSE),"")</x:f>
        <x:v>123</x:v>
      </x:c>
      <x:c r="F134" s="110" t="n">
        <x:f>IFERROR(VLOOKUP($A134,'Mike FLEX'!$A$6:$N$278,6,FALSE),"")</x:f>
        <x:v>8</x:v>
      </x:c>
      <x:c r="G134" s="111" t="n">
        <x:f>IFERROR(VLOOKUP($A134,'Mike FLEX'!$A$6:$N$278,7,FALSE),"")</x:f>
        <x:v>0</x:v>
      </x:c>
      <x:c r="H134" s="111" t="n">
        <x:f>IFERROR(VLOOKUP($A134,'Mike FLEX'!$A$6:$N$278,8,FALSE),"")</x:f>
        <x:v>0</x:v>
      </x:c>
      <x:c r="I134" s="111" t="n">
        <x:f>IFERROR(VLOOKUP($A134,'Mike FLEX'!$A$6:$N$278,9,FALSE),"")</x:f>
        <x:v>0</x:v>
      </x:c>
      <x:c r="J134" s="111" t="n">
        <x:f>IFERROR(VLOOKUP($A134,'Mike FLEX'!$A$6:$N$278,10,FALSE),"")</x:f>
        <x:v>61</x:v>
      </x:c>
      <x:c r="K134" s="111" t="n">
        <x:f>IFERROR(VLOOKUP($A134,'Mike FLEX'!$A$6:$N$278,11,FALSE),"")</x:f>
        <x:v>551</x:v>
      </x:c>
      <x:c r="L134" s="111" t="n">
        <x:f>IFERROR(VLOOKUP($A134,'Mike FLEX'!$A$6:$N$278,12,FALSE),"")</x:f>
        <x:v>3</x:v>
      </x:c>
      <x:c r="M134" s="111" t="n">
        <x:f>IFERROR(VLOOKUP($A134,'Mike FLEX'!$A$6:$N$278,13,FALSE),"")</x:f>
        <x:v>0</x:v>
      </x:c>
      <x:c r="N134" s="109" t="n">
        <x:f>IFERROR(VLOOKUP($A134,'Andy FLEX'!$A$6:$N$278,5,FALSE),"")</x:f>
        <x:v>154</x:v>
      </x:c>
      <x:c r="O134" s="110" t="n">
        <x:f>IFERROR(VLOOKUP($A134,'Andy FLEX'!$A$6:$N$278,6,FALSE),"")</x:f>
        <x:v>6.4</x:v>
      </x:c>
      <x:c r="P134" s="111" t="n">
        <x:f>IFERROR(VLOOKUP($A134,'Andy FLEX'!$A$6:$N$278,7,FALSE),"")</x:f>
        <x:v>1</x:v>
      </x:c>
      <x:c r="Q134" s="111" t="n">
        <x:f>IFERROR(VLOOKUP($A134,'Andy FLEX'!$A$6:$N$278,8,FALSE),"")</x:f>
        <x:v>3</x:v>
      </x:c>
      <x:c r="R134" s="111" t="n">
        <x:f>IFERROR(VLOOKUP($A134,'Andy FLEX'!$A$6:$N$278,9,FALSE),"")</x:f>
        <x:v>0</x:v>
      </x:c>
      <x:c r="S134" s="111" t="n">
        <x:f>IFERROR(VLOOKUP($A134,'Andy FLEX'!$A$6:$N$278,10,FALSE),"")</x:f>
        <x:v>44</x:v>
      </x:c>
      <x:c r="T134" s="111" t="n">
        <x:f>IFERROR(VLOOKUP($A134,'Andy FLEX'!$A$6:$N$278,11,FALSE),"")</x:f>
        <x:v>408</x:v>
      </x:c>
      <x:c r="U134" s="111" t="n">
        <x:f>IFERROR(VLOOKUP($A134,'Andy FLEX'!$A$6:$N$278,12,FALSE),"")</x:f>
        <x:v>4</x:v>
      </x:c>
      <x:c r="V134" s="111" t="n">
        <x:f>IFERROR(VLOOKUP($A134,'Andy FLEX'!$A$6:$N$278,13,FALSE),"")</x:f>
        <x:v>0</x:v>
      </x:c>
      <x:c r="W134" s="109" t="n">
        <x:f>IFERROR(VLOOKUP($A134,'Jason FLEX'!$A$6:$N$268,5,FALSE),"")</x:f>
        <x:v>127</x:v>
      </x:c>
      <x:c r="X134" s="110" t="n">
        <x:f>IFERROR(VLOOKUP($A134,'Jason FLEX'!$A$6:$N$268,6,FALSE),"")</x:f>
        <x:v>8.2</x:v>
      </x:c>
      <x:c r="Y134" s="111" t="n">
        <x:f>IFERROR(VLOOKUP($A134,'Jason FLEX'!$A$6:$N$268,7,FALSE),"")</x:f>
        <x:v>0</x:v>
      </x:c>
      <x:c r="Z134" s="111" t="n">
        <x:f>IFERROR(VLOOKUP($A134,'Jason FLEX'!$A$6:$N$268,8,FALSE),"")</x:f>
        <x:v>0</x:v>
      </x:c>
      <x:c r="AA134" s="111" t="n">
        <x:f>IFERROR(VLOOKUP($A134,'Jason FLEX'!$A$6:$N$268,9,FALSE),"")</x:f>
        <x:v>0</x:v>
      </x:c>
      <x:c r="AB134" s="111" t="n">
        <x:f>IFERROR(VLOOKUP($A134,'Jason FLEX'!$A$6:$N$268,10,FALSE),"")</x:f>
        <x:v>59</x:v>
      </x:c>
      <x:c r="AC134" s="111" t="n">
        <x:f>IFERROR(VLOOKUP($A134,'Jason FLEX'!$A$6:$N$268,11,FALSE),"")</x:f>
        <x:v>561</x:v>
      </x:c>
      <x:c r="AD134" s="111" t="n">
        <x:f>IFERROR(VLOOKUP($A134,'Jason FLEX'!$A$6:$N$268,12,FALSE),"")</x:f>
        <x:v>4</x:v>
      </x:c>
      <x:c r="AE134" s="111" t="n">
        <x:f>IFERROR(VLOOKUP($A134,'Jason FLEX'!$A$6:$N$268,13,FALSE),"")</x:f>
        <x:v>0</x:v>
      </x:c>
      <x:c r="AF134" s="110" t="n">
        <x:f>IF(COUNT(E134,N134,W134)=0,"",AVERAGE(E134,N134,W134))</x:f>
        <x:v>134.66666666666666</x:v>
      </x:c>
      <x:c r="AG134" s="110" t="n">
        <x:f>IF(COUNT(E134,N134,W134)=0,"",MAX(E134,N134,W134)-MIN(E134,N134,W134))</x:f>
        <x:v>31</x:v>
      </x:c>
      <x:c r="AH134" s="110" t="n">
        <x:f>IF(COUNT(F134,O134,X134)=0,"",AVERAGE(F134,O134,X134))</x:f>
        <x:v>7.533333333333334</x:v>
      </x:c>
      <x:c r="AI134" s="112" t="n">
        <x:f>IF(COUNT(G134,P134,Y134)=0,"",AVERAGE(G134,P134,Y134))</x:f>
        <x:v>0.3333333333333333</x:v>
      </x:c>
      <x:c r="AJ134" s="112" t="n">
        <x:f>IF(COUNT(H134,Q134,Z134)=0,"",AVERAGE(H134,Q134,Z134))</x:f>
        <x:v>1</x:v>
      </x:c>
      <x:c r="AK134" s="112" t="n">
        <x:f>IF(COUNT(I134,R134,AA134)=0,"",AVERAGE(I134,R134,AA134))</x:f>
        <x:v>0</x:v>
      </x:c>
      <x:c r="AL134" s="112" t="n">
        <x:f>IF(COUNT(J134,S134,AB134)=0,"",AVERAGE(J134,S134,AB134))</x:f>
        <x:v>54.666666666666664</x:v>
      </x:c>
      <x:c r="AM134" s="112" t="n">
        <x:f>IF(COUNT(K134,T134,AC134)=0,"",AVERAGE(K134,T134,AC134))</x:f>
        <x:v>506.6666666666667</x:v>
      </x:c>
      <x:c r="AN134" s="112" t="n">
        <x:f>IF(COUNT(L134,U134,AD134)=0,"",AVERAGE(L134,U134,AD134))</x:f>
        <x:v>3.6666666666666665</x:v>
      </x:c>
      <x:c r="AO134" s="112" t="n">
        <x:f>IF(COUNT(M134,V134,AE134)=0,"",AVERAGE(M134,V134,AE134))</x:f>
        <x:v>0</x:v>
      </x:c>
    </x:row>
    <x:row r="135">
      <x:c r="A135" s="107" t="str">
        <x:v>Pat Freiermuth</x:v>
      </x:c>
      <x:c r="B135" s="108" t="str">
        <x:v>TE</x:v>
      </x:c>
      <x:c r="C135" s="108" t="str">
        <x:v>PIT</x:v>
      </x:c>
      <x:c r="D135" s="109" t="n">
        <x:v>9</x:v>
      </x:c>
      <x:c r="E135" s="109" t="n">
        <x:f>IFERROR(VLOOKUP($A135,'Mike FLEX'!$A$6:$N$278,5,FALSE),"")</x:f>
        <x:v>130</x:v>
      </x:c>
      <x:c r="F135" s="110" t="n">
        <x:f>IFERROR(VLOOKUP($A135,'Mike FLEX'!$A$6:$N$278,6,FALSE),"")</x:f>
        <x:v>7.5</x:v>
      </x:c>
      <x:c r="G135" s="111" t="n">
        <x:f>IFERROR(VLOOKUP($A135,'Mike FLEX'!$A$6:$N$278,7,FALSE),"")</x:f>
        <x:v>0</x:v>
      </x:c>
      <x:c r="H135" s="111" t="n">
        <x:f>IFERROR(VLOOKUP($A135,'Mike FLEX'!$A$6:$N$278,8,FALSE),"")</x:f>
        <x:v>0</x:v>
      </x:c>
      <x:c r="I135" s="111" t="n">
        <x:f>IFERROR(VLOOKUP($A135,'Mike FLEX'!$A$6:$N$278,9,FALSE),"")</x:f>
        <x:v>0</x:v>
      </x:c>
      <x:c r="J135" s="111" t="n">
        <x:f>IFERROR(VLOOKUP($A135,'Mike FLEX'!$A$6:$N$278,10,FALSE),"")</x:f>
        <x:v>50</x:v>
      </x:c>
      <x:c r="K135" s="111" t="n">
        <x:f>IFERROR(VLOOKUP($A135,'Mike FLEX'!$A$6:$N$278,11,FALSE),"")</x:f>
        <x:v>540</x:v>
      </x:c>
      <x:c r="L135" s="111" t="n">
        <x:f>IFERROR(VLOOKUP($A135,'Mike FLEX'!$A$6:$N$278,12,FALSE),"")</x:f>
        <x:v>4</x:v>
      </x:c>
      <x:c r="M135" s="111" t="n">
        <x:f>IFERROR(VLOOKUP($A135,'Mike FLEX'!$A$6:$N$278,13,FALSE),"")</x:f>
        <x:v>1</x:v>
      </x:c>
      <x:c r="N135" s="109" t="n">
        <x:f>IFERROR(VLOOKUP($A135,'Andy FLEX'!$A$6:$N$278,5,FALSE),"")</x:f>
        <x:v>133</x:v>
      </x:c>
      <x:c r="O135" s="110" t="n">
        <x:f>IFERROR(VLOOKUP($A135,'Andy FLEX'!$A$6:$N$278,6,FALSE),"")</x:f>
        <x:v>7.6</x:v>
      </x:c>
      <x:c r="P135" s="111" t="n">
        <x:f>IFERROR(VLOOKUP($A135,'Andy FLEX'!$A$6:$N$278,7,FALSE),"")</x:f>
        <x:v>1</x:v>
      </x:c>
      <x:c r="Q135" s="111" t="n">
        <x:f>IFERROR(VLOOKUP($A135,'Andy FLEX'!$A$6:$N$278,8,FALSE),"")</x:f>
        <x:v>5</x:v>
      </x:c>
      <x:c r="R135" s="111" t="n">
        <x:f>IFERROR(VLOOKUP($A135,'Andy FLEX'!$A$6:$N$278,9,FALSE),"")</x:f>
        <x:v>0</x:v>
      </x:c>
      <x:c r="S135" s="111" t="n">
        <x:f>IFERROR(VLOOKUP($A135,'Andy FLEX'!$A$6:$N$278,10,FALSE),"")</x:f>
        <x:v>48</x:v>
      </x:c>
      <x:c r="T135" s="111" t="n">
        <x:f>IFERROR(VLOOKUP($A135,'Andy FLEX'!$A$6:$N$278,11,FALSE),"")</x:f>
        <x:v>551</x:v>
      </x:c>
      <x:c r="U135" s="111" t="n">
        <x:f>IFERROR(VLOOKUP($A135,'Andy FLEX'!$A$6:$N$278,12,FALSE),"")</x:f>
        <x:v>4</x:v>
      </x:c>
      <x:c r="V135" s="111" t="n">
        <x:f>IFERROR(VLOOKUP($A135,'Andy FLEX'!$A$6:$N$278,13,FALSE),"")</x:f>
        <x:v>0</x:v>
      </x:c>
      <x:c r="W135" s="109" t="n">
        <x:f>IFERROR(VLOOKUP($A135,'Jason FLEX'!$A$6:$N$268,5,FALSE),"")</x:f>
        <x:v>143</x:v>
      </x:c>
      <x:c r="X135" s="110" t="n">
        <x:f>IFERROR(VLOOKUP($A135,'Jason FLEX'!$A$6:$N$268,6,FALSE),"")</x:f>
        <x:v>7.2</x:v>
      </x:c>
      <x:c r="Y135" s="111" t="n">
        <x:f>IFERROR(VLOOKUP($A135,'Jason FLEX'!$A$6:$N$268,7,FALSE),"")</x:f>
        <x:v>0</x:v>
      </x:c>
      <x:c r="Z135" s="111" t="n">
        <x:f>IFERROR(VLOOKUP($A135,'Jason FLEX'!$A$6:$N$268,8,FALSE),"")</x:f>
        <x:v>0</x:v>
      </x:c>
      <x:c r="AA135" s="111" t="n">
        <x:f>IFERROR(VLOOKUP($A135,'Jason FLEX'!$A$6:$N$268,9,FALSE),"")</x:f>
        <x:v>0</x:v>
      </x:c>
      <x:c r="AB135" s="111" t="n">
        <x:f>IFERROR(VLOOKUP($A135,'Jason FLEX'!$A$6:$N$268,10,FALSE),"")</x:f>
        <x:v>49</x:v>
      </x:c>
      <x:c r="AC135" s="111" t="n">
        <x:f>IFERROR(VLOOKUP($A135,'Jason FLEX'!$A$6:$N$268,11,FALSE),"")</x:f>
        <x:v>460</x:v>
      </x:c>
      <x:c r="AD135" s="111" t="n">
        <x:f>IFERROR(VLOOKUP($A135,'Jason FLEX'!$A$6:$N$268,12,FALSE),"")</x:f>
        <x:v>5</x:v>
      </x:c>
      <x:c r="AE135" s="111" t="n">
        <x:f>IFERROR(VLOOKUP($A135,'Jason FLEX'!$A$6:$N$268,13,FALSE),"")</x:f>
        <x:v>0</x:v>
      </x:c>
      <x:c r="AF135" s="110" t="n">
        <x:f>IF(COUNT(E135,N135,W135)=0,"",AVERAGE(E135,N135,W135))</x:f>
        <x:v>135.33333333333334</x:v>
      </x:c>
      <x:c r="AG135" s="110" t="n">
        <x:f>IF(COUNT(E135,N135,W135)=0,"",MAX(E135,N135,W135)-MIN(E135,N135,W135))</x:f>
        <x:v>13</x:v>
      </x:c>
      <x:c r="AH135" s="110" t="n">
        <x:f>IF(COUNT(F135,O135,X135)=0,"",AVERAGE(F135,O135,X135))</x:f>
        <x:v>7.433333333333334</x:v>
      </x:c>
      <x:c r="AI135" s="112" t="n">
        <x:f>IF(COUNT(G135,P135,Y135)=0,"",AVERAGE(G135,P135,Y135))</x:f>
        <x:v>0.3333333333333333</x:v>
      </x:c>
      <x:c r="AJ135" s="112" t="n">
        <x:f>IF(COUNT(H135,Q135,Z135)=0,"",AVERAGE(H135,Q135,Z135))</x:f>
        <x:v>1.6666666666666667</x:v>
      </x:c>
      <x:c r="AK135" s="112" t="n">
        <x:f>IF(COUNT(I135,R135,AA135)=0,"",AVERAGE(I135,R135,AA135))</x:f>
        <x:v>0</x:v>
      </x:c>
      <x:c r="AL135" s="112" t="n">
        <x:f>IF(COUNT(J135,S135,AB135)=0,"",AVERAGE(J135,S135,AB135))</x:f>
        <x:v>49</x:v>
      </x:c>
      <x:c r="AM135" s="112" t="n">
        <x:f>IF(COUNT(K135,T135,AC135)=0,"",AVERAGE(K135,T135,AC135))</x:f>
        <x:v>517</x:v>
      </x:c>
      <x:c r="AN135" s="112" t="n">
        <x:f>IF(COUNT(L135,U135,AD135)=0,"",AVERAGE(L135,U135,AD135))</x:f>
        <x:v>4.333333333333333</x:v>
      </x:c>
      <x:c r="AO135" s="112" t="n">
        <x:f>IF(COUNT(M135,V135,AE135)=0,"",AVERAGE(M135,V135,AE135))</x:f>
        <x:v>0.3333333333333333</x:v>
      </x:c>
    </x:row>
    <x:row r="136">
      <x:c r="A136" s="107" t="str">
        <x:v>Pat Bryant</x:v>
      </x:c>
      <x:c r="B136" s="108" t="str">
        <x:v>WR</x:v>
      </x:c>
      <x:c r="C136" s="108" t="str">
        <x:v>DEN</x:v>
      </x:c>
      <x:c r="D136" s="109" t="n">
        <x:v>10</x:v>
      </x:c>
      <x:c r="E136" s="109" t="n">
        <x:f>IFERROR(VLOOKUP($A136,'Mike FLEX'!$A$6:$N$278,5,FALSE),"")</x:f>
        <x:v>141</x:v>
      </x:c>
      <x:c r="F136" s="110" t="n">
        <x:f>IFERROR(VLOOKUP($A136,'Mike FLEX'!$A$6:$N$278,6,FALSE),"")</x:f>
        <x:v>6.8</x:v>
      </x:c>
      <x:c r="G136" s="111" t="n">
        <x:f>IFERROR(VLOOKUP($A136,'Mike FLEX'!$A$6:$N$278,7,FALSE),"")</x:f>
        <x:v>0</x:v>
      </x:c>
      <x:c r="H136" s="111" t="n">
        <x:f>IFERROR(VLOOKUP($A136,'Mike FLEX'!$A$6:$N$278,8,FALSE),"")</x:f>
        <x:v>0</x:v>
      </x:c>
      <x:c r="I136" s="111" t="n">
        <x:f>IFERROR(VLOOKUP($A136,'Mike FLEX'!$A$6:$N$278,9,FALSE),"")</x:f>
        <x:v>0</x:v>
      </x:c>
      <x:c r="J136" s="111" t="n">
        <x:f>IFERROR(VLOOKUP($A136,'Mike FLEX'!$A$6:$N$278,10,FALSE),"")</x:f>
        <x:v>43</x:v>
      </x:c>
      <x:c r="K136" s="111" t="n">
        <x:f>IFERROR(VLOOKUP($A136,'Mike FLEX'!$A$6:$N$278,11,FALSE),"")</x:f>
        <x:v>530</x:v>
      </x:c>
      <x:c r="L136" s="111" t="n">
        <x:f>IFERROR(VLOOKUP($A136,'Mike FLEX'!$A$6:$N$278,12,FALSE),"")</x:f>
        <x:v>3</x:v>
      </x:c>
      <x:c r="M136" s="111" t="n">
        <x:f>IFERROR(VLOOKUP($A136,'Mike FLEX'!$A$6:$N$278,13,FALSE),"")</x:f>
        <x:v>0</x:v>
      </x:c>
      <x:c r="N136" s="109" t="n">
        <x:f>IFERROR(VLOOKUP($A136,'Andy FLEX'!$A$6:$N$278,5,FALSE),"")</x:f>
        <x:v>147</x:v>
      </x:c>
      <x:c r="O136" s="110" t="n">
        <x:f>IFERROR(VLOOKUP($A136,'Andy FLEX'!$A$6:$N$278,6,FALSE),"")</x:f>
        <x:v>6.7</x:v>
      </x:c>
      <x:c r="P136" s="111" t="n">
        <x:f>IFERROR(VLOOKUP($A136,'Andy FLEX'!$A$6:$N$278,7,FALSE),"")</x:f>
        <x:v>0</x:v>
      </x:c>
      <x:c r="Q136" s="111" t="n">
        <x:f>IFERROR(VLOOKUP($A136,'Andy FLEX'!$A$6:$N$278,8,FALSE),"")</x:f>
        <x:v>0</x:v>
      </x:c>
      <x:c r="R136" s="111" t="n">
        <x:f>IFERROR(VLOOKUP($A136,'Andy FLEX'!$A$6:$N$278,9,FALSE),"")</x:f>
        <x:v>0</x:v>
      </x:c>
      <x:c r="S136" s="111" t="n">
        <x:f>IFERROR(VLOOKUP($A136,'Andy FLEX'!$A$6:$N$278,10,FALSE),"")</x:f>
        <x:v>42</x:v>
      </x:c>
      <x:c r="T136" s="111" t="n">
        <x:f>IFERROR(VLOOKUP($A136,'Andy FLEX'!$A$6:$N$278,11,FALSE),"")</x:f>
        <x:v>532</x:v>
      </x:c>
      <x:c r="U136" s="111" t="n">
        <x:f>IFERROR(VLOOKUP($A136,'Andy FLEX'!$A$6:$N$278,12,FALSE),"")</x:f>
        <x:v>3</x:v>
      </x:c>
      <x:c r="V136" s="111" t="n">
        <x:f>IFERROR(VLOOKUP($A136,'Andy FLEX'!$A$6:$N$278,13,FALSE),"")</x:f>
        <x:v>0</x:v>
      </x:c>
      <x:c r="W136" s="109" t="n">
        <x:f>IFERROR(VLOOKUP($A136,'Jason FLEX'!$A$6:$N$268,5,FALSE),"")</x:f>
        <x:v>119</x:v>
      </x:c>
      <x:c r="X136" s="110" t="n">
        <x:f>IFERROR(VLOOKUP($A136,'Jason FLEX'!$A$6:$N$268,6,FALSE),"")</x:f>
        <x:v>8.5</x:v>
      </x:c>
      <x:c r="Y136" s="111" t="n">
        <x:f>IFERROR(VLOOKUP($A136,'Jason FLEX'!$A$6:$N$268,7,FALSE),"")</x:f>
        <x:v>0</x:v>
      </x:c>
      <x:c r="Z136" s="111" t="n">
        <x:f>IFERROR(VLOOKUP($A136,'Jason FLEX'!$A$6:$N$268,8,FALSE),"")</x:f>
        <x:v>0</x:v>
      </x:c>
      <x:c r="AA136" s="111" t="n">
        <x:f>IFERROR(VLOOKUP($A136,'Jason FLEX'!$A$6:$N$268,9,FALSE),"")</x:f>
        <x:v>0</x:v>
      </x:c>
      <x:c r="AB136" s="111" t="n">
        <x:f>IFERROR(VLOOKUP($A136,'Jason FLEX'!$A$6:$N$268,10,FALSE),"")</x:f>
        <x:v>60</x:v>
      </x:c>
      <x:c r="AC136" s="111" t="n">
        <x:f>IFERROR(VLOOKUP($A136,'Jason FLEX'!$A$6:$N$268,11,FALSE),"")</x:f>
        <x:v>604</x:v>
      </x:c>
      <x:c r="AD136" s="111" t="n">
        <x:f>IFERROR(VLOOKUP($A136,'Jason FLEX'!$A$6:$N$268,12,FALSE),"")</x:f>
        <x:v>4</x:v>
      </x:c>
      <x:c r="AE136" s="111" t="n">
        <x:f>IFERROR(VLOOKUP($A136,'Jason FLEX'!$A$6:$N$268,13,FALSE),"")</x:f>
        <x:v>0</x:v>
      </x:c>
      <x:c r="AF136" s="110" t="n">
        <x:f>IF(COUNT(E136,N136,W136)=0,"",AVERAGE(E136,N136,W136))</x:f>
        <x:v>135.66666666666666</x:v>
      </x:c>
      <x:c r="AG136" s="110" t="n">
        <x:f>IF(COUNT(E136,N136,W136)=0,"",MAX(E136,N136,W136)-MIN(E136,N136,W136))</x:f>
        <x:v>28</x:v>
      </x:c>
      <x:c r="AH136" s="110" t="n">
        <x:f>IF(COUNT(F136,O136,X136)=0,"",AVERAGE(F136,O136,X136))</x:f>
        <x:v>7.333333333333333</x:v>
      </x:c>
      <x:c r="AI136" s="112" t="n">
        <x:f>IF(COUNT(G136,P136,Y136)=0,"",AVERAGE(G136,P136,Y136))</x:f>
        <x:v>0</x:v>
      </x:c>
      <x:c r="AJ136" s="112" t="n">
        <x:f>IF(COUNT(H136,Q136,Z136)=0,"",AVERAGE(H136,Q136,Z136))</x:f>
        <x:v>0</x:v>
      </x:c>
      <x:c r="AK136" s="112" t="n">
        <x:f>IF(COUNT(I136,R136,AA136)=0,"",AVERAGE(I136,R136,AA136))</x:f>
        <x:v>0</x:v>
      </x:c>
      <x:c r="AL136" s="112" t="n">
        <x:f>IF(COUNT(J136,S136,AB136)=0,"",AVERAGE(J136,S136,AB136))</x:f>
        <x:v>48.333333333333336</x:v>
      </x:c>
      <x:c r="AM136" s="112" t="n">
        <x:f>IF(COUNT(K136,T136,AC136)=0,"",AVERAGE(K136,T136,AC136))</x:f>
        <x:v>555.3333333333334</x:v>
      </x:c>
      <x:c r="AN136" s="112" t="n">
        <x:f>IF(COUNT(L136,U136,AD136)=0,"",AVERAGE(L136,U136,AD136))</x:f>
        <x:v>3.3333333333333335</x:v>
      </x:c>
      <x:c r="AO136" s="112" t="n">
        <x:f>IF(COUNT(M136,V136,AE136)=0,"",AVERAGE(M136,V136,AE136))</x:f>
        <x:v>0</x:v>
      </x:c>
    </x:row>
    <x:row r="137">
      <x:c r="A137" s="107" t="str">
        <x:v>Cade Otton</x:v>
      </x:c>
      <x:c r="B137" s="108" t="str">
        <x:v>TE</x:v>
      </x:c>
      <x:c r="C137" s="108" t="str">
        <x:v>TB</x:v>
      </x:c>
      <x:c r="D137" s="109" t="n">
        <x:v>10</x:v>
      </x:c>
      <x:c r="E137" s="109" t="n">
        <x:f>IFERROR(VLOOKUP($A137,'Mike FLEX'!$A$6:$N$278,5,FALSE),"")</x:f>
        <x:v>133</x:v>
      </x:c>
      <x:c r="F137" s="110" t="n">
        <x:f>IFERROR(VLOOKUP($A137,'Mike FLEX'!$A$6:$N$278,6,FALSE),"")</x:f>
        <x:v>7.1</x:v>
      </x:c>
      <x:c r="G137" s="111" t="n">
        <x:f>IFERROR(VLOOKUP($A137,'Mike FLEX'!$A$6:$N$278,7,FALSE),"")</x:f>
        <x:v>0</x:v>
      </x:c>
      <x:c r="H137" s="111" t="n">
        <x:f>IFERROR(VLOOKUP($A137,'Mike FLEX'!$A$6:$N$278,8,FALSE),"")</x:f>
        <x:v>0</x:v>
      </x:c>
      <x:c r="I137" s="111" t="n">
        <x:f>IFERROR(VLOOKUP($A137,'Mike FLEX'!$A$6:$N$278,9,FALSE),"")</x:f>
        <x:v>0</x:v>
      </x:c>
      <x:c r="J137" s="111" t="n">
        <x:f>IFERROR(VLOOKUP($A137,'Mike FLEX'!$A$6:$N$278,10,FALSE),"")</x:f>
        <x:v>53</x:v>
      </x:c>
      <x:c r="K137" s="111" t="n">
        <x:f>IFERROR(VLOOKUP($A137,'Mike FLEX'!$A$6:$N$278,11,FALSE),"")</x:f>
        <x:v>520</x:v>
      </x:c>
      <x:c r="L137" s="111" t="n">
        <x:f>IFERROR(VLOOKUP($A137,'Mike FLEX'!$A$6:$N$278,12,FALSE),"")</x:f>
        <x:v>3</x:v>
      </x:c>
      <x:c r="M137" s="111" t="n">
        <x:f>IFERROR(VLOOKUP($A137,'Mike FLEX'!$A$6:$N$278,13,FALSE),"")</x:f>
        <x:v>1</x:v>
      </x:c>
      <x:c r="N137" s="109" t="n">
        <x:f>IFERROR(VLOOKUP($A137,'Andy FLEX'!$A$6:$N$278,5,FALSE),"")</x:f>
        <x:v>141</x:v>
      </x:c>
      <x:c r="O137" s="110" t="n">
        <x:f>IFERROR(VLOOKUP($A137,'Andy FLEX'!$A$6:$N$278,6,FALSE),"")</x:f>
        <x:v>7</x:v>
      </x:c>
      <x:c r="P137" s="111" t="n">
        <x:f>IFERROR(VLOOKUP($A137,'Andy FLEX'!$A$6:$N$278,7,FALSE),"")</x:f>
        <x:v>1</x:v>
      </x:c>
      <x:c r="Q137" s="111" t="n">
        <x:f>IFERROR(VLOOKUP($A137,'Andy FLEX'!$A$6:$N$278,8,FALSE),"")</x:f>
        <x:v>3</x:v>
      </x:c>
      <x:c r="R137" s="111" t="n">
        <x:f>IFERROR(VLOOKUP($A137,'Andy FLEX'!$A$6:$N$278,9,FALSE),"")</x:f>
        <x:v>0</x:v>
      </x:c>
      <x:c r="S137" s="111" t="n">
        <x:f>IFERROR(VLOOKUP($A137,'Andy FLEX'!$A$6:$N$278,10,FALSE),"")</x:f>
        <x:v>52</x:v>
      </x:c>
      <x:c r="T137" s="111" t="n">
        <x:f>IFERROR(VLOOKUP($A137,'Andy FLEX'!$A$6:$N$278,11,FALSE),"")</x:f>
        <x:v>496</x:v>
      </x:c>
      <x:c r="U137" s="111" t="n">
        <x:f>IFERROR(VLOOKUP($A137,'Andy FLEX'!$A$6:$N$278,12,FALSE),"")</x:f>
        <x:v>3</x:v>
      </x:c>
      <x:c r="V137" s="111" t="n">
        <x:f>IFERROR(VLOOKUP($A137,'Andy FLEX'!$A$6:$N$278,13,FALSE),"")</x:f>
        <x:v>1</x:v>
      </x:c>
      <x:c r="W137" s="109" t="n">
        <x:f>IFERROR(VLOOKUP($A137,'Jason FLEX'!$A$6:$N$268,5,FALSE),"")</x:f>
        <x:v>137</x:v>
      </x:c>
      <x:c r="X137" s="110" t="n">
        <x:f>IFERROR(VLOOKUP($A137,'Jason FLEX'!$A$6:$N$268,6,FALSE),"")</x:f>
        <x:v>7.6</x:v>
      </x:c>
      <x:c r="Y137" s="111" t="n">
        <x:f>IFERROR(VLOOKUP($A137,'Jason FLEX'!$A$6:$N$268,7,FALSE),"")</x:f>
        <x:v>0</x:v>
      </x:c>
      <x:c r="Z137" s="111" t="n">
        <x:f>IFERROR(VLOOKUP($A137,'Jason FLEX'!$A$6:$N$268,8,FALSE),"")</x:f>
        <x:v>0</x:v>
      </x:c>
      <x:c r="AA137" s="111" t="n">
        <x:f>IFERROR(VLOOKUP($A137,'Jason FLEX'!$A$6:$N$268,9,FALSE),"")</x:f>
        <x:v>0</x:v>
      </x:c>
      <x:c r="AB137" s="111" t="n">
        <x:f>IFERROR(VLOOKUP($A137,'Jason FLEX'!$A$6:$N$268,10,FALSE),"")</x:f>
        <x:v>53</x:v>
      </x:c>
      <x:c r="AC137" s="111" t="n">
        <x:f>IFERROR(VLOOKUP($A137,'Jason FLEX'!$A$6:$N$268,11,FALSE),"")</x:f>
        <x:v>519</x:v>
      </x:c>
      <x:c r="AD137" s="111" t="n">
        <x:f>IFERROR(VLOOKUP($A137,'Jason FLEX'!$A$6:$N$268,12,FALSE),"")</x:f>
        <x:v>4</x:v>
      </x:c>
      <x:c r="AE137" s="111" t="n">
        <x:f>IFERROR(VLOOKUP($A137,'Jason FLEX'!$A$6:$N$268,13,FALSE),"")</x:f>
        <x:v>0</x:v>
      </x:c>
      <x:c r="AF137" s="110" t="n">
        <x:f>IF(COUNT(E137,N137,W137)=0,"",AVERAGE(E137,N137,W137))</x:f>
        <x:v>137</x:v>
      </x:c>
      <x:c r="AG137" s="110" t="n">
        <x:f>IF(COUNT(E137,N137,W137)=0,"",MAX(E137,N137,W137)-MIN(E137,N137,W137))</x:f>
        <x:v>8</x:v>
      </x:c>
      <x:c r="AH137" s="110" t="n">
        <x:f>IF(COUNT(F137,O137,X137)=0,"",AVERAGE(F137,O137,X137))</x:f>
        <x:v>7.233333333333333</x:v>
      </x:c>
      <x:c r="AI137" s="112" t="n">
        <x:f>IF(COUNT(G137,P137,Y137)=0,"",AVERAGE(G137,P137,Y137))</x:f>
        <x:v>0.3333333333333333</x:v>
      </x:c>
      <x:c r="AJ137" s="112" t="n">
        <x:f>IF(COUNT(H137,Q137,Z137)=0,"",AVERAGE(H137,Q137,Z137))</x:f>
        <x:v>1</x:v>
      </x:c>
      <x:c r="AK137" s="112" t="n">
        <x:f>IF(COUNT(I137,R137,AA137)=0,"",AVERAGE(I137,R137,AA137))</x:f>
        <x:v>0</x:v>
      </x:c>
      <x:c r="AL137" s="112" t="n">
        <x:f>IF(COUNT(J137,S137,AB137)=0,"",AVERAGE(J137,S137,AB137))</x:f>
        <x:v>52.666666666666664</x:v>
      </x:c>
      <x:c r="AM137" s="112" t="n">
        <x:f>IF(COUNT(K137,T137,AC137)=0,"",AVERAGE(K137,T137,AC137))</x:f>
        <x:v>511.6666666666667</x:v>
      </x:c>
      <x:c r="AN137" s="112" t="n">
        <x:f>IF(COUNT(L137,U137,AD137)=0,"",AVERAGE(L137,U137,AD137))</x:f>
        <x:v>3.3333333333333335</x:v>
      </x:c>
      <x:c r="AO137" s="112" t="n">
        <x:f>IF(COUNT(M137,V137,AE137)=0,"",AVERAGE(M137,V137,AE137))</x:f>
        <x:v>0.6666666666666666</x:v>
      </x:c>
    </x:row>
    <x:row r="138">
      <x:c r="A138" s="107" t="str">
        <x:v>Kenyon Sadiq</x:v>
      </x:c>
      <x:c r="B138" s="108" t="str">
        <x:v>TE</x:v>
      </x:c>
      <x:c r="C138" s="108" t="str">
        <x:v>NYJ</x:v>
      </x:c>
      <x:c r="D138" s="109" t="n">
        <x:v>13</x:v>
      </x:c>
      <x:c r="E138" s="109" t="n">
        <x:f>IFERROR(VLOOKUP($A138,'Mike FLEX'!$A$6:$N$278,5,FALSE),"")</x:f>
        <x:v>119</x:v>
      </x:c>
      <x:c r="F138" s="110" t="n">
        <x:f>IFERROR(VLOOKUP($A138,'Mike FLEX'!$A$6:$N$278,6,FALSE),"")</x:f>
        <x:v>8.3</x:v>
      </x:c>
      <x:c r="G138" s="111" t="n">
        <x:f>IFERROR(VLOOKUP($A138,'Mike FLEX'!$A$6:$N$278,7,FALSE),"")</x:f>
        <x:v>0</x:v>
      </x:c>
      <x:c r="H138" s="111" t="n">
        <x:f>IFERROR(VLOOKUP($A138,'Mike FLEX'!$A$6:$N$278,8,FALSE),"")</x:f>
        <x:v>0</x:v>
      </x:c>
      <x:c r="I138" s="111" t="n">
        <x:f>IFERROR(VLOOKUP($A138,'Mike FLEX'!$A$6:$N$278,9,FALSE),"")</x:f>
        <x:v>0</x:v>
      </x:c>
      <x:c r="J138" s="111" t="n">
        <x:f>IFERROR(VLOOKUP($A138,'Mike FLEX'!$A$6:$N$278,10,FALSE),"")</x:f>
        <x:v>56</x:v>
      </x:c>
      <x:c r="K138" s="111" t="n">
        <x:f>IFERROR(VLOOKUP($A138,'Mike FLEX'!$A$6:$N$278,11,FALSE),"")</x:f>
        <x:v>611</x:v>
      </x:c>
      <x:c r="L138" s="111" t="n">
        <x:f>IFERROR(VLOOKUP($A138,'Mike FLEX'!$A$6:$N$278,12,FALSE),"")</x:f>
        <x:v>4</x:v>
      </x:c>
      <x:c r="M138" s="111" t="n">
        <x:f>IFERROR(VLOOKUP($A138,'Mike FLEX'!$A$6:$N$278,13,FALSE),"")</x:f>
        <x:v>0</x:v>
      </x:c>
      <x:c r="N138" s="109" t="n">
        <x:f>IFERROR(VLOOKUP($A138,'Andy FLEX'!$A$6:$N$278,5,FALSE),"")</x:f>
        <x:v>162</x:v>
      </x:c>
      <x:c r="O138" s="110" t="n">
        <x:f>IFERROR(VLOOKUP($A138,'Andy FLEX'!$A$6:$N$278,6,FALSE),"")</x:f>
        <x:v>6</x:v>
      </x:c>
      <x:c r="P138" s="111" t="n">
        <x:f>IFERROR(VLOOKUP($A138,'Andy FLEX'!$A$6:$N$278,7,FALSE),"")</x:f>
        <x:v>5</x:v>
      </x:c>
      <x:c r="Q138" s="111" t="n">
        <x:f>IFERROR(VLOOKUP($A138,'Andy FLEX'!$A$6:$N$278,8,FALSE),"")</x:f>
        <x:v>26</x:v>
      </x:c>
      <x:c r="R138" s="111" t="n">
        <x:f>IFERROR(VLOOKUP($A138,'Andy FLEX'!$A$6:$N$278,9,FALSE),"")</x:f>
        <x:v>0</x:v>
      </x:c>
      <x:c r="S138" s="111" t="n">
        <x:f>IFERROR(VLOOKUP($A138,'Andy FLEX'!$A$6:$N$278,10,FALSE),"")</x:f>
        <x:v>40</x:v>
      </x:c>
      <x:c r="T138" s="111" t="n">
        <x:f>IFERROR(VLOOKUP($A138,'Andy FLEX'!$A$6:$N$278,11,FALSE),"")</x:f>
        <x:v>418</x:v>
      </x:c>
      <x:c r="U138" s="111" t="n">
        <x:f>IFERROR(VLOOKUP($A138,'Andy FLEX'!$A$6:$N$278,12,FALSE),"")</x:f>
        <x:v>3</x:v>
      </x:c>
      <x:c r="V138" s="111" t="n">
        <x:f>IFERROR(VLOOKUP($A138,'Andy FLEX'!$A$6:$N$278,13,FALSE),"")</x:f>
        <x:v>0</x:v>
      </x:c>
      <x:c r="W138" s="109" t="n">
        <x:f>IFERROR(VLOOKUP($A138,'Jason FLEX'!$A$6:$N$268,5,FALSE),"")</x:f>
        <x:v>131</x:v>
      </x:c>
      <x:c r="X138" s="110" t="n">
        <x:f>IFERROR(VLOOKUP($A138,'Jason FLEX'!$A$6:$N$268,6,FALSE),"")</x:f>
        <x:v>7.9</x:v>
      </x:c>
      <x:c r="Y138" s="111" t="n">
        <x:f>IFERROR(VLOOKUP($A138,'Jason FLEX'!$A$6:$N$268,7,FALSE),"")</x:f>
        <x:v>0</x:v>
      </x:c>
      <x:c r="Z138" s="111" t="n">
        <x:f>IFERROR(VLOOKUP($A138,'Jason FLEX'!$A$6:$N$268,8,FALSE),"")</x:f>
        <x:v>0</x:v>
      </x:c>
      <x:c r="AA138" s="111" t="n">
        <x:f>IFERROR(VLOOKUP($A138,'Jason FLEX'!$A$6:$N$268,9,FALSE),"")</x:f>
        <x:v>0</x:v>
      </x:c>
      <x:c r="AB138" s="111" t="n">
        <x:f>IFERROR(VLOOKUP($A138,'Jason FLEX'!$A$6:$N$268,10,FALSE),"")</x:f>
        <x:v>54</x:v>
      </x:c>
      <x:c r="AC138" s="111" t="n">
        <x:f>IFERROR(VLOOKUP($A138,'Jason FLEX'!$A$6:$N$268,11,FALSE),"")</x:f>
        <x:v>540</x:v>
      </x:c>
      <x:c r="AD138" s="111" t="n">
        <x:f>IFERROR(VLOOKUP($A138,'Jason FLEX'!$A$6:$N$268,12,FALSE),"")</x:f>
        <x:v>5</x:v>
      </x:c>
      <x:c r="AE138" s="111" t="n">
        <x:f>IFERROR(VLOOKUP($A138,'Jason FLEX'!$A$6:$N$268,13,FALSE),"")</x:f>
        <x:v>0</x:v>
      </x:c>
      <x:c r="AF138" s="110" t="n">
        <x:f>IF(COUNT(E138,N138,W138)=0,"",AVERAGE(E138,N138,W138))</x:f>
        <x:v>137.33333333333334</x:v>
      </x:c>
      <x:c r="AG138" s="110" t="n">
        <x:f>IF(COUNT(E138,N138,W138)=0,"",MAX(E138,N138,W138)-MIN(E138,N138,W138))</x:f>
        <x:v>43</x:v>
      </x:c>
      <x:c r="AH138" s="110" t="n">
        <x:f>IF(COUNT(F138,O138,X138)=0,"",AVERAGE(F138,O138,X138))</x:f>
        <x:v>7.400000000000001</x:v>
      </x:c>
      <x:c r="AI138" s="112" t="n">
        <x:f>IF(COUNT(G138,P138,Y138)=0,"",AVERAGE(G138,P138,Y138))</x:f>
        <x:v>1.6666666666666667</x:v>
      </x:c>
      <x:c r="AJ138" s="112" t="n">
        <x:f>IF(COUNT(H138,Q138,Z138)=0,"",AVERAGE(H138,Q138,Z138))</x:f>
        <x:v>8.666666666666666</x:v>
      </x:c>
      <x:c r="AK138" s="112" t="n">
        <x:f>IF(COUNT(I138,R138,AA138)=0,"",AVERAGE(I138,R138,AA138))</x:f>
        <x:v>0</x:v>
      </x:c>
      <x:c r="AL138" s="112" t="n">
        <x:f>IF(COUNT(J138,S138,AB138)=0,"",AVERAGE(J138,S138,AB138))</x:f>
        <x:v>50</x:v>
      </x:c>
      <x:c r="AM138" s="112" t="n">
        <x:f>IF(COUNT(K138,T138,AC138)=0,"",AVERAGE(K138,T138,AC138))</x:f>
        <x:v>523</x:v>
      </x:c>
      <x:c r="AN138" s="112" t="n">
        <x:f>IF(COUNT(L138,U138,AD138)=0,"",AVERAGE(L138,U138,AD138))</x:f>
        <x:v>4</x:v>
      </x:c>
      <x:c r="AO138" s="112" t="n">
        <x:f>IF(COUNT(M138,V138,AE138)=0,"",AVERAGE(M138,V138,AE138))</x:f>
        <x:v>0</x:v>
      </x:c>
    </x:row>
    <x:row r="139">
      <x:c r="A139" s="107" t="str">
        <x:v>Jalen Nailor</x:v>
      </x:c>
      <x:c r="B139" s="108" t="str">
        <x:v>WR</x:v>
      </x:c>
      <x:c r="C139" s="108" t="str">
        <x:v>LV</x:v>
      </x:c>
      <x:c r="D139" s="109" t="n">
        <x:v>13</x:v>
      </x:c>
      <x:c r="E139" s="109" t="n">
        <x:f>IFERROR(VLOOKUP($A139,'Mike FLEX'!$A$6:$N$278,5,FALSE),"")</x:f>
        <x:v>159</x:v>
      </x:c>
      <x:c r="F139" s="110" t="n">
        <x:f>IFERROR(VLOOKUP($A139,'Mike FLEX'!$A$6:$N$278,6,FALSE),"")</x:f>
        <x:v>6.1</x:v>
      </x:c>
      <x:c r="G139" s="111" t="n">
        <x:f>IFERROR(VLOOKUP($A139,'Mike FLEX'!$A$6:$N$278,7,FALSE),"")</x:f>
        <x:v>0</x:v>
      </x:c>
      <x:c r="H139" s="111" t="n">
        <x:f>IFERROR(VLOOKUP($A139,'Mike FLEX'!$A$6:$N$278,8,FALSE),"")</x:f>
        <x:v>0</x:v>
      </x:c>
      <x:c r="I139" s="111" t="n">
        <x:f>IFERROR(VLOOKUP($A139,'Mike FLEX'!$A$6:$N$278,9,FALSE),"")</x:f>
        <x:v>0</x:v>
      </x:c>
      <x:c r="J139" s="111" t="n">
        <x:f>IFERROR(VLOOKUP($A139,'Mike FLEX'!$A$6:$N$278,10,FALSE),"")</x:f>
        <x:v>32</x:v>
      </x:c>
      <x:c r="K139" s="111" t="n">
        <x:f>IFERROR(VLOOKUP($A139,'Mike FLEX'!$A$6:$N$278,11,FALSE),"")</x:f>
        <x:v>476</x:v>
      </x:c>
      <x:c r="L139" s="111" t="n">
        <x:f>IFERROR(VLOOKUP($A139,'Mike FLEX'!$A$6:$N$278,12,FALSE),"")</x:f>
        <x:v>4</x:v>
      </x:c>
      <x:c r="M139" s="111" t="n">
        <x:f>IFERROR(VLOOKUP($A139,'Mike FLEX'!$A$6:$N$278,13,FALSE),"")</x:f>
        <x:v>0</x:v>
      </x:c>
      <x:c r="N139" s="109" t="n">
        <x:f>IFERROR(VLOOKUP($A139,'Andy FLEX'!$A$6:$N$278,5,FALSE),"")</x:f>
        <x:v>124</x:v>
      </x:c>
      <x:c r="O139" s="110" t="n">
        <x:f>IFERROR(VLOOKUP($A139,'Andy FLEX'!$A$6:$N$278,6,FALSE),"")</x:f>
        <x:v>8</x:v>
      </x:c>
      <x:c r="P139" s="111" t="n">
        <x:f>IFERROR(VLOOKUP($A139,'Andy FLEX'!$A$6:$N$278,7,FALSE),"")</x:f>
        <x:v>8</x:v>
      </x:c>
      <x:c r="Q139" s="111" t="n">
        <x:f>IFERROR(VLOOKUP($A139,'Andy FLEX'!$A$6:$N$278,8,FALSE),"")</x:f>
        <x:v>47</x:v>
      </x:c>
      <x:c r="R139" s="111" t="n">
        <x:f>IFERROR(VLOOKUP($A139,'Andy FLEX'!$A$6:$N$278,9,FALSE),"")</x:f>
        <x:v>0</x:v>
      </x:c>
      <x:c r="S139" s="111" t="n">
        <x:f>IFERROR(VLOOKUP($A139,'Andy FLEX'!$A$6:$N$278,10,FALSE),"")</x:f>
        <x:v>48</x:v>
      </x:c>
      <x:c r="T139" s="111" t="n">
        <x:f>IFERROR(VLOOKUP($A139,'Andy FLEX'!$A$6:$N$278,11,FALSE),"")</x:f>
        <x:v>642</x:v>
      </x:c>
      <x:c r="U139" s="111" t="n">
        <x:f>IFERROR(VLOOKUP($A139,'Andy FLEX'!$A$6:$N$278,12,FALSE),"")</x:f>
        <x:v>4</x:v>
      </x:c>
      <x:c r="V139" s="111" t="n">
        <x:f>IFERROR(VLOOKUP($A139,'Andy FLEX'!$A$6:$N$278,13,FALSE),"")</x:f>
        <x:v>1</x:v>
      </x:c>
      <x:c r="W139" s="109" t="n">
        <x:f>IFERROR(VLOOKUP($A139,'Jason FLEX'!$A$6:$N$268,5,FALSE),"")</x:f>
        <x:v>134</x:v>
      </x:c>
      <x:c r="X139" s="110" t="n">
        <x:f>IFERROR(VLOOKUP($A139,'Jason FLEX'!$A$6:$N$268,6,FALSE),"")</x:f>
        <x:v>7.8</x:v>
      </x:c>
      <x:c r="Y139" s="111" t="n">
        <x:f>IFERROR(VLOOKUP($A139,'Jason FLEX'!$A$6:$N$268,7,FALSE),"")</x:f>
        <x:v>0</x:v>
      </x:c>
      <x:c r="Z139" s="111" t="n">
        <x:f>IFERROR(VLOOKUP($A139,'Jason FLEX'!$A$6:$N$268,8,FALSE),"")</x:f>
        <x:v>0</x:v>
      </x:c>
      <x:c r="AA139" s="111" t="n">
        <x:f>IFERROR(VLOOKUP($A139,'Jason FLEX'!$A$6:$N$268,9,FALSE),"")</x:f>
        <x:v>0</x:v>
      </x:c>
      <x:c r="AB139" s="111" t="n">
        <x:f>IFERROR(VLOOKUP($A139,'Jason FLEX'!$A$6:$N$268,10,FALSE),"")</x:f>
        <x:v>55</x:v>
      </x:c>
      <x:c r="AC139" s="111" t="n">
        <x:f>IFERROR(VLOOKUP($A139,'Jason FLEX'!$A$6:$N$268,11,FALSE),"")</x:f>
        <x:v>660</x:v>
      </x:c>
      <x:c r="AD139" s="111" t="n">
        <x:f>IFERROR(VLOOKUP($A139,'Jason FLEX'!$A$6:$N$268,12,FALSE),"")</x:f>
        <x:v>2</x:v>
      </x:c>
      <x:c r="AE139" s="111" t="n">
        <x:f>IFERROR(VLOOKUP($A139,'Jason FLEX'!$A$6:$N$268,13,FALSE),"")</x:f>
        <x:v>0</x:v>
      </x:c>
      <x:c r="AF139" s="110" t="n">
        <x:f>IF(COUNT(E139,N139,W139)=0,"",AVERAGE(E139,N139,W139))</x:f>
        <x:v>139</x:v>
      </x:c>
      <x:c r="AG139" s="110" t="n">
        <x:f>IF(COUNT(E139,N139,W139)=0,"",MAX(E139,N139,W139)-MIN(E139,N139,W139))</x:f>
        <x:v>35</x:v>
      </x:c>
      <x:c r="AH139" s="110" t="n">
        <x:f>IF(COUNT(F139,O139,X139)=0,"",AVERAGE(F139,O139,X139))</x:f>
        <x:v>7.3</x:v>
      </x:c>
      <x:c r="AI139" s="112" t="n">
        <x:f>IF(COUNT(G139,P139,Y139)=0,"",AVERAGE(G139,P139,Y139))</x:f>
        <x:v>2.6666666666666665</x:v>
      </x:c>
      <x:c r="AJ139" s="112" t="n">
        <x:f>IF(COUNT(H139,Q139,Z139)=0,"",AVERAGE(H139,Q139,Z139))</x:f>
        <x:v>15.666666666666666</x:v>
      </x:c>
      <x:c r="AK139" s="112" t="n">
        <x:f>IF(COUNT(I139,R139,AA139)=0,"",AVERAGE(I139,R139,AA139))</x:f>
        <x:v>0</x:v>
      </x:c>
      <x:c r="AL139" s="112" t="n">
        <x:f>IF(COUNT(J139,S139,AB139)=0,"",AVERAGE(J139,S139,AB139))</x:f>
        <x:v>45</x:v>
      </x:c>
      <x:c r="AM139" s="112" t="n">
        <x:f>IF(COUNT(K139,T139,AC139)=0,"",AVERAGE(K139,T139,AC139))</x:f>
        <x:v>592.6666666666666</x:v>
      </x:c>
      <x:c r="AN139" s="112" t="n">
        <x:f>IF(COUNT(L139,U139,AD139)=0,"",AVERAGE(L139,U139,AD139))</x:f>
        <x:v>3.3333333333333335</x:v>
      </x:c>
      <x:c r="AO139" s="112" t="n">
        <x:f>IF(COUNT(M139,V139,AE139)=0,"",AVERAGE(M139,V139,AE139))</x:f>
        <x:v>0.3333333333333333</x:v>
      </x:c>
    </x:row>
    <x:row r="140">
      <x:c r="A140" s="107" t="str">
        <x:v>Travis Hunter</x:v>
      </x:c>
      <x:c r="B140" s="108" t="str">
        <x:v>WR</x:v>
      </x:c>
      <x:c r="C140" s="108" t="str">
        <x:v>JAX</x:v>
      </x:c>
      <x:c r="D140" s="109" t="n">
        <x:v>7</x:v>
      </x:c>
      <x:c r="E140" s="109" t="n">
        <x:f>IFERROR(VLOOKUP($A140,'Mike FLEX'!$A$6:$N$278,5,FALSE),"")</x:f>
        <x:v>167</x:v>
      </x:c>
      <x:c r="F140" s="110" t="n">
        <x:f>IFERROR(VLOOKUP($A140,'Mike FLEX'!$A$6:$N$278,6,FALSE),"")</x:f>
        <x:v>5.5</x:v>
      </x:c>
      <x:c r="G140" s="111" t="n">
        <x:f>IFERROR(VLOOKUP($A140,'Mike FLEX'!$A$6:$N$278,7,FALSE),"")</x:f>
        <x:v>0</x:v>
      </x:c>
      <x:c r="H140" s="111" t="n">
        <x:f>IFERROR(VLOOKUP($A140,'Mike FLEX'!$A$6:$N$278,8,FALSE),"")</x:f>
        <x:v>0</x:v>
      </x:c>
      <x:c r="I140" s="111" t="n">
        <x:f>IFERROR(VLOOKUP($A140,'Mike FLEX'!$A$6:$N$278,9,FALSE),"")</x:f>
        <x:v>0</x:v>
      </x:c>
      <x:c r="J140" s="111" t="n">
        <x:f>IFERROR(VLOOKUP($A140,'Mike FLEX'!$A$6:$N$278,10,FALSE),"")</x:f>
        <x:v>39</x:v>
      </x:c>
      <x:c r="K140" s="111" t="n">
        <x:f>IFERROR(VLOOKUP($A140,'Mike FLEX'!$A$6:$N$278,11,FALSE),"")</x:f>
        <x:v>426</x:v>
      </x:c>
      <x:c r="L140" s="111" t="n">
        <x:f>IFERROR(VLOOKUP($A140,'Mike FLEX'!$A$6:$N$278,12,FALSE),"")</x:f>
        <x:v>2</x:v>
      </x:c>
      <x:c r="M140" s="111" t="n">
        <x:f>IFERROR(VLOOKUP($A140,'Mike FLEX'!$A$6:$N$278,13,FALSE),"")</x:f>
        <x:v>1</x:v>
      </x:c>
      <x:c r="N140" s="109" t="n">
        <x:f>IFERROR(VLOOKUP($A140,'Andy FLEX'!$A$6:$N$278,5,FALSE),"")</x:f>
        <x:v>100</x:v>
      </x:c>
      <x:c r="O140" s="110" t="n">
        <x:f>IFERROR(VLOOKUP($A140,'Andy FLEX'!$A$6:$N$278,6,FALSE),"")</x:f>
        <x:v>9.4</x:v>
      </x:c>
      <x:c r="P140" s="111" t="n">
        <x:f>IFERROR(VLOOKUP($A140,'Andy FLEX'!$A$6:$N$278,7,FALSE),"")</x:f>
        <x:v>6</x:v>
      </x:c>
      <x:c r="Q140" s="111" t="n">
        <x:f>IFERROR(VLOOKUP($A140,'Andy FLEX'!$A$6:$N$278,8,FALSE),"")</x:f>
        <x:v>35</x:v>
      </x:c>
      <x:c r="R140" s="111" t="n">
        <x:f>IFERROR(VLOOKUP($A140,'Andy FLEX'!$A$6:$N$278,9,FALSE),"")</x:f>
        <x:v>1</x:v>
      </x:c>
      <x:c r="S140" s="111" t="n">
        <x:f>IFERROR(VLOOKUP($A140,'Andy FLEX'!$A$6:$N$278,10,FALSE),"")</x:f>
        <x:v>52</x:v>
      </x:c>
      <x:c r="T140" s="111" t="n">
        <x:f>IFERROR(VLOOKUP($A140,'Andy FLEX'!$A$6:$N$278,11,FALSE),"")</x:f>
        <x:v>708</x:v>
      </x:c>
      <x:c r="U140" s="111" t="n">
        <x:f>IFERROR(VLOOKUP($A140,'Andy FLEX'!$A$6:$N$278,12,FALSE),"")</x:f>
        <x:v>5</x:v>
      </x:c>
      <x:c r="V140" s="111" t="n">
        <x:f>IFERROR(VLOOKUP($A140,'Andy FLEX'!$A$6:$N$278,13,FALSE),"")</x:f>
        <x:v>1</x:v>
      </x:c>
      <x:c r="W140" s="109" t="n">
        <x:f>IFERROR(VLOOKUP($A140,'Jason FLEX'!$A$6:$N$268,5,FALSE),"")</x:f>
        <x:v>166</x:v>
      </x:c>
      <x:c r="X140" s="110" t="n">
        <x:f>IFERROR(VLOOKUP($A140,'Jason FLEX'!$A$6:$N$268,6,FALSE),"")</x:f>
        <x:v>6.2</x:v>
      </x:c>
      <x:c r="Y140" s="111" t="n">
        <x:f>IFERROR(VLOOKUP($A140,'Jason FLEX'!$A$6:$N$268,7,FALSE),"")</x:f>
        <x:v>4</x:v>
      </x:c>
      <x:c r="Z140" s="111" t="n">
        <x:f>IFERROR(VLOOKUP($A140,'Jason FLEX'!$A$6:$N$268,8,FALSE),"")</x:f>
        <x:v>22</x:v>
      </x:c>
      <x:c r="AA140" s="111" t="n">
        <x:f>IFERROR(VLOOKUP($A140,'Jason FLEX'!$A$6:$N$268,9,FALSE),"")</x:f>
        <x:v>1</x:v>
      </x:c>
      <x:c r="AB140" s="111" t="n">
        <x:f>IFERROR(VLOOKUP($A140,'Jason FLEX'!$A$6:$N$268,10,FALSE),"")</x:f>
        <x:v>39</x:v>
      </x:c>
      <x:c r="AC140" s="111" t="n">
        <x:f>IFERROR(VLOOKUP($A140,'Jason FLEX'!$A$6:$N$268,11,FALSE),"")</x:f>
        <x:v>430</x:v>
      </x:c>
      <x:c r="AD140" s="111" t="n">
        <x:f>IFERROR(VLOOKUP($A140,'Jason FLEX'!$A$6:$N$268,12,FALSE),"")</x:f>
        <x:v>3</x:v>
      </x:c>
      <x:c r="AE140" s="111" t="n">
        <x:f>IFERROR(VLOOKUP($A140,'Jason FLEX'!$A$6:$N$268,13,FALSE),"")</x:f>
        <x:v>0</x:v>
      </x:c>
      <x:c r="AF140" s="110" t="n">
        <x:f>IF(COUNT(E140,N140,W140)=0,"",AVERAGE(E140,N140,W140))</x:f>
        <x:v>144.33333333333334</x:v>
      </x:c>
      <x:c r="AG140" s="110" t="n">
        <x:f>IF(COUNT(E140,N140,W140)=0,"",MAX(E140,N140,W140)-MIN(E140,N140,W140))</x:f>
        <x:v>67</x:v>
      </x:c>
      <x:c r="AH140" s="110" t="n">
        <x:f>IF(COUNT(F140,O140,X140)=0,"",AVERAGE(F140,O140,X140))</x:f>
        <x:v>7.033333333333334</x:v>
      </x:c>
      <x:c r="AI140" s="112" t="n">
        <x:f>IF(COUNT(G140,P140,Y140)=0,"",AVERAGE(G140,P140,Y140))</x:f>
        <x:v>3.3333333333333335</x:v>
      </x:c>
      <x:c r="AJ140" s="112" t="n">
        <x:f>IF(COUNT(H140,Q140,Z140)=0,"",AVERAGE(H140,Q140,Z140))</x:f>
        <x:v>19</x:v>
      </x:c>
      <x:c r="AK140" s="112" t="n">
        <x:f>IF(COUNT(I140,R140,AA140)=0,"",AVERAGE(I140,R140,AA140))</x:f>
        <x:v>0.6666666666666666</x:v>
      </x:c>
      <x:c r="AL140" s="112" t="n">
        <x:f>IF(COUNT(J140,S140,AB140)=0,"",AVERAGE(J140,S140,AB140))</x:f>
        <x:v>43.333333333333336</x:v>
      </x:c>
      <x:c r="AM140" s="112" t="n">
        <x:f>IF(COUNT(K140,T140,AC140)=0,"",AVERAGE(K140,T140,AC140))</x:f>
        <x:v>521.3333333333334</x:v>
      </x:c>
      <x:c r="AN140" s="112" t="n">
        <x:f>IF(COUNT(L140,U140,AD140)=0,"",AVERAGE(L140,U140,AD140))</x:f>
        <x:v>3.3333333333333335</x:v>
      </x:c>
      <x:c r="AO140" s="112" t="n">
        <x:f>IF(COUNT(M140,V140,AE140)=0,"",AVERAGE(M140,V140,AE140))</x:f>
        <x:v>0.6666666666666666</x:v>
      </x:c>
    </x:row>
    <x:row r="141">
      <x:c r="A141" s="107" t="str">
        <x:v>Woody Marks</x:v>
      </x:c>
      <x:c r="B141" s="108" t="str">
        <x:v>RB</x:v>
      </x:c>
      <x:c r="C141" s="108" t="str">
        <x:v>HOU</x:v>
      </x:c>
      <x:c r="D141" s="109" t="n">
        <x:v>8</x:v>
      </x:c>
      <x:c r="E141" s="109" t="n">
        <x:f>IFERROR(VLOOKUP($A141,'Mike FLEX'!$A$6:$N$278,5,FALSE),"")</x:f>
        <x:v>163</x:v>
      </x:c>
      <x:c r="F141" s="110" t="n">
        <x:f>IFERROR(VLOOKUP($A141,'Mike FLEX'!$A$6:$N$278,6,FALSE),"")</x:f>
        <x:v>6</x:v>
      </x:c>
      <x:c r="G141" s="111" t="n">
        <x:f>IFERROR(VLOOKUP($A141,'Mike FLEX'!$A$6:$N$278,7,FALSE),"")</x:f>
        <x:v>110</x:v>
      </x:c>
      <x:c r="H141" s="111" t="n">
        <x:f>IFERROR(VLOOKUP($A141,'Mike FLEX'!$A$6:$N$278,8,FALSE),"")</x:f>
        <x:v>395</x:v>
      </x:c>
      <x:c r="I141" s="111" t="n">
        <x:f>IFERROR(VLOOKUP($A141,'Mike FLEX'!$A$6:$N$278,9,FALSE),"")</x:f>
        <x:v>2</x:v>
      </x:c>
      <x:c r="J141" s="111" t="n">
        <x:f>IFERROR(VLOOKUP($A141,'Mike FLEX'!$A$6:$N$278,10,FALSE),"")</x:f>
        <x:v>24</x:v>
      </x:c>
      <x:c r="K141" s="111" t="n">
        <x:f>IFERROR(VLOOKUP($A141,'Mike FLEX'!$A$6:$N$278,11,FALSE),"")</x:f>
        <x:v>199</x:v>
      </x:c>
      <x:c r="L141" s="111" t="n">
        <x:f>IFERROR(VLOOKUP($A141,'Mike FLEX'!$A$6:$N$278,12,FALSE),"")</x:f>
        <x:v>1</x:v>
      </x:c>
      <x:c r="M141" s="111" t="n">
        <x:f>IFERROR(VLOOKUP($A141,'Mike FLEX'!$A$6:$N$278,13,FALSE),"")</x:f>
        <x:v>1</x:v>
      </x:c>
      <x:c r="N141" s="109" t="n">
        <x:f>IFERROR(VLOOKUP($A141,'Andy FLEX'!$A$6:$N$278,5,FALSE),"")</x:f>
        <x:v>137</x:v>
      </x:c>
      <x:c r="O141" s="110" t="n">
        <x:f>IFERROR(VLOOKUP($A141,'Andy FLEX'!$A$6:$N$278,6,FALSE),"")</x:f>
        <x:v>7.4</x:v>
      </x:c>
      <x:c r="P141" s="111" t="n">
        <x:f>IFERROR(VLOOKUP($A141,'Andy FLEX'!$A$6:$N$278,7,FALSE),"")</x:f>
        <x:v>141</x:v>
      </x:c>
      <x:c r="Q141" s="111" t="n">
        <x:f>IFERROR(VLOOKUP($A141,'Andy FLEX'!$A$6:$N$278,8,FALSE),"")</x:f>
        <x:v>535</x:v>
      </x:c>
      <x:c r="R141" s="111" t="n">
        <x:f>IFERROR(VLOOKUP($A141,'Andy FLEX'!$A$6:$N$278,9,FALSE),"")</x:f>
        <x:v>4</x:v>
      </x:c>
      <x:c r="S141" s="111" t="n">
        <x:f>IFERROR(VLOOKUP($A141,'Andy FLEX'!$A$6:$N$278,10,FALSE),"")</x:f>
        <x:v>22</x:v>
      </x:c>
      <x:c r="T141" s="111" t="n">
        <x:f>IFERROR(VLOOKUP($A141,'Andy FLEX'!$A$6:$N$278,11,FALSE),"")</x:f>
        <x:v>208</x:v>
      </x:c>
      <x:c r="U141" s="111" t="n">
        <x:f>IFERROR(VLOOKUP($A141,'Andy FLEX'!$A$6:$N$278,12,FALSE),"")</x:f>
        <x:v>1</x:v>
      </x:c>
      <x:c r="V141" s="111" t="n">
        <x:f>IFERROR(VLOOKUP($A141,'Andy FLEX'!$A$6:$N$278,13,FALSE),"")</x:f>
        <x:v>1</x:v>
      </x:c>
      <x:c r="W141" s="109" t="n">
        <x:f>IFERROR(VLOOKUP($A141,'Jason FLEX'!$A$6:$N$268,5,FALSE),"")</x:f>
        <x:v>136</x:v>
      </x:c>
      <x:c r="X141" s="110" t="n">
        <x:f>IFERROR(VLOOKUP($A141,'Jason FLEX'!$A$6:$N$268,6,FALSE),"")</x:f>
        <x:v>7.6</x:v>
      </x:c>
      <x:c r="Y141" s="111" t="n">
        <x:f>IFERROR(VLOOKUP($A141,'Jason FLEX'!$A$6:$N$268,7,FALSE),"")</x:f>
        <x:v>125</x:v>
      </x:c>
      <x:c r="Z141" s="111" t="n">
        <x:f>IFERROR(VLOOKUP($A141,'Jason FLEX'!$A$6:$N$268,8,FALSE),"")</x:f>
        <x:v>511</x:v>
      </x:c>
      <x:c r="AA141" s="111" t="n">
        <x:f>IFERROR(VLOOKUP($A141,'Jason FLEX'!$A$6:$N$268,9,FALSE),"")</x:f>
        <x:v>4</x:v>
      </x:c>
      <x:c r="AB141" s="111" t="n">
        <x:f>IFERROR(VLOOKUP($A141,'Jason FLEX'!$A$6:$N$268,10,FALSE),"")</x:f>
        <x:v>27</x:v>
      </x:c>
      <x:c r="AC141" s="111" t="n">
        <x:f>IFERROR(VLOOKUP($A141,'Jason FLEX'!$A$6:$N$268,11,FALSE),"")</x:f>
        <x:v>235</x:v>
      </x:c>
      <x:c r="AD141" s="111" t="n">
        <x:f>IFERROR(VLOOKUP($A141,'Jason FLEX'!$A$6:$N$268,12,FALSE),"")</x:f>
        <x:v>1</x:v>
      </x:c>
      <x:c r="AE141" s="111" t="n">
        <x:f>IFERROR(VLOOKUP($A141,'Jason FLEX'!$A$6:$N$268,13,FALSE),"")</x:f>
        <x:v>1</x:v>
      </x:c>
      <x:c r="AF141" s="110" t="n">
        <x:f>IF(COUNT(E141,N141,W141)=0,"",AVERAGE(E141,N141,W141))</x:f>
        <x:v>145.33333333333334</x:v>
      </x:c>
      <x:c r="AG141" s="110" t="n">
        <x:f>IF(COUNT(E141,N141,W141)=0,"",MAX(E141,N141,W141)-MIN(E141,N141,W141))</x:f>
        <x:v>27</x:v>
      </x:c>
      <x:c r="AH141" s="110" t="n">
        <x:f>IF(COUNT(F141,O141,X141)=0,"",AVERAGE(F141,O141,X141))</x:f>
        <x:v>7</x:v>
      </x:c>
      <x:c r="AI141" s="112" t="n">
        <x:f>IF(COUNT(G141,P141,Y141)=0,"",AVERAGE(G141,P141,Y141))</x:f>
        <x:v>125.33333333333333</x:v>
      </x:c>
      <x:c r="AJ141" s="112" t="n">
        <x:f>IF(COUNT(H141,Q141,Z141)=0,"",AVERAGE(H141,Q141,Z141))</x:f>
        <x:v>480.3333333333333</x:v>
      </x:c>
      <x:c r="AK141" s="112" t="n">
        <x:f>IF(COUNT(I141,R141,AA141)=0,"",AVERAGE(I141,R141,AA141))</x:f>
        <x:v>3.3333333333333335</x:v>
      </x:c>
      <x:c r="AL141" s="112" t="n">
        <x:f>IF(COUNT(J141,S141,AB141)=0,"",AVERAGE(J141,S141,AB141))</x:f>
        <x:v>24.333333333333332</x:v>
      </x:c>
      <x:c r="AM141" s="112" t="n">
        <x:f>IF(COUNT(K141,T141,AC141)=0,"",AVERAGE(K141,T141,AC141))</x:f>
        <x:v>214</x:v>
      </x:c>
      <x:c r="AN141" s="112" t="n">
        <x:f>IF(COUNT(L141,U141,AD141)=0,"",AVERAGE(L141,U141,AD141))</x:f>
        <x:v>1</x:v>
      </x:c>
      <x:c r="AO141" s="112" t="n">
        <x:f>IF(COUNT(M141,V141,AE141)=0,"",AVERAGE(M141,V141,AE141))</x:f>
        <x:v>1</x:v>
      </x:c>
    </x:row>
    <x:row r="142">
      <x:c r="A142" s="107" t="str">
        <x:v>Cooper Kupp</x:v>
      </x:c>
      <x:c r="B142" s="108" t="str">
        <x:v>WR</x:v>
      </x:c>
      <x:c r="C142" s="108" t="str">
        <x:v>SEA</x:v>
      </x:c>
      <x:c r="D142" s="109" t="n">
        <x:v>11</x:v>
      </x:c>
      <x:c r="E142" s="109" t="n">
        <x:f>IFERROR(VLOOKUP($A142,'Mike FLEX'!$A$6:$N$278,5,FALSE),"")</x:f>
        <x:v>161</x:v>
      </x:c>
      <x:c r="F142" s="110" t="n">
        <x:f>IFERROR(VLOOKUP($A142,'Mike FLEX'!$A$6:$N$278,6,FALSE),"")</x:f>
        <x:v>6</x:v>
      </x:c>
      <x:c r="G142" s="111" t="n">
        <x:f>IFERROR(VLOOKUP($A142,'Mike FLEX'!$A$6:$N$278,7,FALSE),"")</x:f>
        <x:v>0</x:v>
      </x:c>
      <x:c r="H142" s="111" t="n">
        <x:f>IFERROR(VLOOKUP($A142,'Mike FLEX'!$A$6:$N$278,8,FALSE),"")</x:f>
        <x:v>0</x:v>
      </x:c>
      <x:c r="I142" s="111" t="n">
        <x:f>IFERROR(VLOOKUP($A142,'Mike FLEX'!$A$6:$N$278,9,FALSE),"")</x:f>
        <x:v>0</x:v>
      </x:c>
      <x:c r="J142" s="111" t="n">
        <x:f>IFERROR(VLOOKUP($A142,'Mike FLEX'!$A$6:$N$278,10,FALSE),"")</x:f>
        <x:v>39</x:v>
      </x:c>
      <x:c r="K142" s="111" t="n">
        <x:f>IFERROR(VLOOKUP($A142,'Mike FLEX'!$A$6:$N$278,11,FALSE),"")</x:f>
        <x:v>462</x:v>
      </x:c>
      <x:c r="L142" s="111" t="n">
        <x:f>IFERROR(VLOOKUP($A142,'Mike FLEX'!$A$6:$N$278,12,FALSE),"")</x:f>
        <x:v>3</x:v>
      </x:c>
      <x:c r="M142" s="111" t="n">
        <x:f>IFERROR(VLOOKUP($A142,'Mike FLEX'!$A$6:$N$278,13,FALSE),"")</x:f>
        <x:v>1</x:v>
      </x:c>
      <x:c r="N142" s="109" t="n">
        <x:f>IFERROR(VLOOKUP($A142,'Andy FLEX'!$A$6:$N$278,5,FALSE),"")</x:f>
        <x:v>161</x:v>
      </x:c>
      <x:c r="O142" s="110" t="n">
        <x:f>IFERROR(VLOOKUP($A142,'Andy FLEX'!$A$6:$N$278,6,FALSE),"")</x:f>
        <x:v>6.1</x:v>
      </x:c>
      <x:c r="P142" s="111" t="n">
        <x:f>IFERROR(VLOOKUP($A142,'Andy FLEX'!$A$6:$N$278,7,FALSE),"")</x:f>
        <x:v>2</x:v>
      </x:c>
      <x:c r="Q142" s="111" t="n">
        <x:f>IFERROR(VLOOKUP($A142,'Andy FLEX'!$A$6:$N$278,8,FALSE),"")</x:f>
        <x:v>7</x:v>
      </x:c>
      <x:c r="R142" s="111" t="n">
        <x:f>IFERROR(VLOOKUP($A142,'Andy FLEX'!$A$6:$N$278,9,FALSE),"")</x:f>
        <x:v>0</x:v>
      </x:c>
      <x:c r="S142" s="111" t="n">
        <x:f>IFERROR(VLOOKUP($A142,'Andy FLEX'!$A$6:$N$278,10,FALSE),"")</x:f>
        <x:v>42</x:v>
      </x:c>
      <x:c r="T142" s="111" t="n">
        <x:f>IFERROR(VLOOKUP($A142,'Andy FLEX'!$A$6:$N$278,11,FALSE),"")</x:f>
        <x:v>485</x:v>
      </x:c>
      <x:c r="U142" s="111" t="n">
        <x:f>IFERROR(VLOOKUP($A142,'Andy FLEX'!$A$6:$N$278,12,FALSE),"")</x:f>
        <x:v>2</x:v>
      </x:c>
      <x:c r="V142" s="111" t="n">
        <x:f>IFERROR(VLOOKUP($A142,'Andy FLEX'!$A$6:$N$278,13,FALSE),"")</x:f>
        <x:v>0</x:v>
      </x:c>
      <x:c r="W142" s="109" t="n">
        <x:f>IFERROR(VLOOKUP($A142,'Jason FLEX'!$A$6:$N$268,5,FALSE),"")</x:f>
        <x:v>122</x:v>
      </x:c>
      <x:c r="X142" s="110" t="n">
        <x:f>IFERROR(VLOOKUP($A142,'Jason FLEX'!$A$6:$N$268,6,FALSE),"")</x:f>
        <x:v>8.5</x:v>
      </x:c>
      <x:c r="Y142" s="111" t="n">
        <x:f>IFERROR(VLOOKUP($A142,'Jason FLEX'!$A$6:$N$268,7,FALSE),"")</x:f>
        <x:v>0</x:v>
      </x:c>
      <x:c r="Z142" s="111" t="n">
        <x:f>IFERROR(VLOOKUP($A142,'Jason FLEX'!$A$6:$N$268,8,FALSE),"")</x:f>
        <x:v>0</x:v>
      </x:c>
      <x:c r="AA142" s="111" t="n">
        <x:f>IFERROR(VLOOKUP($A142,'Jason FLEX'!$A$6:$N$268,9,FALSE),"")</x:f>
        <x:v>0</x:v>
      </x:c>
      <x:c r="AB142" s="111" t="n">
        <x:f>IFERROR(VLOOKUP($A142,'Jason FLEX'!$A$6:$N$268,10,FALSE),"")</x:f>
        <x:v>56</x:v>
      </x:c>
      <x:c r="AC142" s="111" t="n">
        <x:f>IFERROR(VLOOKUP($A142,'Jason FLEX'!$A$6:$N$268,11,FALSE),"")</x:f>
        <x:v>658</x:v>
      </x:c>
      <x:c r="AD142" s="111" t="n">
        <x:f>IFERROR(VLOOKUP($A142,'Jason FLEX'!$A$6:$N$268,12,FALSE),"")</x:f>
        <x:v>4</x:v>
      </x:c>
      <x:c r="AE142" s="111" t="n">
        <x:f>IFERROR(VLOOKUP($A142,'Jason FLEX'!$A$6:$N$268,13,FALSE),"")</x:f>
        <x:v>0</x:v>
      </x:c>
      <x:c r="AF142" s="110" t="n">
        <x:f>IF(COUNT(E142,N142,W142)=0,"",AVERAGE(E142,N142,W142))</x:f>
        <x:v>148</x:v>
      </x:c>
      <x:c r="AG142" s="110" t="n">
        <x:f>IF(COUNT(E142,N142,W142)=0,"",MAX(E142,N142,W142)-MIN(E142,N142,W142))</x:f>
        <x:v>39</x:v>
      </x:c>
      <x:c r="AH142" s="110" t="n">
        <x:f>IF(COUNT(F142,O142,X142)=0,"",AVERAGE(F142,O142,X142))</x:f>
        <x:v>6.866666666666667</x:v>
      </x:c>
      <x:c r="AI142" s="112" t="n">
        <x:f>IF(COUNT(G142,P142,Y142)=0,"",AVERAGE(G142,P142,Y142))</x:f>
        <x:v>0.6666666666666666</x:v>
      </x:c>
      <x:c r="AJ142" s="112" t="n">
        <x:f>IF(COUNT(H142,Q142,Z142)=0,"",AVERAGE(H142,Q142,Z142))</x:f>
        <x:v>2.3333333333333335</x:v>
      </x:c>
      <x:c r="AK142" s="112" t="n">
        <x:f>IF(COUNT(I142,R142,AA142)=0,"",AVERAGE(I142,R142,AA142))</x:f>
        <x:v>0</x:v>
      </x:c>
      <x:c r="AL142" s="112" t="n">
        <x:f>IF(COUNT(J142,S142,AB142)=0,"",AVERAGE(J142,S142,AB142))</x:f>
        <x:v>45.666666666666664</x:v>
      </x:c>
      <x:c r="AM142" s="112" t="n">
        <x:f>IF(COUNT(K142,T142,AC142)=0,"",AVERAGE(K142,T142,AC142))</x:f>
        <x:v>535</x:v>
      </x:c>
      <x:c r="AN142" s="112" t="n">
        <x:f>IF(COUNT(L142,U142,AD142)=0,"",AVERAGE(L142,U142,AD142))</x:f>
        <x:v>3</x:v>
      </x:c>
      <x:c r="AO142" s="112" t="n">
        <x:f>IF(COUNT(M142,V142,AE142)=0,"",AVERAGE(M142,V142,AE142))</x:f>
        <x:v>0.3333333333333333</x:v>
      </x:c>
    </x:row>
    <x:row r="143">
      <x:c r="A143" s="107" t="str">
        <x:v>Chris Rodriguez Jr.</x:v>
      </x:c>
      <x:c r="B143" s="108" t="str">
        <x:v>RB</x:v>
      </x:c>
      <x:c r="C143" s="108" t="str">
        <x:v>JAX</x:v>
      </x:c>
      <x:c r="D143" s="109" t="n">
        <x:v>7</x:v>
      </x:c>
      <x:c r="E143" s="109" t="n">
        <x:f>IFERROR(VLOOKUP($A143,'Mike FLEX'!$A$6:$N$278,5,FALSE),"")</x:f>
        <x:v>131</x:v>
      </x:c>
      <x:c r="F143" s="110" t="n">
        <x:f>IFERROR(VLOOKUP($A143,'Mike FLEX'!$A$6:$N$278,6,FALSE),"")</x:f>
        <x:v>7.4</x:v>
      </x:c>
      <x:c r="G143" s="111" t="n">
        <x:f>IFERROR(VLOOKUP($A143,'Mike FLEX'!$A$6:$N$278,7,FALSE),"")</x:f>
        <x:v>156</x:v>
      </x:c>
      <x:c r="H143" s="111" t="n">
        <x:f>IFERROR(VLOOKUP($A143,'Mike FLEX'!$A$6:$N$278,8,FALSE),"")</x:f>
        <x:v>718</x:v>
      </x:c>
      <x:c r="I143" s="111" t="n">
        <x:f>IFERROR(VLOOKUP($A143,'Mike FLEX'!$A$6:$N$278,9,FALSE),"")</x:f>
        <x:v>6</x:v>
      </x:c>
      <x:c r="J143" s="111" t="n">
        <x:f>IFERROR(VLOOKUP($A143,'Mike FLEX'!$A$6:$N$278,10,FALSE),"")</x:f>
        <x:v>9</x:v>
      </x:c>
      <x:c r="K143" s="111" t="n">
        <x:f>IFERROR(VLOOKUP($A143,'Mike FLEX'!$A$6:$N$278,11,FALSE),"")</x:f>
        <x:v>62</x:v>
      </x:c>
      <x:c r="L143" s="111" t="n">
        <x:f>IFERROR(VLOOKUP($A143,'Mike FLEX'!$A$6:$N$278,12,FALSE),"")</x:f>
        <x:v>0</x:v>
      </x:c>
      <x:c r="M143" s="111" t="n">
        <x:f>IFERROR(VLOOKUP($A143,'Mike FLEX'!$A$6:$N$278,13,FALSE),"")</x:f>
        <x:v>0</x:v>
      </x:c>
      <x:c r="N143" s="109" t="n">
        <x:f>IFERROR(VLOOKUP($A143,'Andy FLEX'!$A$6:$N$278,5,FALSE),"")</x:f>
        <x:v>152</x:v>
      </x:c>
      <x:c r="O143" s="110" t="n">
        <x:f>IFERROR(VLOOKUP($A143,'Andy FLEX'!$A$6:$N$278,6,FALSE),"")</x:f>
        <x:v>6.6</x:v>
      </x:c>
      <x:c r="P143" s="111" t="n">
        <x:f>IFERROR(VLOOKUP($A143,'Andy FLEX'!$A$6:$N$278,7,FALSE),"")</x:f>
        <x:v>136</x:v>
      </x:c>
      <x:c r="Q143" s="111" t="n">
        <x:f>IFERROR(VLOOKUP($A143,'Andy FLEX'!$A$6:$N$278,8,FALSE),"")</x:f>
        <x:v>572</x:v>
      </x:c>
      <x:c r="R143" s="111" t="n">
        <x:f>IFERROR(VLOOKUP($A143,'Andy FLEX'!$A$6:$N$278,9,FALSE),"")</x:f>
        <x:v>5</x:v>
      </x:c>
      <x:c r="S143" s="111" t="n">
        <x:f>IFERROR(VLOOKUP($A143,'Andy FLEX'!$A$6:$N$278,10,FALSE),"")</x:f>
        <x:v>13</x:v>
      </x:c>
      <x:c r="T143" s="111" t="n">
        <x:f>IFERROR(VLOOKUP($A143,'Andy FLEX'!$A$6:$N$278,11,FALSE),"")</x:f>
        <x:v>108</x:v>
      </x:c>
      <x:c r="U143" s="111" t="n">
        <x:f>IFERROR(VLOOKUP($A143,'Andy FLEX'!$A$6:$N$278,12,FALSE),"")</x:f>
        <x:v>0</x:v>
      </x:c>
      <x:c r="V143" s="111" t="n">
        <x:f>IFERROR(VLOOKUP($A143,'Andy FLEX'!$A$6:$N$278,13,FALSE),"")</x:f>
        <x:v>1</x:v>
      </x:c>
      <x:c r="W143" s="109" t="n">
        <x:f>IFERROR(VLOOKUP($A143,'Jason FLEX'!$A$6:$N$268,5,FALSE),"")</x:f>
        <x:v>164</x:v>
      </x:c>
      <x:c r="X143" s="110" t="n">
        <x:f>IFERROR(VLOOKUP($A143,'Jason FLEX'!$A$6:$N$268,6,FALSE),"")</x:f>
        <x:v>6.3</x:v>
      </x:c>
      <x:c r="Y143" s="111" t="n">
        <x:f>IFERROR(VLOOKUP($A143,'Jason FLEX'!$A$6:$N$268,7,FALSE),"")</x:f>
        <x:v>132</x:v>
      </x:c>
      <x:c r="Z143" s="111" t="n">
        <x:f>IFERROR(VLOOKUP($A143,'Jason FLEX'!$A$6:$N$268,8,FALSE),"")</x:f>
        <x:v>554</x:v>
      </x:c>
      <x:c r="AA143" s="111" t="n">
        <x:f>IFERROR(VLOOKUP($A143,'Jason FLEX'!$A$6:$N$268,9,FALSE),"")</x:f>
        <x:v>6</x:v>
      </x:c>
      <x:c r="AB143" s="111" t="n">
        <x:f>IFERROR(VLOOKUP($A143,'Jason FLEX'!$A$6:$N$268,10,FALSE),"")</x:f>
        <x:v>9</x:v>
      </x:c>
      <x:c r="AC143" s="111" t="n">
        <x:f>IFERROR(VLOOKUP($A143,'Jason FLEX'!$A$6:$N$268,11,FALSE),"")</x:f>
        <x:v>70</x:v>
      </x:c>
      <x:c r="AD143" s="111" t="n">
        <x:f>IFERROR(VLOOKUP($A143,'Jason FLEX'!$A$6:$N$268,12,FALSE),"")</x:f>
        <x:v>0</x:v>
      </x:c>
      <x:c r="AE143" s="111" t="n">
        <x:f>IFERROR(VLOOKUP($A143,'Jason FLEX'!$A$6:$N$268,13,FALSE),"")</x:f>
        <x:v>1</x:v>
      </x:c>
      <x:c r="AF143" s="110" t="n">
        <x:f>IF(COUNT(E143,N143,W143)=0,"",AVERAGE(E143,N143,W143))</x:f>
        <x:v>149</x:v>
      </x:c>
      <x:c r="AG143" s="110" t="n">
        <x:f>IF(COUNT(E143,N143,W143)=0,"",MAX(E143,N143,W143)-MIN(E143,N143,W143))</x:f>
        <x:v>33</x:v>
      </x:c>
      <x:c r="AH143" s="110" t="n">
        <x:f>IF(COUNT(F143,O143,X143)=0,"",AVERAGE(F143,O143,X143))</x:f>
        <x:v>6.766666666666667</x:v>
      </x:c>
      <x:c r="AI143" s="112" t="n">
        <x:f>IF(COUNT(G143,P143,Y143)=0,"",AVERAGE(G143,P143,Y143))</x:f>
        <x:v>141.33333333333334</x:v>
      </x:c>
      <x:c r="AJ143" s="112" t="n">
        <x:f>IF(COUNT(H143,Q143,Z143)=0,"",AVERAGE(H143,Q143,Z143))</x:f>
        <x:v>614.6666666666666</x:v>
      </x:c>
      <x:c r="AK143" s="112" t="n">
        <x:f>IF(COUNT(I143,R143,AA143)=0,"",AVERAGE(I143,R143,AA143))</x:f>
        <x:v>5.666666666666667</x:v>
      </x:c>
      <x:c r="AL143" s="112" t="n">
        <x:f>IF(COUNT(J143,S143,AB143)=0,"",AVERAGE(J143,S143,AB143))</x:f>
        <x:v>10.333333333333334</x:v>
      </x:c>
      <x:c r="AM143" s="112" t="n">
        <x:f>IF(COUNT(K143,T143,AC143)=0,"",AVERAGE(K143,T143,AC143))</x:f>
        <x:v>80</x:v>
      </x:c>
      <x:c r="AN143" s="112" t="n">
        <x:f>IF(COUNT(L143,U143,AD143)=0,"",AVERAGE(L143,U143,AD143))</x:f>
        <x:v>0</x:v>
      </x:c>
      <x:c r="AO143" s="112" t="n">
        <x:f>IF(COUNT(M143,V143,AE143)=0,"",AVERAGE(M143,V143,AE143))</x:f>
        <x:v>0.6666666666666666</x:v>
      </x:c>
    </x:row>
    <x:row r="144">
      <x:c r="A144" s="107" t="str">
        <x:v>DeMario Douglas</x:v>
      </x:c>
      <x:c r="B144" s="108" t="str">
        <x:v>WR</x:v>
      </x:c>
      <x:c r="C144" s="108" t="str">
        <x:v>NE</x:v>
      </x:c>
      <x:c r="D144" s="109" t="n">
        <x:v>11</x:v>
      </x:c>
      <x:c r="E144" s="109" t="n">
        <x:f>IFERROR(VLOOKUP($A144,'Mike FLEX'!$A$6:$N$278,5,FALSE),"")</x:f>
        <x:v>156</x:v>
      </x:c>
      <x:c r="F144" s="110" t="n">
        <x:f>IFERROR(VLOOKUP($A144,'Mike FLEX'!$A$6:$N$278,6,FALSE),"")</x:f>
        <x:v>6.2</x:v>
      </x:c>
      <x:c r="G144" s="111" t="n">
        <x:f>IFERROR(VLOOKUP($A144,'Mike FLEX'!$A$6:$N$278,7,FALSE),"")</x:f>
        <x:v>7</x:v>
      </x:c>
      <x:c r="H144" s="111" t="n">
        <x:f>IFERROR(VLOOKUP($A144,'Mike FLEX'!$A$6:$N$278,8,FALSE),"")</x:f>
        <x:v>21</x:v>
      </x:c>
      <x:c r="I144" s="111" t="n">
        <x:f>IFERROR(VLOOKUP($A144,'Mike FLEX'!$A$6:$N$278,9,FALSE),"")</x:f>
        <x:v>0</x:v>
      </x:c>
      <x:c r="J144" s="111" t="n">
        <x:f>IFERROR(VLOOKUP($A144,'Mike FLEX'!$A$6:$N$278,10,FALSE),"")</x:f>
        <x:v>35</x:v>
      </x:c>
      <x:c r="K144" s="111" t="n">
        <x:f>IFERROR(VLOOKUP($A144,'Mike FLEX'!$A$6:$N$278,11,FALSE),"")</x:f>
        <x:v>488</x:v>
      </x:c>
      <x:c r="L144" s="111" t="n">
        <x:f>IFERROR(VLOOKUP($A144,'Mike FLEX'!$A$6:$N$278,12,FALSE),"")</x:f>
        <x:v>3</x:v>
      </x:c>
      <x:c r="M144" s="111" t="n">
        <x:f>IFERROR(VLOOKUP($A144,'Mike FLEX'!$A$6:$N$278,13,FALSE),"")</x:f>
        <x:v>0</x:v>
      </x:c>
      <x:c r="N144" s="109" t="n">
        <x:f>IFERROR(VLOOKUP($A144,'Andy FLEX'!$A$6:$N$278,5,FALSE),"")</x:f>
        <x:v>125</x:v>
      </x:c>
      <x:c r="O144" s="110" t="n">
        <x:f>IFERROR(VLOOKUP($A144,'Andy FLEX'!$A$6:$N$278,6,FALSE),"")</x:f>
        <x:v>8</x:v>
      </x:c>
      <x:c r="P144" s="111" t="n">
        <x:f>IFERROR(VLOOKUP($A144,'Andy FLEX'!$A$6:$N$278,7,FALSE),"")</x:f>
        <x:v>10</x:v>
      </x:c>
      <x:c r="Q144" s="111" t="n">
        <x:f>IFERROR(VLOOKUP($A144,'Andy FLEX'!$A$6:$N$278,8,FALSE),"")</x:f>
        <x:v>34</x:v>
      </x:c>
      <x:c r="R144" s="111" t="n">
        <x:f>IFERROR(VLOOKUP($A144,'Andy FLEX'!$A$6:$N$278,9,FALSE),"")</x:f>
        <x:v>0</x:v>
      </x:c>
      <x:c r="S144" s="111" t="n">
        <x:f>IFERROR(VLOOKUP($A144,'Andy FLEX'!$A$6:$N$278,10,FALSE),"")</x:f>
        <x:v>49</x:v>
      </x:c>
      <x:c r="T144" s="111" t="n">
        <x:f>IFERROR(VLOOKUP($A144,'Andy FLEX'!$A$6:$N$278,11,FALSE),"")</x:f>
        <x:v>664</x:v>
      </x:c>
      <x:c r="U144" s="111" t="n">
        <x:f>IFERROR(VLOOKUP($A144,'Andy FLEX'!$A$6:$N$278,12,FALSE),"")</x:f>
        <x:v>3</x:v>
      </x:c>
      <x:c r="V144" s="111" t="n">
        <x:f>IFERROR(VLOOKUP($A144,'Andy FLEX'!$A$6:$N$278,13,FALSE),"")</x:f>
        <x:v>1</x:v>
      </x:c>
      <x:c r="W144" s="109" t="n">
        <x:f>IFERROR(VLOOKUP($A144,'Jason FLEX'!$A$6:$N$268,5,FALSE),"")</x:f>
        <x:v>167</x:v>
      </x:c>
      <x:c r="X144" s="110" t="n">
        <x:f>IFERROR(VLOOKUP($A144,'Jason FLEX'!$A$6:$N$268,6,FALSE),"")</x:f>
        <x:v>6.2</x:v>
      </x:c>
      <x:c r="Y144" s="111" t="n">
        <x:f>IFERROR(VLOOKUP($A144,'Jason FLEX'!$A$6:$N$268,7,FALSE),"")</x:f>
        <x:v>7</x:v>
      </x:c>
      <x:c r="Z144" s="111" t="n">
        <x:f>IFERROR(VLOOKUP($A144,'Jason FLEX'!$A$6:$N$268,8,FALSE),"")</x:f>
        <x:v>30</x:v>
      </x:c>
      <x:c r="AA144" s="111" t="n">
        <x:f>IFERROR(VLOOKUP($A144,'Jason FLEX'!$A$6:$N$268,9,FALSE),"")</x:f>
        <x:v>0</x:v>
      </x:c>
      <x:c r="AB144" s="111" t="n">
        <x:f>IFERROR(VLOOKUP($A144,'Jason FLEX'!$A$6:$N$268,10,FALSE),"")</x:f>
        <x:v>35</x:v>
      </x:c>
      <x:c r="AC144" s="111" t="n">
        <x:f>IFERROR(VLOOKUP($A144,'Jason FLEX'!$A$6:$N$268,11,FALSE),"")</x:f>
        <x:v>490</x:v>
      </x:c>
      <x:c r="AD144" s="111" t="n">
        <x:f>IFERROR(VLOOKUP($A144,'Jason FLEX'!$A$6:$N$268,12,FALSE),"")</x:f>
        <x:v>3</x:v>
      </x:c>
      <x:c r="AE144" s="111" t="n">
        <x:f>IFERROR(VLOOKUP($A144,'Jason FLEX'!$A$6:$N$268,13,FALSE),"")</x:f>
        <x:v>0</x:v>
      </x:c>
      <x:c r="AF144" s="110" t="n">
        <x:f>IF(COUNT(E144,N144,W144)=0,"",AVERAGE(E144,N144,W144))</x:f>
        <x:v>149.33333333333334</x:v>
      </x:c>
      <x:c r="AG144" s="110" t="n">
        <x:f>IF(COUNT(E144,N144,W144)=0,"",MAX(E144,N144,W144)-MIN(E144,N144,W144))</x:f>
        <x:v>42</x:v>
      </x:c>
      <x:c r="AH144" s="110" t="n">
        <x:f>IF(COUNT(F144,O144,X144)=0,"",AVERAGE(F144,O144,X144))</x:f>
        <x:v>6.8</x:v>
      </x:c>
      <x:c r="AI144" s="112" t="n">
        <x:f>IF(COUNT(G144,P144,Y144)=0,"",AVERAGE(G144,P144,Y144))</x:f>
        <x:v>8</x:v>
      </x:c>
      <x:c r="AJ144" s="112" t="n">
        <x:f>IF(COUNT(H144,Q144,Z144)=0,"",AVERAGE(H144,Q144,Z144))</x:f>
        <x:v>28.333333333333332</x:v>
      </x:c>
      <x:c r="AK144" s="112" t="n">
        <x:f>IF(COUNT(I144,R144,AA144)=0,"",AVERAGE(I144,R144,AA144))</x:f>
        <x:v>0</x:v>
      </x:c>
      <x:c r="AL144" s="112" t="n">
        <x:f>IF(COUNT(J144,S144,AB144)=0,"",AVERAGE(J144,S144,AB144))</x:f>
        <x:v>39.666666666666664</x:v>
      </x:c>
      <x:c r="AM144" s="112" t="n">
        <x:f>IF(COUNT(K144,T144,AC144)=0,"",AVERAGE(K144,T144,AC144))</x:f>
        <x:v>547.3333333333334</x:v>
      </x:c>
      <x:c r="AN144" s="112" t="n">
        <x:f>IF(COUNT(L144,U144,AD144)=0,"",AVERAGE(L144,U144,AD144))</x:f>
        <x:v>3</x:v>
      </x:c>
      <x:c r="AO144" s="112" t="n">
        <x:f>IF(COUNT(M144,V144,AE144)=0,"",AVERAGE(M144,V144,AE144))</x:f>
        <x:v>0.3333333333333333</x:v>
      </x:c>
    </x:row>
    <x:row r="145">
      <x:c r="A145" s="107" t="str">
        <x:v>Jerry Jeudy</x:v>
      </x:c>
      <x:c r="B145" s="108" t="str">
        <x:v>WR</x:v>
      </x:c>
      <x:c r="C145" s="108" t="str">
        <x:v>CLE</x:v>
      </x:c>
      <x:c r="D145" s="109" t="n">
        <x:v>11</x:v>
      </x:c>
      <x:c r="E145" s="109" t="n">
        <x:f>IFERROR(VLOOKUP($A145,'Mike FLEX'!$A$6:$N$278,5,FALSE),"")</x:f>
        <x:v>147</x:v>
      </x:c>
      <x:c r="F145" s="110" t="n">
        <x:f>IFERROR(VLOOKUP($A145,'Mike FLEX'!$A$6:$N$278,6,FALSE),"")</x:f>
        <x:v>6.7</x:v>
      </x:c>
      <x:c r="G145" s="111" t="n">
        <x:f>IFERROR(VLOOKUP($A145,'Mike FLEX'!$A$6:$N$278,7,FALSE),"")</x:f>
        <x:v>0</x:v>
      </x:c>
      <x:c r="H145" s="111" t="n">
        <x:f>IFERROR(VLOOKUP($A145,'Mike FLEX'!$A$6:$N$278,8,FALSE),"")</x:f>
        <x:v>0</x:v>
      </x:c>
      <x:c r="I145" s="111" t="n">
        <x:f>IFERROR(VLOOKUP($A145,'Mike FLEX'!$A$6:$N$278,9,FALSE),"")</x:f>
        <x:v>0</x:v>
      </x:c>
      <x:c r="J145" s="111" t="n">
        <x:f>IFERROR(VLOOKUP($A145,'Mike FLEX'!$A$6:$N$278,10,FALSE),"")</x:f>
        <x:v>43</x:v>
      </x:c>
      <x:c r="K145" s="111" t="n">
        <x:f>IFERROR(VLOOKUP($A145,'Mike FLEX'!$A$6:$N$278,11,FALSE),"")</x:f>
        <x:v>580</x:v>
      </x:c>
      <x:c r="L145" s="111" t="n">
        <x:f>IFERROR(VLOOKUP($A145,'Mike FLEX'!$A$6:$N$278,12,FALSE),"")</x:f>
        <x:v>2</x:v>
      </x:c>
      <x:c r="M145" s="111" t="n">
        <x:f>IFERROR(VLOOKUP($A145,'Mike FLEX'!$A$6:$N$278,13,FALSE),"")</x:f>
        <x:v>1</x:v>
      </x:c>
      <x:c r="N145" s="109" t="n">
        <x:f>IFERROR(VLOOKUP($A145,'Andy FLEX'!$A$6:$N$278,5,FALSE),"")</x:f>
        <x:v>172</x:v>
      </x:c>
      <x:c r="O145" s="110" t="n">
        <x:f>IFERROR(VLOOKUP($A145,'Andy FLEX'!$A$6:$N$278,6,FALSE),"")</x:f>
        <x:v>5.8</x:v>
      </x:c>
      <x:c r="P145" s="111" t="n">
        <x:f>IFERROR(VLOOKUP($A145,'Andy FLEX'!$A$6:$N$278,7,FALSE),"")</x:f>
        <x:v>1</x:v>
      </x:c>
      <x:c r="Q145" s="111" t="n">
        <x:f>IFERROR(VLOOKUP($A145,'Andy FLEX'!$A$6:$N$278,8,FALSE),"")</x:f>
        <x:v>4</x:v>
      </x:c>
      <x:c r="R145" s="111" t="n">
        <x:f>IFERROR(VLOOKUP($A145,'Andy FLEX'!$A$6:$N$278,9,FALSE),"")</x:f>
        <x:v>0</x:v>
      </x:c>
      <x:c r="S145" s="111" t="n">
        <x:f>IFERROR(VLOOKUP($A145,'Andy FLEX'!$A$6:$N$278,10,FALSE),"")</x:f>
        <x:v>35</x:v>
      </x:c>
      <x:c r="T145" s="111" t="n">
        <x:f>IFERROR(VLOOKUP($A145,'Andy FLEX'!$A$6:$N$278,11,FALSE),"")</x:f>
        <x:v>525</x:v>
      </x:c>
      <x:c r="U145" s="111" t="n">
        <x:f>IFERROR(VLOOKUP($A145,'Andy FLEX'!$A$6:$N$278,12,FALSE),"")</x:f>
        <x:v>2</x:v>
      </x:c>
      <x:c r="V145" s="111" t="n">
        <x:f>IFERROR(VLOOKUP($A145,'Andy FLEX'!$A$6:$N$278,13,FALSE),"")</x:f>
        <x:v>1</x:v>
      </x:c>
      <x:c r="W145" s="109" t="n">
        <x:f>IFERROR(VLOOKUP($A145,'Jason FLEX'!$A$6:$N$268,5,FALSE),"")</x:f>
        <x:v>129</x:v>
      </x:c>
      <x:c r="X145" s="110" t="n">
        <x:f>IFERROR(VLOOKUP($A145,'Jason FLEX'!$A$6:$N$268,6,FALSE),"")</x:f>
        <x:v>8</x:v>
      </x:c>
      <x:c r="Y145" s="111" t="n">
        <x:f>IFERROR(VLOOKUP($A145,'Jason FLEX'!$A$6:$N$268,7,FALSE),"")</x:f>
        <x:v>0</x:v>
      </x:c>
      <x:c r="Z145" s="111" t="n">
        <x:f>IFERROR(VLOOKUP($A145,'Jason FLEX'!$A$6:$N$268,8,FALSE),"")</x:f>
        <x:v>0</x:v>
      </x:c>
      <x:c r="AA145" s="111" t="n">
        <x:f>IFERROR(VLOOKUP($A145,'Jason FLEX'!$A$6:$N$268,9,FALSE),"")</x:f>
        <x:v>0</x:v>
      </x:c>
      <x:c r="AB145" s="111" t="n">
        <x:f>IFERROR(VLOOKUP($A145,'Jason FLEX'!$A$6:$N$268,10,FALSE),"")</x:f>
        <x:v>48</x:v>
      </x:c>
      <x:c r="AC145" s="111" t="n">
        <x:f>IFERROR(VLOOKUP($A145,'Jason FLEX'!$A$6:$N$268,11,FALSE),"")</x:f>
        <x:v>642</x:v>
      </x:c>
      <x:c r="AD145" s="111" t="n">
        <x:f>IFERROR(VLOOKUP($A145,'Jason FLEX'!$A$6:$N$268,12,FALSE),"")</x:f>
        <x:v>4</x:v>
      </x:c>
      <x:c r="AE145" s="111" t="n">
        <x:f>IFERROR(VLOOKUP($A145,'Jason FLEX'!$A$6:$N$268,13,FALSE),"")</x:f>
        <x:v>1</x:v>
      </x:c>
      <x:c r="AF145" s="110" t="n">
        <x:f>IF(COUNT(E145,N145,W145)=0,"",AVERAGE(E145,N145,W145))</x:f>
        <x:v>149.33333333333334</x:v>
      </x:c>
      <x:c r="AG145" s="110" t="n">
        <x:f>IF(COUNT(E145,N145,W145)=0,"",MAX(E145,N145,W145)-MIN(E145,N145,W145))</x:f>
        <x:v>43</x:v>
      </x:c>
      <x:c r="AH145" s="110" t="n">
        <x:f>IF(COUNT(F145,O145,X145)=0,"",AVERAGE(F145,O145,X145))</x:f>
        <x:v>6.833333333333333</x:v>
      </x:c>
      <x:c r="AI145" s="112" t="n">
        <x:f>IF(COUNT(G145,P145,Y145)=0,"",AVERAGE(G145,P145,Y145))</x:f>
        <x:v>0.3333333333333333</x:v>
      </x:c>
      <x:c r="AJ145" s="112" t="n">
        <x:f>IF(COUNT(H145,Q145,Z145)=0,"",AVERAGE(H145,Q145,Z145))</x:f>
        <x:v>1.3333333333333333</x:v>
      </x:c>
      <x:c r="AK145" s="112" t="n">
        <x:f>IF(COUNT(I145,R145,AA145)=0,"",AVERAGE(I145,R145,AA145))</x:f>
        <x:v>0</x:v>
      </x:c>
      <x:c r="AL145" s="112" t="n">
        <x:f>IF(COUNT(J145,S145,AB145)=0,"",AVERAGE(J145,S145,AB145))</x:f>
        <x:v>42</x:v>
      </x:c>
      <x:c r="AM145" s="112" t="n">
        <x:f>IF(COUNT(K145,T145,AC145)=0,"",AVERAGE(K145,T145,AC145))</x:f>
        <x:v>582.3333333333334</x:v>
      </x:c>
      <x:c r="AN145" s="112" t="n">
        <x:f>IF(COUNT(L145,U145,AD145)=0,"",AVERAGE(L145,U145,AD145))</x:f>
        <x:v>2.6666666666666665</x:v>
      </x:c>
      <x:c r="AO145" s="112" t="n">
        <x:f>IF(COUNT(M145,V145,AE145)=0,"",AVERAGE(M145,V145,AE145))</x:f>
        <x:v>1</x:v>
      </x:c>
    </x:row>
    <x:row r="146">
      <x:c r="A146" s="107" t="str">
        <x:v>Ja'Kobi Lane</x:v>
      </x:c>
      <x:c r="B146" s="108" t="str">
        <x:v>WR</x:v>
      </x:c>
      <x:c r="C146" s="108" t="str">
        <x:v>BAL</x:v>
      </x:c>
      <x:c r="D146" s="109" t="n">
        <x:v>13</x:v>
      </x:c>
      <x:c r="E146" s="109" t="n">
        <x:f>IFERROR(VLOOKUP($A146,'Mike FLEX'!$A$6:$N$278,5,FALSE),"")</x:f>
        <x:v>142</x:v>
      </x:c>
      <x:c r="F146" s="110" t="n">
        <x:f>IFERROR(VLOOKUP($A146,'Mike FLEX'!$A$6:$N$278,6,FALSE),"")</x:f>
        <x:v>6.8</x:v>
      </x:c>
      <x:c r="G146" s="111" t="n">
        <x:f>IFERROR(VLOOKUP($A146,'Mike FLEX'!$A$6:$N$278,7,FALSE),"")</x:f>
        <x:v>0</x:v>
      </x:c>
      <x:c r="H146" s="111" t="n">
        <x:f>IFERROR(VLOOKUP($A146,'Mike FLEX'!$A$6:$N$278,8,FALSE),"")</x:f>
        <x:v>0</x:v>
      </x:c>
      <x:c r="I146" s="111" t="n">
        <x:f>IFERROR(VLOOKUP($A146,'Mike FLEX'!$A$6:$N$278,9,FALSE),"")</x:f>
        <x:v>0</x:v>
      </x:c>
      <x:c r="J146" s="111" t="n">
        <x:f>IFERROR(VLOOKUP($A146,'Mike FLEX'!$A$6:$N$278,10,FALSE),"")</x:f>
        <x:v>43</x:v>
      </x:c>
      <x:c r="K146" s="111" t="n">
        <x:f>IFERROR(VLOOKUP($A146,'Mike FLEX'!$A$6:$N$278,11,FALSE),"")</x:f>
        <x:v>529</x:v>
      </x:c>
      <x:c r="L146" s="111" t="n">
        <x:f>IFERROR(VLOOKUP($A146,'Mike FLEX'!$A$6:$N$278,12,FALSE),"")</x:f>
        <x:v>3</x:v>
      </x:c>
      <x:c r="M146" s="111" t="n">
        <x:f>IFERROR(VLOOKUP($A146,'Mike FLEX'!$A$6:$N$278,13,FALSE),"")</x:f>
        <x:v>0</x:v>
      </x:c>
      <x:c r="N146" s="109" t="n">
        <x:f>IFERROR(VLOOKUP($A146,'Andy FLEX'!$A$6:$N$278,5,FALSE),"")</x:f>
        <x:v>151</x:v>
      </x:c>
      <x:c r="O146" s="110" t="n">
        <x:f>IFERROR(VLOOKUP($A146,'Andy FLEX'!$A$6:$N$278,6,FALSE),"")</x:f>
        <x:v>6.6</x:v>
      </x:c>
      <x:c r="P146" s="111" t="n">
        <x:f>IFERROR(VLOOKUP($A146,'Andy FLEX'!$A$6:$N$278,7,FALSE),"")</x:f>
        <x:v>4</x:v>
      </x:c>
      <x:c r="Q146" s="111" t="n">
        <x:f>IFERROR(VLOOKUP($A146,'Andy FLEX'!$A$6:$N$278,8,FALSE),"")</x:f>
        <x:v>25</x:v>
      </x:c>
      <x:c r="R146" s="111" t="n">
        <x:f>IFERROR(VLOOKUP($A146,'Andy FLEX'!$A$6:$N$278,9,FALSE),"")</x:f>
        <x:v>0</x:v>
      </x:c>
      <x:c r="S146" s="111" t="n">
        <x:f>IFERROR(VLOOKUP($A146,'Andy FLEX'!$A$6:$N$278,10,FALSE),"")</x:f>
        <x:v>34</x:v>
      </x:c>
      <x:c r="T146" s="111" t="n">
        <x:f>IFERROR(VLOOKUP($A146,'Andy FLEX'!$A$6:$N$278,11,FALSE),"")</x:f>
        <x:v>538</x:v>
      </x:c>
      <x:c r="U146" s="111" t="n">
        <x:f>IFERROR(VLOOKUP($A146,'Andy FLEX'!$A$6:$N$278,12,FALSE),"")</x:f>
        <x:v>4</x:v>
      </x:c>
      <x:c r="V146" s="111" t="n">
        <x:f>IFERROR(VLOOKUP($A146,'Andy FLEX'!$A$6:$N$278,13,FALSE),"")</x:f>
        <x:v>0</x:v>
      </x:c>
      <x:c r="W146" s="109" t="n">
        <x:f>IFERROR(VLOOKUP($A146,'Jason FLEX'!$A$6:$N$268,5,FALSE),"")</x:f>
        <x:v>158</x:v>
      </x:c>
      <x:c r="X146" s="110" t="n">
        <x:f>IFERROR(VLOOKUP($A146,'Jason FLEX'!$A$6:$N$268,6,FALSE),"")</x:f>
        <x:v>6.4</x:v>
      </x:c>
      <x:c r="Y146" s="111" t="n">
        <x:f>IFERROR(VLOOKUP($A146,'Jason FLEX'!$A$6:$N$268,7,FALSE),"")</x:f>
        <x:v>0</x:v>
      </x:c>
      <x:c r="Z146" s="111" t="n">
        <x:f>IFERROR(VLOOKUP($A146,'Jason FLEX'!$A$6:$N$268,8,FALSE),"")</x:f>
        <x:v>0</x:v>
      </x:c>
      <x:c r="AA146" s="111" t="n">
        <x:f>IFERROR(VLOOKUP($A146,'Jason FLEX'!$A$6:$N$268,9,FALSE),"")</x:f>
        <x:v>0</x:v>
      </x:c>
      <x:c r="AB146" s="111" t="n">
        <x:f>IFERROR(VLOOKUP($A146,'Jason FLEX'!$A$6:$N$268,10,FALSE),"")</x:f>
        <x:v>37</x:v>
      </x:c>
      <x:c r="AC146" s="111" t="n">
        <x:f>IFERROR(VLOOKUP($A146,'Jason FLEX'!$A$6:$N$268,11,FALSE),"")</x:f>
        <x:v>486</x:v>
      </x:c>
      <x:c r="AD146" s="111" t="n">
        <x:f>IFERROR(VLOOKUP($A146,'Jason FLEX'!$A$6:$N$268,12,FALSE),"")</x:f>
        <x:v>4</x:v>
      </x:c>
      <x:c r="AE146" s="111" t="n">
        <x:f>IFERROR(VLOOKUP($A146,'Jason FLEX'!$A$6:$N$268,13,FALSE),"")</x:f>
        <x:v>0</x:v>
      </x:c>
      <x:c r="AF146" s="110" t="n">
        <x:f>IF(COUNT(E146,N146,W146)=0,"",AVERAGE(E146,N146,W146))</x:f>
        <x:v>150.33333333333334</x:v>
      </x:c>
      <x:c r="AG146" s="110" t="n">
        <x:f>IF(COUNT(E146,N146,W146)=0,"",MAX(E146,N146,W146)-MIN(E146,N146,W146))</x:f>
        <x:v>16</x:v>
      </x:c>
      <x:c r="AH146" s="110" t="n">
        <x:f>IF(COUNT(F146,O146,X146)=0,"",AVERAGE(F146,O146,X146))</x:f>
        <x:v>6.599999999999999</x:v>
      </x:c>
      <x:c r="AI146" s="112" t="n">
        <x:f>IF(COUNT(G146,P146,Y146)=0,"",AVERAGE(G146,P146,Y146))</x:f>
        <x:v>1.3333333333333333</x:v>
      </x:c>
      <x:c r="AJ146" s="112" t="n">
        <x:f>IF(COUNT(H146,Q146,Z146)=0,"",AVERAGE(H146,Q146,Z146))</x:f>
        <x:v>8.333333333333334</x:v>
      </x:c>
      <x:c r="AK146" s="112" t="n">
        <x:f>IF(COUNT(I146,R146,AA146)=0,"",AVERAGE(I146,R146,AA146))</x:f>
        <x:v>0</x:v>
      </x:c>
      <x:c r="AL146" s="112" t="n">
        <x:f>IF(COUNT(J146,S146,AB146)=0,"",AVERAGE(J146,S146,AB146))</x:f>
        <x:v>38</x:v>
      </x:c>
      <x:c r="AM146" s="112" t="n">
        <x:f>IF(COUNT(K146,T146,AC146)=0,"",AVERAGE(K146,T146,AC146))</x:f>
        <x:v>517.6666666666666</x:v>
      </x:c>
      <x:c r="AN146" s="112" t="n">
        <x:f>IF(COUNT(L146,U146,AD146)=0,"",AVERAGE(L146,U146,AD146))</x:f>
        <x:v>3.6666666666666665</x:v>
      </x:c>
      <x:c r="AO146" s="112" t="n">
        <x:f>IF(COUNT(M146,V146,AE146)=0,"",AVERAGE(M146,V146,AE146))</x:f>
        <x:v>0</x:v>
      </x:c>
    </x:row>
    <x:row r="147">
      <x:c r="A147" s="107" t="str">
        <x:v>Isiah Pacheco</x:v>
      </x:c>
      <x:c r="B147" s="108" t="str">
        <x:v>RB</x:v>
      </x:c>
      <x:c r="C147" s="108" t="str">
        <x:v>DET</x:v>
      </x:c>
      <x:c r="D147" s="109" t="n">
        <x:v>6</x:v>
      </x:c>
      <x:c r="E147" s="109" t="n">
        <x:f>IFERROR(VLOOKUP($A147,'Mike FLEX'!$A$6:$N$278,5,FALSE),"")</x:f>
        <x:v>145</x:v>
      </x:c>
      <x:c r="F147" s="110" t="n">
        <x:f>IFERROR(VLOOKUP($A147,'Mike FLEX'!$A$6:$N$278,6,FALSE),"")</x:f>
        <x:v>6.7</x:v>
      </x:c>
      <x:c r="G147" s="111" t="n">
        <x:f>IFERROR(VLOOKUP($A147,'Mike FLEX'!$A$6:$N$278,7,FALSE),"")</x:f>
        <x:v>126</x:v>
      </x:c>
      <x:c r="H147" s="111" t="n">
        <x:f>IFERROR(VLOOKUP($A147,'Mike FLEX'!$A$6:$N$278,8,FALSE),"")</x:f>
        <x:v>529</x:v>
      </x:c>
      <x:c r="I147" s="111" t="n">
        <x:f>IFERROR(VLOOKUP($A147,'Mike FLEX'!$A$6:$N$278,9,FALSE),"")</x:f>
        <x:v>3</x:v>
      </x:c>
      <x:c r="J147" s="111" t="n">
        <x:f>IFERROR(VLOOKUP($A147,'Mike FLEX'!$A$6:$N$278,10,FALSE),"")</x:f>
        <x:v>24</x:v>
      </x:c>
      <x:c r="K147" s="111" t="n">
        <x:f>IFERROR(VLOOKUP($A147,'Mike FLEX'!$A$6:$N$278,11,FALSE),"")</x:f>
        <x:v>146</x:v>
      </x:c>
      <x:c r="L147" s="111" t="n">
        <x:f>IFERROR(VLOOKUP($A147,'Mike FLEX'!$A$6:$N$278,12,FALSE),"")</x:f>
        <x:v>1</x:v>
      </x:c>
      <x:c r="M147" s="111" t="n">
        <x:f>IFERROR(VLOOKUP($A147,'Mike FLEX'!$A$6:$N$278,13,FALSE),"")</x:f>
        <x:v>0</x:v>
      </x:c>
      <x:c r="N147" s="109" t="n">
        <x:f>IFERROR(VLOOKUP($A147,'Andy FLEX'!$A$6:$N$278,5,FALSE),"")</x:f>
        <x:v>163</x:v>
      </x:c>
      <x:c r="O147" s="110" t="n">
        <x:f>IFERROR(VLOOKUP($A147,'Andy FLEX'!$A$6:$N$278,6,FALSE),"")</x:f>
        <x:v>6</x:v>
      </x:c>
      <x:c r="P147" s="111" t="n">
        <x:f>IFERROR(VLOOKUP($A147,'Andy FLEX'!$A$6:$N$278,7,FALSE),"")</x:f>
        <x:v>95</x:v>
      </x:c>
      <x:c r="Q147" s="111" t="n">
        <x:f>IFERROR(VLOOKUP($A147,'Andy FLEX'!$A$6:$N$278,8,FALSE),"")</x:f>
        <x:v>390</x:v>
      </x:c>
      <x:c r="R147" s="111" t="n">
        <x:f>IFERROR(VLOOKUP($A147,'Andy FLEX'!$A$6:$N$278,9,FALSE),"")</x:f>
        <x:v>4</x:v>
      </x:c>
      <x:c r="S147" s="111" t="n">
        <x:f>IFERROR(VLOOKUP($A147,'Andy FLEX'!$A$6:$N$278,10,FALSE),"")</x:f>
        <x:v>21</x:v>
      </x:c>
      <x:c r="T147" s="111" t="n">
        <x:f>IFERROR(VLOOKUP($A147,'Andy FLEX'!$A$6:$N$278,11,FALSE),"")</x:f>
        <x:v>145</x:v>
      </x:c>
      <x:c r="U147" s="111" t="n">
        <x:f>IFERROR(VLOOKUP($A147,'Andy FLEX'!$A$6:$N$278,12,FALSE),"")</x:f>
        <x:v>1</x:v>
      </x:c>
      <x:c r="V147" s="111" t="n">
        <x:f>IFERROR(VLOOKUP($A147,'Andy FLEX'!$A$6:$N$278,13,FALSE),"")</x:f>
        <x:v>1</x:v>
      </x:c>
      <x:c r="W147" s="109" t="n">
        <x:f>IFERROR(VLOOKUP($A147,'Jason FLEX'!$A$6:$N$268,5,FALSE),"")</x:f>
        <x:v>144</x:v>
      </x:c>
      <x:c r="X147" s="110" t="n">
        <x:f>IFERROR(VLOOKUP($A147,'Jason FLEX'!$A$6:$N$268,6,FALSE),"")</x:f>
        <x:v>7</x:v>
      </x:c>
      <x:c r="Y147" s="111" t="n">
        <x:f>IFERROR(VLOOKUP($A147,'Jason FLEX'!$A$6:$N$268,7,FALSE),"")</x:f>
        <x:v>135</x:v>
      </x:c>
      <x:c r="Z147" s="111" t="n">
        <x:f>IFERROR(VLOOKUP($A147,'Jason FLEX'!$A$6:$N$268,8,FALSE),"")</x:f>
        <x:v>563</x:v>
      </x:c>
      <x:c r="AA147" s="111" t="n">
        <x:f>IFERROR(VLOOKUP($A147,'Jason FLEX'!$A$6:$N$268,9,FALSE),"")</x:f>
        <x:v>6</x:v>
      </x:c>
      <x:c r="AB147" s="111" t="n">
        <x:f>IFERROR(VLOOKUP($A147,'Jason FLEX'!$A$6:$N$268,10,FALSE),"")</x:f>
        <x:v>18</x:v>
      </x:c>
      <x:c r="AC147" s="111" t="n">
        <x:f>IFERROR(VLOOKUP($A147,'Jason FLEX'!$A$6:$N$268,11,FALSE),"")</x:f>
        <x:v>105</x:v>
      </x:c>
      <x:c r="AD147" s="111" t="n">
        <x:f>IFERROR(VLOOKUP($A147,'Jason FLEX'!$A$6:$N$268,12,FALSE),"")</x:f>
        <x:v>1</x:v>
      </x:c>
      <x:c r="AE147" s="111" t="n">
        <x:f>IFERROR(VLOOKUP($A147,'Jason FLEX'!$A$6:$N$268,13,FALSE),"")</x:f>
        <x:v>2</x:v>
      </x:c>
      <x:c r="AF147" s="110" t="n">
        <x:f>IF(COUNT(E147,N147,W147)=0,"",AVERAGE(E147,N147,W147))</x:f>
        <x:v>150.66666666666666</x:v>
      </x:c>
      <x:c r="AG147" s="110" t="n">
        <x:f>IF(COUNT(E147,N147,W147)=0,"",MAX(E147,N147,W147)-MIN(E147,N147,W147))</x:f>
        <x:v>19</x:v>
      </x:c>
      <x:c r="AH147" s="110" t="n">
        <x:f>IF(COUNT(F147,O147,X147)=0,"",AVERAGE(F147,O147,X147))</x:f>
        <x:v>6.566666666666666</x:v>
      </x:c>
      <x:c r="AI147" s="112" t="n">
        <x:f>IF(COUNT(G147,P147,Y147)=0,"",AVERAGE(G147,P147,Y147))</x:f>
        <x:v>118.66666666666667</x:v>
      </x:c>
      <x:c r="AJ147" s="112" t="n">
        <x:f>IF(COUNT(H147,Q147,Z147)=0,"",AVERAGE(H147,Q147,Z147))</x:f>
        <x:v>494</x:v>
      </x:c>
      <x:c r="AK147" s="112" t="n">
        <x:f>IF(COUNT(I147,R147,AA147)=0,"",AVERAGE(I147,R147,AA147))</x:f>
        <x:v>4.333333333333333</x:v>
      </x:c>
      <x:c r="AL147" s="112" t="n">
        <x:f>IF(COUNT(J147,S147,AB147)=0,"",AVERAGE(J147,S147,AB147))</x:f>
        <x:v>21</x:v>
      </x:c>
      <x:c r="AM147" s="112" t="n">
        <x:f>IF(COUNT(K147,T147,AC147)=0,"",AVERAGE(K147,T147,AC147))</x:f>
        <x:v>132</x:v>
      </x:c>
      <x:c r="AN147" s="112" t="n">
        <x:f>IF(COUNT(L147,U147,AD147)=0,"",AVERAGE(L147,U147,AD147))</x:f>
        <x:v>1</x:v>
      </x:c>
      <x:c r="AO147" s="112" t="n">
        <x:f>IF(COUNT(M147,V147,AE147)=0,"",AVERAGE(M147,V147,AE147))</x:f>
        <x:v>1</x:v>
      </x:c>
    </x:row>
    <x:row r="148">
      <x:c r="A148" s="107" t="str">
        <x:v>Adonai Mitchell</x:v>
      </x:c>
      <x:c r="B148" s="108" t="str">
        <x:v>WR</x:v>
      </x:c>
      <x:c r="C148" s="108" t="str">
        <x:v>NYJ</x:v>
      </x:c>
      <x:c r="D148" s="109" t="n">
        <x:v>13</x:v>
      </x:c>
      <x:c r="E148" s="109" t="n">
        <x:f>IFERROR(VLOOKUP($A148,'Mike FLEX'!$A$6:$N$278,5,FALSE),"")</x:f>
        <x:v>170</x:v>
      </x:c>
      <x:c r="F148" s="110" t="n">
        <x:f>IFERROR(VLOOKUP($A148,'Mike FLEX'!$A$6:$N$278,6,FALSE),"")</x:f>
        <x:v>5.4</x:v>
      </x:c>
      <x:c r="G148" s="111" t="n">
        <x:f>IFERROR(VLOOKUP($A148,'Mike FLEX'!$A$6:$N$278,7,FALSE),"")</x:f>
        <x:v>0</x:v>
      </x:c>
      <x:c r="H148" s="111" t="n">
        <x:f>IFERROR(VLOOKUP($A148,'Mike FLEX'!$A$6:$N$278,8,FALSE),"")</x:f>
        <x:v>0</x:v>
      </x:c>
      <x:c r="I148" s="111" t="n">
        <x:f>IFERROR(VLOOKUP($A148,'Mike FLEX'!$A$6:$N$278,9,FALSE),"")</x:f>
        <x:v>0</x:v>
      </x:c>
      <x:c r="J148" s="111" t="n">
        <x:f>IFERROR(VLOOKUP($A148,'Mike FLEX'!$A$6:$N$278,10,FALSE),"")</x:f>
        <x:v>35</x:v>
      </x:c>
      <x:c r="K148" s="111" t="n">
        <x:f>IFERROR(VLOOKUP($A148,'Mike FLEX'!$A$6:$N$278,11,FALSE),"")</x:f>
        <x:v>465</x:v>
      </x:c>
      <x:c r="L148" s="111" t="n">
        <x:f>IFERROR(VLOOKUP($A148,'Mike FLEX'!$A$6:$N$278,12,FALSE),"")</x:f>
        <x:v>2</x:v>
      </x:c>
      <x:c r="M148" s="111" t="n">
        <x:f>IFERROR(VLOOKUP($A148,'Mike FLEX'!$A$6:$N$278,13,FALSE),"")</x:f>
        <x:v>1</x:v>
      </x:c>
      <x:c r="N148" s="109" t="n">
        <x:f>IFERROR(VLOOKUP($A148,'Andy FLEX'!$A$6:$N$278,5,FALSE),"")</x:f>
        <x:v>155</x:v>
      </x:c>
      <x:c r="O148" s="110" t="n">
        <x:f>IFERROR(VLOOKUP($A148,'Andy FLEX'!$A$6:$N$278,6,FALSE),"")</x:f>
        <x:v>6.4</x:v>
      </x:c>
      <x:c r="P148" s="111" t="n">
        <x:f>IFERROR(VLOOKUP($A148,'Andy FLEX'!$A$6:$N$278,7,FALSE),"")</x:f>
        <x:v>4</x:v>
      </x:c>
      <x:c r="Q148" s="111" t="n">
        <x:f>IFERROR(VLOOKUP($A148,'Andy FLEX'!$A$6:$N$278,8,FALSE),"")</x:f>
        <x:v>15</x:v>
      </x:c>
      <x:c r="R148" s="111" t="n">
        <x:f>IFERROR(VLOOKUP($A148,'Andy FLEX'!$A$6:$N$278,9,FALSE),"")</x:f>
        <x:v>0</x:v>
      </x:c>
      <x:c r="S148" s="111" t="n">
        <x:f>IFERROR(VLOOKUP($A148,'Andy FLEX'!$A$6:$N$278,10,FALSE),"")</x:f>
        <x:v>39</x:v>
      </x:c>
      <x:c r="T148" s="111" t="n">
        <x:f>IFERROR(VLOOKUP($A148,'Andy FLEX'!$A$6:$N$278,11,FALSE),"")</x:f>
        <x:v>539</x:v>
      </x:c>
      <x:c r="U148" s="111" t="n">
        <x:f>IFERROR(VLOOKUP($A148,'Andy FLEX'!$A$6:$N$278,12,FALSE),"")</x:f>
        <x:v>3</x:v>
      </x:c>
      <x:c r="V148" s="111" t="n">
        <x:f>IFERROR(VLOOKUP($A148,'Andy FLEX'!$A$6:$N$278,13,FALSE),"")</x:f>
        <x:v>1</x:v>
      </x:c>
      <x:c r="W148" s="109" t="n">
        <x:f>IFERROR(VLOOKUP($A148,'Jason FLEX'!$A$6:$N$268,5,FALSE),"")</x:f>
        <x:v>130</x:v>
      </x:c>
      <x:c r="X148" s="110" t="n">
        <x:f>IFERROR(VLOOKUP($A148,'Jason FLEX'!$A$6:$N$268,6,FALSE),"")</x:f>
        <x:v>8</x:v>
      </x:c>
      <x:c r="Y148" s="111" t="n">
        <x:f>IFERROR(VLOOKUP($A148,'Jason FLEX'!$A$6:$N$268,7,FALSE),"")</x:f>
        <x:v>0</x:v>
      </x:c>
      <x:c r="Z148" s="111" t="n">
        <x:f>IFERROR(VLOOKUP($A148,'Jason FLEX'!$A$6:$N$268,8,FALSE),"")</x:f>
        <x:v>0</x:v>
      </x:c>
      <x:c r="AA148" s="111" t="n">
        <x:f>IFERROR(VLOOKUP($A148,'Jason FLEX'!$A$6:$N$268,9,FALSE),"")</x:f>
        <x:v>0</x:v>
      </x:c>
      <x:c r="AB148" s="111" t="n">
        <x:f>IFERROR(VLOOKUP($A148,'Jason FLEX'!$A$6:$N$268,10,FALSE),"")</x:f>
        <x:v>49</x:v>
      </x:c>
      <x:c r="AC148" s="111" t="n">
        <x:f>IFERROR(VLOOKUP($A148,'Jason FLEX'!$A$6:$N$268,11,FALSE),"")</x:f>
        <x:v>662</x:v>
      </x:c>
      <x:c r="AD148" s="111" t="n">
        <x:f>IFERROR(VLOOKUP($A148,'Jason FLEX'!$A$6:$N$268,12,FALSE),"")</x:f>
        <x:v>3</x:v>
      </x:c>
      <x:c r="AE148" s="111" t="n">
        <x:f>IFERROR(VLOOKUP($A148,'Jason FLEX'!$A$6:$N$268,13,FALSE),"")</x:f>
        <x:v>0</x:v>
      </x:c>
      <x:c r="AF148" s="110" t="n">
        <x:f>IF(COUNT(E148,N148,W148)=0,"",AVERAGE(E148,N148,W148))</x:f>
        <x:v>151.66666666666666</x:v>
      </x:c>
      <x:c r="AG148" s="110" t="n">
        <x:f>IF(COUNT(E148,N148,W148)=0,"",MAX(E148,N148,W148)-MIN(E148,N148,W148))</x:f>
        <x:v>40</x:v>
      </x:c>
      <x:c r="AH148" s="110" t="n">
        <x:f>IF(COUNT(F148,O148,X148)=0,"",AVERAGE(F148,O148,X148))</x:f>
        <x:v>6.6000000000000005</x:v>
      </x:c>
      <x:c r="AI148" s="112" t="n">
        <x:f>IF(COUNT(G148,P148,Y148)=0,"",AVERAGE(G148,P148,Y148))</x:f>
        <x:v>1.3333333333333333</x:v>
      </x:c>
      <x:c r="AJ148" s="112" t="n">
        <x:f>IF(COUNT(H148,Q148,Z148)=0,"",AVERAGE(H148,Q148,Z148))</x:f>
        <x:v>5</x:v>
      </x:c>
      <x:c r="AK148" s="112" t="n">
        <x:f>IF(COUNT(I148,R148,AA148)=0,"",AVERAGE(I148,R148,AA148))</x:f>
        <x:v>0</x:v>
      </x:c>
      <x:c r="AL148" s="112" t="n">
        <x:f>IF(COUNT(J148,S148,AB148)=0,"",AVERAGE(J148,S148,AB148))</x:f>
        <x:v>41</x:v>
      </x:c>
      <x:c r="AM148" s="112" t="n">
        <x:f>IF(COUNT(K148,T148,AC148)=0,"",AVERAGE(K148,T148,AC148))</x:f>
        <x:v>555.3333333333334</x:v>
      </x:c>
      <x:c r="AN148" s="112" t="n">
        <x:f>IF(COUNT(L148,U148,AD148)=0,"",AVERAGE(L148,U148,AD148))</x:f>
        <x:v>2.6666666666666665</x:v>
      </x:c>
      <x:c r="AO148" s="112" t="n">
        <x:f>IF(COUNT(M148,V148,AE148)=0,"",AVERAGE(M148,V148,AE148))</x:f>
        <x:v>0.6666666666666666</x:v>
      </x:c>
    </x:row>
    <x:row r="149">
      <x:c r="A149" s="107" t="str">
        <x:v>Malachi Fields</x:v>
      </x:c>
      <x:c r="B149" s="108" t="str">
        <x:v>WR</x:v>
      </x:c>
      <x:c r="C149" s="108" t="str">
        <x:v>NYG</x:v>
      </x:c>
      <x:c r="D149" s="109" t="n">
        <x:v>8</x:v>
      </x:c>
      <x:c r="E149" s="109" t="n">
        <x:f>IFERROR(VLOOKUP($A149,'Mike FLEX'!$A$6:$N$278,5,FALSE),"")</x:f>
        <x:v>199</x:v>
      </x:c>
      <x:c r="F149" s="110" t="n">
        <x:f>IFERROR(VLOOKUP($A149,'Mike FLEX'!$A$6:$N$278,6,FALSE),"")</x:f>
        <x:v>4.2</x:v>
      </x:c>
      <x:c r="G149" s="111" t="n">
        <x:f>IFERROR(VLOOKUP($A149,'Mike FLEX'!$A$6:$N$278,7,FALSE),"")</x:f>
        <x:v>0</x:v>
      </x:c>
      <x:c r="H149" s="111" t="n">
        <x:f>IFERROR(VLOOKUP($A149,'Mike FLEX'!$A$6:$N$278,8,FALSE),"")</x:f>
        <x:v>0</x:v>
      </x:c>
      <x:c r="I149" s="111" t="n">
        <x:f>IFERROR(VLOOKUP($A149,'Mike FLEX'!$A$6:$N$278,9,FALSE),"")</x:f>
        <x:v>0</x:v>
      </x:c>
      <x:c r="J149" s="111" t="n">
        <x:f>IFERROR(VLOOKUP($A149,'Mike FLEX'!$A$6:$N$278,10,FALSE),"")</x:f>
        <x:v>27</x:v>
      </x:c>
      <x:c r="K149" s="111" t="n">
        <x:f>IFERROR(VLOOKUP($A149,'Mike FLEX'!$A$6:$N$278,11,FALSE),"")</x:f>
        <x:v>332</x:v>
      </x:c>
      <x:c r="L149" s="111" t="n">
        <x:f>IFERROR(VLOOKUP($A149,'Mike FLEX'!$A$6:$N$278,12,FALSE),"")</x:f>
        <x:v>2</x:v>
      </x:c>
      <x:c r="M149" s="111" t="n">
        <x:f>IFERROR(VLOOKUP($A149,'Mike FLEX'!$A$6:$N$278,13,FALSE),"")</x:f>
        <x:v>0</x:v>
      </x:c>
      <x:c r="N149" s="109" t="n">
        <x:f>IFERROR(VLOOKUP($A149,'Andy FLEX'!$A$6:$N$278,5,FALSE),"")</x:f>
        <x:v>138</x:v>
      </x:c>
      <x:c r="O149" s="110" t="n">
        <x:f>IFERROR(VLOOKUP($A149,'Andy FLEX'!$A$6:$N$278,6,FALSE),"")</x:f>
        <x:v>7.3</x:v>
      </x:c>
      <x:c r="P149" s="111" t="n">
        <x:f>IFERROR(VLOOKUP($A149,'Andy FLEX'!$A$6:$N$278,7,FALSE),"")</x:f>
        <x:v>7</x:v>
      </x:c>
      <x:c r="Q149" s="111" t="n">
        <x:f>IFERROR(VLOOKUP($A149,'Andy FLEX'!$A$6:$N$278,8,FALSE),"")</x:f>
        <x:v>35</x:v>
      </x:c>
      <x:c r="R149" s="111" t="n">
        <x:f>IFERROR(VLOOKUP($A149,'Andy FLEX'!$A$6:$N$278,9,FALSE),"")</x:f>
        <x:v>0</x:v>
      </x:c>
      <x:c r="S149" s="111" t="n">
        <x:f>IFERROR(VLOOKUP($A149,'Andy FLEX'!$A$6:$N$278,10,FALSE),"")</x:f>
        <x:v>41</x:v>
      </x:c>
      <x:c r="T149" s="111" t="n">
        <x:f>IFERROR(VLOOKUP($A149,'Andy FLEX'!$A$6:$N$278,11,FALSE),"")</x:f>
        <x:v>587</x:v>
      </x:c>
      <x:c r="U149" s="111" t="n">
        <x:f>IFERROR(VLOOKUP($A149,'Andy FLEX'!$A$6:$N$278,12,FALSE),"")</x:f>
        <x:v>3</x:v>
      </x:c>
      <x:c r="V149" s="111" t="n">
        <x:f>IFERROR(VLOOKUP($A149,'Andy FLEX'!$A$6:$N$278,13,FALSE),"")</x:f>
        <x:v>0</x:v>
      </x:c>
      <x:c r="W149" s="109" t="n">
        <x:f>IFERROR(VLOOKUP($A149,'Jason FLEX'!$A$6:$N$268,5,FALSE),"")</x:f>
        <x:v>118</x:v>
      </x:c>
      <x:c r="X149" s="110" t="n">
        <x:f>IFERROR(VLOOKUP($A149,'Jason FLEX'!$A$6:$N$268,6,FALSE),"")</x:f>
        <x:v>8.6</x:v>
      </x:c>
      <x:c r="Y149" s="111" t="n">
        <x:f>IFERROR(VLOOKUP($A149,'Jason FLEX'!$A$6:$N$268,7,FALSE),"")</x:f>
        <x:v>2</x:v>
      </x:c>
      <x:c r="Z149" s="111" t="n">
        <x:f>IFERROR(VLOOKUP($A149,'Jason FLEX'!$A$6:$N$268,8,FALSE),"")</x:f>
        <x:v>10</x:v>
      </x:c>
      <x:c r="AA149" s="111" t="n">
        <x:f>IFERROR(VLOOKUP($A149,'Jason FLEX'!$A$6:$N$268,9,FALSE),"")</x:f>
        <x:v>0</x:v>
      </x:c>
      <x:c r="AB149" s="111" t="n">
        <x:f>IFERROR(VLOOKUP($A149,'Jason FLEX'!$A$6:$N$268,10,FALSE),"")</x:f>
        <x:v>53</x:v>
      </x:c>
      <x:c r="AC149" s="111" t="n">
        <x:f>IFERROR(VLOOKUP($A149,'Jason FLEX'!$A$6:$N$268,11,FALSE),"")</x:f>
        <x:v>673</x:v>
      </x:c>
      <x:c r="AD149" s="111" t="n">
        <x:f>IFERROR(VLOOKUP($A149,'Jason FLEX'!$A$6:$N$268,12,FALSE),"")</x:f>
        <x:v>4</x:v>
      </x:c>
      <x:c r="AE149" s="111" t="n">
        <x:f>IFERROR(VLOOKUP($A149,'Jason FLEX'!$A$6:$N$268,13,FALSE),"")</x:f>
        <x:v>0</x:v>
      </x:c>
      <x:c r="AF149" s="110" t="n">
        <x:f>IF(COUNT(E149,N149,W149)=0,"",AVERAGE(E149,N149,W149))</x:f>
        <x:v>151.66666666666666</x:v>
      </x:c>
      <x:c r="AG149" s="110" t="n">
        <x:f>IF(COUNT(E149,N149,W149)=0,"",MAX(E149,N149,W149)-MIN(E149,N149,W149))</x:f>
        <x:v>81</x:v>
      </x:c>
      <x:c r="AH149" s="110" t="n">
        <x:f>IF(COUNT(F149,O149,X149)=0,"",AVERAGE(F149,O149,X149))</x:f>
        <x:v>6.7</x:v>
      </x:c>
      <x:c r="AI149" s="112" t="n">
        <x:f>IF(COUNT(G149,P149,Y149)=0,"",AVERAGE(G149,P149,Y149))</x:f>
        <x:v>3</x:v>
      </x:c>
      <x:c r="AJ149" s="112" t="n">
        <x:f>IF(COUNT(H149,Q149,Z149)=0,"",AVERAGE(H149,Q149,Z149))</x:f>
        <x:v>15</x:v>
      </x:c>
      <x:c r="AK149" s="112" t="n">
        <x:f>IF(COUNT(I149,R149,AA149)=0,"",AVERAGE(I149,R149,AA149))</x:f>
        <x:v>0</x:v>
      </x:c>
      <x:c r="AL149" s="112" t="n">
        <x:f>IF(COUNT(J149,S149,AB149)=0,"",AVERAGE(J149,S149,AB149))</x:f>
        <x:v>40.333333333333336</x:v>
      </x:c>
      <x:c r="AM149" s="112" t="n">
        <x:f>IF(COUNT(K149,T149,AC149)=0,"",AVERAGE(K149,T149,AC149))</x:f>
        <x:v>530.6666666666666</x:v>
      </x:c>
      <x:c r="AN149" s="112" t="n">
        <x:f>IF(COUNT(L149,U149,AD149)=0,"",AVERAGE(L149,U149,AD149))</x:f>
        <x:v>3</x:v>
      </x:c>
      <x:c r="AO149" s="112" t="n">
        <x:f>IF(COUNT(M149,V149,AE149)=0,"",AVERAGE(M149,V149,AE149))</x:f>
        <x:v>0</x:v>
      </x:c>
    </x:row>
    <x:row r="150">
      <x:c r="A150" s="107" t="str">
        <x:v>AJ Barner</x:v>
      </x:c>
      <x:c r="B150" s="108" t="str">
        <x:v>TE</x:v>
      </x:c>
      <x:c r="C150" s="108" t="str">
        <x:v>SEA</x:v>
      </x:c>
      <x:c r="D150" s="109" t="n">
        <x:v>11</x:v>
      </x:c>
      <x:c r="E150" s="109" t="n">
        <x:f>IFERROR(VLOOKUP($A150,'Mike FLEX'!$A$6:$N$278,5,FALSE),"")</x:f>
        <x:v>148</x:v>
      </x:c>
      <x:c r="F150" s="110" t="n">
        <x:f>IFERROR(VLOOKUP($A150,'Mike FLEX'!$A$6:$N$278,6,FALSE),"")</x:f>
        <x:v>6.7</x:v>
      </x:c>
      <x:c r="G150" s="111" t="n">
        <x:f>IFERROR(VLOOKUP($A150,'Mike FLEX'!$A$6:$N$278,7,FALSE),"")</x:f>
        <x:v>10</x:v>
      </x:c>
      <x:c r="H150" s="111" t="n">
        <x:f>IFERROR(VLOOKUP($A150,'Mike FLEX'!$A$6:$N$278,8,FALSE),"")</x:f>
        <x:v>14</x:v>
      </x:c>
      <x:c r="I150" s="111" t="n">
        <x:f>IFERROR(VLOOKUP($A150,'Mike FLEX'!$A$6:$N$278,9,FALSE),"")</x:f>
        <x:v>0</x:v>
      </x:c>
      <x:c r="J150" s="111" t="n">
        <x:f>IFERROR(VLOOKUP($A150,'Mike FLEX'!$A$6:$N$278,10,FALSE),"")</x:f>
        <x:v>46</x:v>
      </x:c>
      <x:c r="K150" s="111" t="n">
        <x:f>IFERROR(VLOOKUP($A150,'Mike FLEX'!$A$6:$N$278,11,FALSE),"")</x:f>
        <x:v>459</x:v>
      </x:c>
      <x:c r="L150" s="111" t="n">
        <x:f>IFERROR(VLOOKUP($A150,'Mike FLEX'!$A$6:$N$278,12,FALSE),"")</x:f>
        <x:v>4</x:v>
      </x:c>
      <x:c r="M150" s="111" t="n">
        <x:f>IFERROR(VLOOKUP($A150,'Mike FLEX'!$A$6:$N$278,13,FALSE),"")</x:f>
        <x:v>2</x:v>
      </x:c>
      <x:c r="N150" s="109" t="n">
        <x:f>IFERROR(VLOOKUP($A150,'Andy FLEX'!$A$6:$N$278,5,FALSE),"")</x:f>
        <x:v>115</x:v>
      </x:c>
      <x:c r="O150" s="110" t="n">
        <x:f>IFERROR(VLOOKUP($A150,'Andy FLEX'!$A$6:$N$278,6,FALSE),"")</x:f>
        <x:v>8.4</x:v>
      </x:c>
      <x:c r="P150" s="111" t="n">
        <x:f>IFERROR(VLOOKUP($A150,'Andy FLEX'!$A$6:$N$278,7,FALSE),"")</x:f>
        <x:v>7</x:v>
      </x:c>
      <x:c r="Q150" s="111" t="n">
        <x:f>IFERROR(VLOOKUP($A150,'Andy FLEX'!$A$6:$N$278,8,FALSE),"")</x:f>
        <x:v>16</x:v>
      </x:c>
      <x:c r="R150" s="111" t="n">
        <x:f>IFERROR(VLOOKUP($A150,'Andy FLEX'!$A$6:$N$278,9,FALSE),"")</x:f>
        <x:v>1</x:v>
      </x:c>
      <x:c r="S150" s="111" t="n">
        <x:f>IFERROR(VLOOKUP($A150,'Andy FLEX'!$A$6:$N$278,10,FALSE),"")</x:f>
        <x:v>52</x:v>
      </x:c>
      <x:c r="T150" s="111" t="n">
        <x:f>IFERROR(VLOOKUP($A150,'Andy FLEX'!$A$6:$N$278,11,FALSE),"")</x:f>
        <x:v>524</x:v>
      </x:c>
      <x:c r="U150" s="111" t="n">
        <x:f>IFERROR(VLOOKUP($A150,'Andy FLEX'!$A$6:$N$278,12,FALSE),"")</x:f>
        <x:v>6</x:v>
      </x:c>
      <x:c r="V150" s="111" t="n">
        <x:f>IFERROR(VLOOKUP($A150,'Andy FLEX'!$A$6:$N$278,13,FALSE),"")</x:f>
        <x:v>1</x:v>
      </x:c>
      <x:c r="W150" s="109" t="n">
        <x:f>IFERROR(VLOOKUP($A150,'Jason FLEX'!$A$6:$N$268,5,FALSE),"")</x:f>
        <x:v>196</x:v>
      </x:c>
      <x:c r="X150" s="110" t="n">
        <x:f>IFERROR(VLOOKUP($A150,'Jason FLEX'!$A$6:$N$268,6,FALSE),"")</x:f>
        <x:v>4.9</x:v>
      </x:c>
      <x:c r="Y150" s="111" t="n">
        <x:f>IFERROR(VLOOKUP($A150,'Jason FLEX'!$A$6:$N$268,7,FALSE),"")</x:f>
        <x:v>0</x:v>
      </x:c>
      <x:c r="Z150" s="111" t="n">
        <x:f>IFERROR(VLOOKUP($A150,'Jason FLEX'!$A$6:$N$268,8,FALSE),"")</x:f>
        <x:v>0</x:v>
      </x:c>
      <x:c r="AA150" s="111" t="n">
        <x:f>IFERROR(VLOOKUP($A150,'Jason FLEX'!$A$6:$N$268,9,FALSE),"")</x:f>
        <x:v>0</x:v>
      </x:c>
      <x:c r="AB150" s="111" t="n">
        <x:f>IFERROR(VLOOKUP($A150,'Jason FLEX'!$A$6:$N$268,10,FALSE),"")</x:f>
        <x:v>30</x:v>
      </x:c>
      <x:c r="AC150" s="111" t="n">
        <x:f>IFERROR(VLOOKUP($A150,'Jason FLEX'!$A$6:$N$268,11,FALSE),"")</x:f>
        <x:v>285</x:v>
      </x:c>
      <x:c r="AD150" s="111" t="n">
        <x:f>IFERROR(VLOOKUP($A150,'Jason FLEX'!$A$6:$N$268,12,FALSE),"")</x:f>
        <x:v>4</x:v>
      </x:c>
      <x:c r="AE150" s="111" t="n">
        <x:f>IFERROR(VLOOKUP($A150,'Jason FLEX'!$A$6:$N$268,13,FALSE),"")</x:f>
        <x:v>0</x:v>
      </x:c>
      <x:c r="AF150" s="110" t="n">
        <x:f>IF(COUNT(E150,N150,W150)=0,"",AVERAGE(E150,N150,W150))</x:f>
        <x:v>153</x:v>
      </x:c>
      <x:c r="AG150" s="110" t="n">
        <x:f>IF(COUNT(E150,N150,W150)=0,"",MAX(E150,N150,W150)-MIN(E150,N150,W150))</x:f>
        <x:v>81</x:v>
      </x:c>
      <x:c r="AH150" s="110" t="n">
        <x:f>IF(COUNT(F150,O150,X150)=0,"",AVERAGE(F150,O150,X150))</x:f>
        <x:v>6.666666666666667</x:v>
      </x:c>
      <x:c r="AI150" s="112" t="n">
        <x:f>IF(COUNT(G150,P150,Y150)=0,"",AVERAGE(G150,P150,Y150))</x:f>
        <x:v>5.666666666666667</x:v>
      </x:c>
      <x:c r="AJ150" s="112" t="n">
        <x:f>IF(COUNT(H150,Q150,Z150)=0,"",AVERAGE(H150,Q150,Z150))</x:f>
        <x:v>10</x:v>
      </x:c>
      <x:c r="AK150" s="112" t="n">
        <x:f>IF(COUNT(I150,R150,AA150)=0,"",AVERAGE(I150,R150,AA150))</x:f>
        <x:v>0.3333333333333333</x:v>
      </x:c>
      <x:c r="AL150" s="112" t="n">
        <x:f>IF(COUNT(J150,S150,AB150)=0,"",AVERAGE(J150,S150,AB150))</x:f>
        <x:v>42.666666666666664</x:v>
      </x:c>
      <x:c r="AM150" s="112" t="n">
        <x:f>IF(COUNT(K150,T150,AC150)=0,"",AVERAGE(K150,T150,AC150))</x:f>
        <x:v>422.6666666666667</x:v>
      </x:c>
      <x:c r="AN150" s="112" t="n">
        <x:f>IF(COUNT(L150,U150,AD150)=0,"",AVERAGE(L150,U150,AD150))</x:f>
        <x:v>4.666666666666667</x:v>
      </x:c>
      <x:c r="AO150" s="112" t="n">
        <x:f>IF(COUNT(M150,V150,AE150)=0,"",AVERAGE(M150,V150,AE150))</x:f>
        <x:v>1</x:v>
      </x:c>
    </x:row>
    <x:row r="151">
      <x:c r="A151" s="107" t="str">
        <x:v>Colby Parkinson</x:v>
      </x:c>
      <x:c r="B151" s="108" t="str">
        <x:v>TE</x:v>
      </x:c>
      <x:c r="C151" s="108" t="str">
        <x:v>LAR</x:v>
      </x:c>
      <x:c r="D151" s="109" t="n">
        <x:v>11</x:v>
      </x:c>
      <x:c r="E151" s="109" t="n">
        <x:f>IFERROR(VLOOKUP($A151,'Mike FLEX'!$A$6:$N$278,5,FALSE),"")</x:f>
        <x:v>175</x:v>
      </x:c>
      <x:c r="F151" s="110" t="n">
        <x:f>IFERROR(VLOOKUP($A151,'Mike FLEX'!$A$6:$N$278,6,FALSE),"")</x:f>
        <x:v>4.9</x:v>
      </x:c>
      <x:c r="G151" s="111" t="n">
        <x:f>IFERROR(VLOOKUP($A151,'Mike FLEX'!$A$6:$N$278,7,FALSE),"")</x:f>
        <x:v>0</x:v>
      </x:c>
      <x:c r="H151" s="111" t="n">
        <x:f>IFERROR(VLOOKUP($A151,'Mike FLEX'!$A$6:$N$278,8,FALSE),"")</x:f>
        <x:v>0</x:v>
      </x:c>
      <x:c r="I151" s="111" t="n">
        <x:f>IFERROR(VLOOKUP($A151,'Mike FLEX'!$A$6:$N$278,9,FALSE),"")</x:f>
        <x:v>0</x:v>
      </x:c>
      <x:c r="J151" s="111" t="n">
        <x:f>IFERROR(VLOOKUP($A151,'Mike FLEX'!$A$6:$N$278,10,FALSE),"")</x:f>
        <x:v>33</x:v>
      </x:c>
      <x:c r="K151" s="111" t="n">
        <x:f>IFERROR(VLOOKUP($A151,'Mike FLEX'!$A$6:$N$278,11,FALSE),"")</x:f>
        <x:v>334</x:v>
      </x:c>
      <x:c r="L151" s="111" t="n">
        <x:f>IFERROR(VLOOKUP($A151,'Mike FLEX'!$A$6:$N$278,12,FALSE),"")</x:f>
        <x:v>3</x:v>
      </x:c>
      <x:c r="M151" s="111" t="n">
        <x:f>IFERROR(VLOOKUP($A151,'Mike FLEX'!$A$6:$N$278,13,FALSE),"")</x:f>
        <x:v>0</x:v>
      </x:c>
      <x:c r="N151" s="109" t="n">
        <x:f>IFERROR(VLOOKUP($A151,'Andy FLEX'!$A$6:$N$278,5,FALSE),"")</x:f>
        <x:v>129</x:v>
      </x:c>
      <x:c r="O151" s="110" t="n">
        <x:f>IFERROR(VLOOKUP($A151,'Andy FLEX'!$A$6:$N$278,6,FALSE),"")</x:f>
        <x:v>7.7</x:v>
      </x:c>
      <x:c r="P151" s="111" t="n">
        <x:f>IFERROR(VLOOKUP($A151,'Andy FLEX'!$A$6:$N$278,7,FALSE),"")</x:f>
        <x:v>0</x:v>
      </x:c>
      <x:c r="Q151" s="111" t="n">
        <x:f>IFERROR(VLOOKUP($A151,'Andy FLEX'!$A$6:$N$278,8,FALSE),"")</x:f>
        <x:v>0</x:v>
      </x:c>
      <x:c r="R151" s="111" t="n">
        <x:f>IFERROR(VLOOKUP($A151,'Andy FLEX'!$A$6:$N$278,9,FALSE),"")</x:f>
        <x:v>0</x:v>
      </x:c>
      <x:c r="S151" s="111" t="n">
        <x:f>IFERROR(VLOOKUP($A151,'Andy FLEX'!$A$6:$N$278,10,FALSE),"")</x:f>
        <x:v>48</x:v>
      </x:c>
      <x:c r="T151" s="111" t="n">
        <x:f>IFERROR(VLOOKUP($A151,'Andy FLEX'!$A$6:$N$278,11,FALSE),"")</x:f>
        <x:v>470</x:v>
      </x:c>
      <x:c r="U151" s="111" t="n">
        <x:f>IFERROR(VLOOKUP($A151,'Andy FLEX'!$A$6:$N$278,12,FALSE),"")</x:f>
        <x:v>6</x:v>
      </x:c>
      <x:c r="V151" s="111" t="n">
        <x:f>IFERROR(VLOOKUP($A151,'Andy FLEX'!$A$6:$N$278,13,FALSE),"")</x:f>
        <x:v>0</x:v>
      </x:c>
      <x:c r="W151" s="109" t="n">
        <x:f>IFERROR(VLOOKUP($A151,'Jason FLEX'!$A$6:$N$268,5,FALSE),"")</x:f>
        <x:v>159</x:v>
      </x:c>
      <x:c r="X151" s="110" t="n">
        <x:f>IFERROR(VLOOKUP($A151,'Jason FLEX'!$A$6:$N$268,6,FALSE),"")</x:f>
        <x:v>6.4</x:v>
      </x:c>
      <x:c r="Y151" s="111" t="n">
        <x:f>IFERROR(VLOOKUP($A151,'Jason FLEX'!$A$6:$N$268,7,FALSE),"")</x:f>
        <x:v>0</x:v>
      </x:c>
      <x:c r="Z151" s="111" t="n">
        <x:f>IFERROR(VLOOKUP($A151,'Jason FLEX'!$A$6:$N$268,8,FALSE),"")</x:f>
        <x:v>0</x:v>
      </x:c>
      <x:c r="AA151" s="111" t="n">
        <x:f>IFERROR(VLOOKUP($A151,'Jason FLEX'!$A$6:$N$268,9,FALSE),"")</x:f>
        <x:v>0</x:v>
      </x:c>
      <x:c r="AB151" s="111" t="n">
        <x:f>IFERROR(VLOOKUP($A151,'Jason FLEX'!$A$6:$N$268,10,FALSE),"")</x:f>
        <x:v>42</x:v>
      </x:c>
      <x:c r="AC151" s="111" t="n">
        <x:f>IFERROR(VLOOKUP($A151,'Jason FLEX'!$A$6:$N$268,11,FALSE),"")</x:f>
        <x:v>425</x:v>
      </x:c>
      <x:c r="AD151" s="111" t="n">
        <x:f>IFERROR(VLOOKUP($A151,'Jason FLEX'!$A$6:$N$268,12,FALSE),"")</x:f>
        <x:v>5</x:v>
      </x:c>
      <x:c r="AE151" s="111" t="n">
        <x:f>IFERROR(VLOOKUP($A151,'Jason FLEX'!$A$6:$N$268,13,FALSE),"")</x:f>
        <x:v>1</x:v>
      </x:c>
      <x:c r="AF151" s="110" t="n">
        <x:f>IF(COUNT(E151,N151,W151)=0,"",AVERAGE(E151,N151,W151))</x:f>
        <x:v>154.33333333333334</x:v>
      </x:c>
      <x:c r="AG151" s="110" t="n">
        <x:f>IF(COUNT(E151,N151,W151)=0,"",MAX(E151,N151,W151)-MIN(E151,N151,W151))</x:f>
        <x:v>46</x:v>
      </x:c>
      <x:c r="AH151" s="110" t="n">
        <x:f>IF(COUNT(F151,O151,X151)=0,"",AVERAGE(F151,O151,X151))</x:f>
        <x:v>6.333333333333333</x:v>
      </x:c>
      <x:c r="AI151" s="112" t="n">
        <x:f>IF(COUNT(G151,P151,Y151)=0,"",AVERAGE(G151,P151,Y151))</x:f>
        <x:v>0</x:v>
      </x:c>
      <x:c r="AJ151" s="112" t="n">
        <x:f>IF(COUNT(H151,Q151,Z151)=0,"",AVERAGE(H151,Q151,Z151))</x:f>
        <x:v>0</x:v>
      </x:c>
      <x:c r="AK151" s="112" t="n">
        <x:f>IF(COUNT(I151,R151,AA151)=0,"",AVERAGE(I151,R151,AA151))</x:f>
        <x:v>0</x:v>
      </x:c>
      <x:c r="AL151" s="112" t="n">
        <x:f>IF(COUNT(J151,S151,AB151)=0,"",AVERAGE(J151,S151,AB151))</x:f>
        <x:v>41</x:v>
      </x:c>
      <x:c r="AM151" s="112" t="n">
        <x:f>IF(COUNT(K151,T151,AC151)=0,"",AVERAGE(K151,T151,AC151))</x:f>
        <x:v>409.6666666666667</x:v>
      </x:c>
      <x:c r="AN151" s="112" t="n">
        <x:f>IF(COUNT(L151,U151,AD151)=0,"",AVERAGE(L151,U151,AD151))</x:f>
        <x:v>4.666666666666667</x:v>
      </x:c>
      <x:c r="AO151" s="112" t="n">
        <x:f>IF(COUNT(M151,V151,AE151)=0,"",AVERAGE(M151,V151,AE151))</x:f>
        <x:v>0.3333333333333333</x:v>
      </x:c>
    </x:row>
    <x:row r="152">
      <x:c r="A152" s="107" t="str">
        <x:v>Germie Bernard</x:v>
      </x:c>
      <x:c r="B152" s="108" t="str">
        <x:v>WR</x:v>
      </x:c>
      <x:c r="C152" s="108" t="str">
        <x:v>PIT</x:v>
      </x:c>
      <x:c r="D152" s="109" t="n">
        <x:v>9</x:v>
      </x:c>
      <x:c r="E152" s="109" t="n">
        <x:f>IFERROR(VLOOKUP($A152,'Mike FLEX'!$A$6:$N$278,5,FALSE),"")</x:f>
        <x:v>140</x:v>
      </x:c>
      <x:c r="F152" s="110" t="n">
        <x:f>IFERROR(VLOOKUP($A152,'Mike FLEX'!$A$6:$N$278,6,FALSE),"")</x:f>
        <x:v>6.9</x:v>
      </x:c>
      <x:c r="G152" s="111" t="n">
        <x:f>IFERROR(VLOOKUP($A152,'Mike FLEX'!$A$6:$N$278,7,FALSE),"")</x:f>
        <x:v>0</x:v>
      </x:c>
      <x:c r="H152" s="111" t="n">
        <x:f>IFERROR(VLOOKUP($A152,'Mike FLEX'!$A$6:$N$278,8,FALSE),"")</x:f>
        <x:v>0</x:v>
      </x:c>
      <x:c r="I152" s="111" t="n">
        <x:f>IFERROR(VLOOKUP($A152,'Mike FLEX'!$A$6:$N$278,9,FALSE),"")</x:f>
        <x:v>0</x:v>
      </x:c>
      <x:c r="J152" s="111" t="n">
        <x:f>IFERROR(VLOOKUP($A152,'Mike FLEX'!$A$6:$N$278,10,FALSE),"")</x:f>
        <x:v>44</x:v>
      </x:c>
      <x:c r="K152" s="111" t="n">
        <x:f>IFERROR(VLOOKUP($A152,'Mike FLEX'!$A$6:$N$278,11,FALSE),"")</x:f>
        <x:v>540</x:v>
      </x:c>
      <x:c r="L152" s="111" t="n">
        <x:f>IFERROR(VLOOKUP($A152,'Mike FLEX'!$A$6:$N$278,12,FALSE),"")</x:f>
        <x:v>3</x:v>
      </x:c>
      <x:c r="M152" s="111" t="n">
        <x:f>IFERROR(VLOOKUP($A152,'Mike FLEX'!$A$6:$N$278,13,FALSE),"")</x:f>
        <x:v>0</x:v>
      </x:c>
      <x:c r="N152" s="109" t="n">
        <x:f>IFERROR(VLOOKUP($A152,'Andy FLEX'!$A$6:$N$278,5,FALSE),"")</x:f>
        <x:v>177</x:v>
      </x:c>
      <x:c r="O152" s="110" t="n">
        <x:f>IFERROR(VLOOKUP($A152,'Andy FLEX'!$A$6:$N$278,6,FALSE),"")</x:f>
        <x:v>5.7</x:v>
      </x:c>
      <x:c r="P152" s="111" t="n">
        <x:f>IFERROR(VLOOKUP($A152,'Andy FLEX'!$A$6:$N$278,7,FALSE),"")</x:f>
        <x:v>8</x:v>
      </x:c>
      <x:c r="Q152" s="111" t="n">
        <x:f>IFERROR(VLOOKUP($A152,'Andy FLEX'!$A$6:$N$278,8,FALSE),"")</x:f>
        <x:v>48</x:v>
      </x:c>
      <x:c r="R152" s="111" t="n">
        <x:f>IFERROR(VLOOKUP($A152,'Andy FLEX'!$A$6:$N$278,9,FALSE),"")</x:f>
        <x:v>0</x:v>
      </x:c>
      <x:c r="S152" s="111" t="n">
        <x:f>IFERROR(VLOOKUP($A152,'Andy FLEX'!$A$6:$N$278,10,FALSE),"")</x:f>
        <x:v>34</x:v>
      </x:c>
      <x:c r="T152" s="111" t="n">
        <x:f>IFERROR(VLOOKUP($A152,'Andy FLEX'!$A$6:$N$278,11,FALSE),"")</x:f>
        <x:v>420</x:v>
      </x:c>
      <x:c r="U152" s="111" t="n">
        <x:f>IFERROR(VLOOKUP($A152,'Andy FLEX'!$A$6:$N$278,12,FALSE),"")</x:f>
        <x:v>3</x:v>
      </x:c>
      <x:c r="V152" s="111" t="n">
        <x:f>IFERROR(VLOOKUP($A152,'Andy FLEX'!$A$6:$N$278,13,FALSE),"")</x:f>
        <x:v>1</x:v>
      </x:c>
      <x:c r="W152" s="109" t="n">
        <x:f>IFERROR(VLOOKUP($A152,'Jason FLEX'!$A$6:$N$268,5,FALSE),"")</x:f>
        <x:v>147</x:v>
      </x:c>
      <x:c r="X152" s="110" t="n">
        <x:f>IFERROR(VLOOKUP($A152,'Jason FLEX'!$A$6:$N$268,6,FALSE),"")</x:f>
        <x:v>7</x:v>
      </x:c>
      <x:c r="Y152" s="111" t="n">
        <x:f>IFERROR(VLOOKUP($A152,'Jason FLEX'!$A$6:$N$268,7,FALSE),"")</x:f>
        <x:v>7</x:v>
      </x:c>
      <x:c r="Z152" s="111" t="n">
        <x:f>IFERROR(VLOOKUP($A152,'Jason FLEX'!$A$6:$N$268,8,FALSE),"")</x:f>
        <x:v>42</x:v>
      </x:c>
      <x:c r="AA152" s="111" t="n">
        <x:f>IFERROR(VLOOKUP($A152,'Jason FLEX'!$A$6:$N$268,9,FALSE),"")</x:f>
        <x:v>0</x:v>
      </x:c>
      <x:c r="AB152" s="111" t="n">
        <x:f>IFERROR(VLOOKUP($A152,'Jason FLEX'!$A$6:$N$268,10,FALSE),"")</x:f>
        <x:v>45</x:v>
      </x:c>
      <x:c r="AC152" s="111" t="n">
        <x:f>IFERROR(VLOOKUP($A152,'Jason FLEX'!$A$6:$N$268,11,FALSE),"")</x:f>
        <x:v>504</x:v>
      </x:c>
      <x:c r="AD152" s="111" t="n">
        <x:f>IFERROR(VLOOKUP($A152,'Jason FLEX'!$A$6:$N$268,12,FALSE),"")</x:f>
        <x:v>3</x:v>
      </x:c>
      <x:c r="AE152" s="111" t="n">
        <x:f>IFERROR(VLOOKUP($A152,'Jason FLEX'!$A$6:$N$268,13,FALSE),"")</x:f>
        <x:v>0</x:v>
      </x:c>
      <x:c r="AF152" s="110" t="n">
        <x:f>IF(COUNT(E152,N152,W152)=0,"",AVERAGE(E152,N152,W152))</x:f>
        <x:v>154.66666666666666</x:v>
      </x:c>
      <x:c r="AG152" s="110" t="n">
        <x:f>IF(COUNT(E152,N152,W152)=0,"",MAX(E152,N152,W152)-MIN(E152,N152,W152))</x:f>
        <x:v>37</x:v>
      </x:c>
      <x:c r="AH152" s="110" t="n">
        <x:f>IF(COUNT(F152,O152,X152)=0,"",AVERAGE(F152,O152,X152))</x:f>
        <x:v>6.533333333333334</x:v>
      </x:c>
      <x:c r="AI152" s="112" t="n">
        <x:f>IF(COUNT(G152,P152,Y152)=0,"",AVERAGE(G152,P152,Y152))</x:f>
        <x:v>5</x:v>
      </x:c>
      <x:c r="AJ152" s="112" t="n">
        <x:f>IF(COUNT(H152,Q152,Z152)=0,"",AVERAGE(H152,Q152,Z152))</x:f>
        <x:v>30</x:v>
      </x:c>
      <x:c r="AK152" s="112" t="n">
        <x:f>IF(COUNT(I152,R152,AA152)=0,"",AVERAGE(I152,R152,AA152))</x:f>
        <x:v>0</x:v>
      </x:c>
      <x:c r="AL152" s="112" t="n">
        <x:f>IF(COUNT(J152,S152,AB152)=0,"",AVERAGE(J152,S152,AB152))</x:f>
        <x:v>41</x:v>
      </x:c>
      <x:c r="AM152" s="112" t="n">
        <x:f>IF(COUNT(K152,T152,AC152)=0,"",AVERAGE(K152,T152,AC152))</x:f>
        <x:v>488</x:v>
      </x:c>
      <x:c r="AN152" s="112" t="n">
        <x:f>IF(COUNT(L152,U152,AD152)=0,"",AVERAGE(L152,U152,AD152))</x:f>
        <x:v>3</x:v>
      </x:c>
      <x:c r="AO152" s="112" t="n">
        <x:f>IF(COUNT(M152,V152,AE152)=0,"",AVERAGE(M152,V152,AE152))</x:f>
        <x:v>0.3333333333333333</x:v>
      </x:c>
    </x:row>
    <x:row r="153">
      <x:c r="A153" s="107" t="str">
        <x:v>Keaton Mitchell</x:v>
      </x:c>
      <x:c r="B153" s="108" t="str">
        <x:v>RB</x:v>
      </x:c>
      <x:c r="C153" s="108" t="str">
        <x:v>LAC</x:v>
      </x:c>
      <x:c r="D153" s="109" t="n">
        <x:v>7</x:v>
      </x:c>
      <x:c r="E153" s="109" t="n">
        <x:f>IFERROR(VLOOKUP($A153,'Mike FLEX'!$A$6:$N$278,5,FALSE),"")</x:f>
        <x:v>152</x:v>
      </x:c>
      <x:c r="F153" s="110" t="n">
        <x:f>IFERROR(VLOOKUP($A153,'Mike FLEX'!$A$6:$N$278,6,FALSE),"")</x:f>
        <x:v>6.4</x:v>
      </x:c>
      <x:c r="G153" s="111" t="n">
        <x:f>IFERROR(VLOOKUP($A153,'Mike FLEX'!$A$6:$N$278,7,FALSE),"")</x:f>
        <x:v>96</x:v>
      </x:c>
      <x:c r="H153" s="111" t="n">
        <x:f>IFERROR(VLOOKUP($A153,'Mike FLEX'!$A$6:$N$278,8,FALSE),"")</x:f>
        <x:v>519</x:v>
      </x:c>
      <x:c r="I153" s="111" t="n">
        <x:f>IFERROR(VLOOKUP($A153,'Mike FLEX'!$A$6:$N$278,9,FALSE),"")</x:f>
        <x:v>3</x:v>
      </x:c>
      <x:c r="J153" s="111" t="n">
        <x:f>IFERROR(VLOOKUP($A153,'Mike FLEX'!$A$6:$N$278,10,FALSE),"")</x:f>
        <x:v>18</x:v>
      </x:c>
      <x:c r="K153" s="111" t="n">
        <x:f>IFERROR(VLOOKUP($A153,'Mike FLEX'!$A$6:$N$278,11,FALSE),"")</x:f>
        <x:v>163</x:v>
      </x:c>
      <x:c r="L153" s="111" t="n">
        <x:f>IFERROR(VLOOKUP($A153,'Mike FLEX'!$A$6:$N$278,12,FALSE),"")</x:f>
        <x:v>1</x:v>
      </x:c>
      <x:c r="M153" s="111" t="n">
        <x:f>IFERROR(VLOOKUP($A153,'Mike FLEX'!$A$6:$N$278,13,FALSE),"")</x:f>
        <x:v>0</x:v>
      </x:c>
      <x:c r="N153" s="109" t="n">
        <x:f>IFERROR(VLOOKUP($A153,'Andy FLEX'!$A$6:$N$278,5,FALSE),"")</x:f>
        <x:v>159</x:v>
      </x:c>
      <x:c r="O153" s="110" t="n">
        <x:f>IFERROR(VLOOKUP($A153,'Andy FLEX'!$A$6:$N$278,6,FALSE),"")</x:f>
        <x:v>6.1</x:v>
      </x:c>
      <x:c r="P153" s="111" t="n">
        <x:f>IFERROR(VLOOKUP($A153,'Andy FLEX'!$A$6:$N$278,7,FALSE),"")</x:f>
        <x:v>60</x:v>
      </x:c>
      <x:c r="Q153" s="111" t="n">
        <x:f>IFERROR(VLOOKUP($A153,'Andy FLEX'!$A$6:$N$278,8,FALSE),"")</x:f>
        <x:v>374</x:v>
      </x:c>
      <x:c r="R153" s="111" t="n">
        <x:f>IFERROR(VLOOKUP($A153,'Andy FLEX'!$A$6:$N$278,9,FALSE),"")</x:f>
        <x:v>3</x:v>
      </x:c>
      <x:c r="S153" s="111" t="n">
        <x:f>IFERROR(VLOOKUP($A153,'Andy FLEX'!$A$6:$N$278,10,FALSE),"")</x:f>
        <x:v>25</x:v>
      </x:c>
      <x:c r="T153" s="111" t="n">
        <x:f>IFERROR(VLOOKUP($A153,'Andy FLEX'!$A$6:$N$278,11,FALSE),"")</x:f>
        <x:v>188</x:v>
      </x:c>
      <x:c r="U153" s="111" t="n">
        <x:f>IFERROR(VLOOKUP($A153,'Andy FLEX'!$A$6:$N$278,12,FALSE),"")</x:f>
        <x:v>1</x:v>
      </x:c>
      <x:c r="V153" s="111" t="n">
        <x:f>IFERROR(VLOOKUP($A153,'Andy FLEX'!$A$6:$N$278,13,FALSE),"")</x:f>
        <x:v>1</x:v>
      </x:c>
      <x:c r="W153" s="109" t="n">
        <x:f>IFERROR(VLOOKUP($A153,'Jason FLEX'!$A$6:$N$268,5,FALSE),"")</x:f>
        <x:v>154</x:v>
      </x:c>
      <x:c r="X153" s="110" t="n">
        <x:f>IFERROR(VLOOKUP($A153,'Jason FLEX'!$A$6:$N$268,6,FALSE),"")</x:f>
        <x:v>6.8</x:v>
      </x:c>
      <x:c r="Y153" s="111" t="n">
        <x:f>IFERROR(VLOOKUP($A153,'Jason FLEX'!$A$6:$N$268,7,FALSE),"")</x:f>
        <x:v>77</x:v>
      </x:c>
      <x:c r="Z153" s="111" t="n">
        <x:f>IFERROR(VLOOKUP($A153,'Jason FLEX'!$A$6:$N$268,8,FALSE),"")</x:f>
        <x:v>426</x:v>
      </x:c>
      <x:c r="AA153" s="111" t="n">
        <x:f>IFERROR(VLOOKUP($A153,'Jason FLEX'!$A$6:$N$268,9,FALSE),"")</x:f>
        <x:v>2</x:v>
      </x:c>
      <x:c r="AB153" s="111" t="n">
        <x:f>IFERROR(VLOOKUP($A153,'Jason FLEX'!$A$6:$N$268,10,FALSE),"")</x:f>
        <x:v>32</x:v>
      </x:c>
      <x:c r="AC153" s="111" t="n">
        <x:f>IFERROR(VLOOKUP($A153,'Jason FLEX'!$A$6:$N$268,11,FALSE),"")</x:f>
        <x:v>259</x:v>
      </x:c>
      <x:c r="AD153" s="111" t="n">
        <x:f>IFERROR(VLOOKUP($A153,'Jason FLEX'!$A$6:$N$268,12,FALSE),"")</x:f>
        <x:v>1</x:v>
      </x:c>
      <x:c r="AE153" s="111" t="n">
        <x:f>IFERROR(VLOOKUP($A153,'Jason FLEX'!$A$6:$N$268,13,FALSE),"")</x:f>
        <x:v>0</x:v>
      </x:c>
      <x:c r="AF153" s="110" t="n">
        <x:f>IF(COUNT(E153,N153,W153)=0,"",AVERAGE(E153,N153,W153))</x:f>
        <x:v>155</x:v>
      </x:c>
      <x:c r="AG153" s="110" t="n">
        <x:f>IF(COUNT(E153,N153,W153)=0,"",MAX(E153,N153,W153)-MIN(E153,N153,W153))</x:f>
        <x:v>7</x:v>
      </x:c>
      <x:c r="AH153" s="110" t="n">
        <x:f>IF(COUNT(F153,O153,X153)=0,"",AVERAGE(F153,O153,X153))</x:f>
        <x:v>6.433333333333334</x:v>
      </x:c>
      <x:c r="AI153" s="112" t="n">
        <x:f>IF(COUNT(G153,P153,Y153)=0,"",AVERAGE(G153,P153,Y153))</x:f>
        <x:v>77.66666666666667</x:v>
      </x:c>
      <x:c r="AJ153" s="112" t="n">
        <x:f>IF(COUNT(H153,Q153,Z153)=0,"",AVERAGE(H153,Q153,Z153))</x:f>
        <x:v>439.6666666666667</x:v>
      </x:c>
      <x:c r="AK153" s="112" t="n">
        <x:f>IF(COUNT(I153,R153,AA153)=0,"",AVERAGE(I153,R153,AA153))</x:f>
        <x:v>2.6666666666666665</x:v>
      </x:c>
      <x:c r="AL153" s="112" t="n">
        <x:f>IF(COUNT(J153,S153,AB153)=0,"",AVERAGE(J153,S153,AB153))</x:f>
        <x:v>25</x:v>
      </x:c>
      <x:c r="AM153" s="112" t="n">
        <x:f>IF(COUNT(K153,T153,AC153)=0,"",AVERAGE(K153,T153,AC153))</x:f>
        <x:v>203.33333333333334</x:v>
      </x:c>
      <x:c r="AN153" s="112" t="n">
        <x:f>IF(COUNT(L153,U153,AD153)=0,"",AVERAGE(L153,U153,AD153))</x:f>
        <x:v>1</x:v>
      </x:c>
      <x:c r="AO153" s="112" t="n">
        <x:f>IF(COUNT(M153,V153,AE153)=0,"",AVERAGE(M153,V153,AE153))</x:f>
        <x:v>0.3333333333333333</x:v>
      </x:c>
    </x:row>
    <x:row r="154">
      <x:c r="A154" s="107" t="str">
        <x:v>Cyrus Allen</x:v>
      </x:c>
      <x:c r="B154" s="108" t="str">
        <x:v>WR</x:v>
      </x:c>
      <x:c r="C154" s="108" t="str">
        <x:v>KC</x:v>
      </x:c>
      <x:c r="D154" s="109" t="n">
        <x:v>5</x:v>
      </x:c>
      <x:c r="E154" s="109" t="n">
        <x:f>IFERROR(VLOOKUP($A154,'Mike FLEX'!$A$6:$N$278,5,FALSE),"")</x:f>
        <x:v>154</x:v>
      </x:c>
      <x:c r="F154" s="110" t="n">
        <x:f>IFERROR(VLOOKUP($A154,'Mike FLEX'!$A$6:$N$278,6,FALSE),"")</x:f>
        <x:v>6.3</x:v>
      </x:c>
      <x:c r="G154" s="111" t="n">
        <x:f>IFERROR(VLOOKUP($A154,'Mike FLEX'!$A$6:$N$278,7,FALSE),"")</x:f>
        <x:v>0</x:v>
      </x:c>
      <x:c r="H154" s="111" t="n">
        <x:f>IFERROR(VLOOKUP($A154,'Mike FLEX'!$A$6:$N$278,8,FALSE),"")</x:f>
        <x:v>0</x:v>
      </x:c>
      <x:c r="I154" s="111" t="n">
        <x:f>IFERROR(VLOOKUP($A154,'Mike FLEX'!$A$6:$N$278,9,FALSE),"")</x:f>
        <x:v>0</x:v>
      </x:c>
      <x:c r="J154" s="111" t="n">
        <x:f>IFERROR(VLOOKUP($A154,'Mike FLEX'!$A$6:$N$278,10,FALSE),"")</x:f>
        <x:v>38</x:v>
      </x:c>
      <x:c r="K154" s="111" t="n">
        <x:f>IFERROR(VLOOKUP($A154,'Mike FLEX'!$A$6:$N$278,11,FALSE),"")</x:f>
        <x:v>480</x:v>
      </x:c>
      <x:c r="L154" s="111" t="n">
        <x:f>IFERROR(VLOOKUP($A154,'Mike FLEX'!$A$6:$N$278,12,FALSE),"")</x:f>
        <x:v>4</x:v>
      </x:c>
      <x:c r="M154" s="111" t="n">
        <x:f>IFERROR(VLOOKUP($A154,'Mike FLEX'!$A$6:$N$278,13,FALSE),"")</x:f>
        <x:v>0</x:v>
      </x:c>
      <x:c r="N154" s="109" t="n">
        <x:f>IFERROR(VLOOKUP($A154,'Andy FLEX'!$A$6:$N$278,5,FALSE),"")</x:f>
        <x:v>170</x:v>
      </x:c>
      <x:c r="O154" s="110" t="n">
        <x:f>IFERROR(VLOOKUP($A154,'Andy FLEX'!$A$6:$N$278,6,FALSE),"")</x:f>
        <x:v>5.8</x:v>
      </x:c>
      <x:c r="P154" s="111" t="n">
        <x:f>IFERROR(VLOOKUP($A154,'Andy FLEX'!$A$6:$N$278,7,FALSE),"")</x:f>
        <x:v>13</x:v>
      </x:c>
      <x:c r="Q154" s="111" t="n">
        <x:f>IFERROR(VLOOKUP($A154,'Andy FLEX'!$A$6:$N$278,8,FALSE),"")</x:f>
        <x:v>85</x:v>
      </x:c>
      <x:c r="R154" s="111" t="n">
        <x:f>IFERROR(VLOOKUP($A154,'Andy FLEX'!$A$6:$N$278,9,FALSE),"")</x:f>
        <x:v>0</x:v>
      </x:c>
      <x:c r="S154" s="111" t="n">
        <x:f>IFERROR(VLOOKUP($A154,'Andy FLEX'!$A$6:$N$278,10,FALSE),"")</x:f>
        <x:v>30</x:v>
      </x:c>
      <x:c r="T154" s="111" t="n">
        <x:f>IFERROR(VLOOKUP($A154,'Andy FLEX'!$A$6:$N$278,11,FALSE),"")</x:f>
        <x:v>408</x:v>
      </x:c>
      <x:c r="U154" s="111" t="n">
        <x:f>IFERROR(VLOOKUP($A154,'Andy FLEX'!$A$6:$N$278,12,FALSE),"")</x:f>
        <x:v>3</x:v>
      </x:c>
      <x:c r="V154" s="111" t="n">
        <x:f>IFERROR(VLOOKUP($A154,'Andy FLEX'!$A$6:$N$278,13,FALSE),"")</x:f>
        <x:v>0</x:v>
      </x:c>
      <x:c r="W154" s="109" t="n">
        <x:f>IFERROR(VLOOKUP($A154,'Jason FLEX'!$A$6:$N$268,5,FALSE),"")</x:f>
        <x:v>142</x:v>
      </x:c>
      <x:c r="X154" s="110" t="n">
        <x:f>IFERROR(VLOOKUP($A154,'Jason FLEX'!$A$6:$N$268,6,FALSE),"")</x:f>
        <x:v>7.3</x:v>
      </x:c>
      <x:c r="Y154" s="111" t="n">
        <x:f>IFERROR(VLOOKUP($A154,'Jason FLEX'!$A$6:$N$268,7,FALSE),"")</x:f>
        <x:v>0</x:v>
      </x:c>
      <x:c r="Z154" s="111" t="n">
        <x:f>IFERROR(VLOOKUP($A154,'Jason FLEX'!$A$6:$N$268,8,FALSE),"")</x:f>
        <x:v>0</x:v>
      </x:c>
      <x:c r="AA154" s="111" t="n">
        <x:f>IFERROR(VLOOKUP($A154,'Jason FLEX'!$A$6:$N$268,9,FALSE),"")</x:f>
        <x:v>0</x:v>
      </x:c>
      <x:c r="AB154" s="111" t="n">
        <x:f>IFERROR(VLOOKUP($A154,'Jason FLEX'!$A$6:$N$268,10,FALSE),"")</x:f>
        <x:v>46</x:v>
      </x:c>
      <x:c r="AC154" s="111" t="n">
        <x:f>IFERROR(VLOOKUP($A154,'Jason FLEX'!$A$6:$N$268,11,FALSE),"")</x:f>
        <x:v>550</x:v>
      </x:c>
      <x:c r="AD154" s="111" t="n">
        <x:f>IFERROR(VLOOKUP($A154,'Jason FLEX'!$A$6:$N$268,12,FALSE),"")</x:f>
        <x:v>4</x:v>
      </x:c>
      <x:c r="AE154" s="111" t="n">
        <x:f>IFERROR(VLOOKUP($A154,'Jason FLEX'!$A$6:$N$268,13,FALSE),"")</x:f>
        <x:v>0</x:v>
      </x:c>
      <x:c r="AF154" s="110" t="n">
        <x:f>IF(COUNT(E154,N154,W154)=0,"",AVERAGE(E154,N154,W154))</x:f>
        <x:v>155.33333333333334</x:v>
      </x:c>
      <x:c r="AG154" s="110" t="n">
        <x:f>IF(COUNT(E154,N154,W154)=0,"",MAX(E154,N154,W154)-MIN(E154,N154,W154))</x:f>
        <x:v>28</x:v>
      </x:c>
      <x:c r="AH154" s="110" t="n">
        <x:f>IF(COUNT(F154,O154,X154)=0,"",AVERAGE(F154,O154,X154))</x:f>
        <x:v>6.466666666666666</x:v>
      </x:c>
      <x:c r="AI154" s="112" t="n">
        <x:f>IF(COUNT(G154,P154,Y154)=0,"",AVERAGE(G154,P154,Y154))</x:f>
        <x:v>4.333333333333333</x:v>
      </x:c>
      <x:c r="AJ154" s="112" t="n">
        <x:f>IF(COUNT(H154,Q154,Z154)=0,"",AVERAGE(H154,Q154,Z154))</x:f>
        <x:v>28.333333333333332</x:v>
      </x:c>
      <x:c r="AK154" s="112" t="n">
        <x:f>IF(COUNT(I154,R154,AA154)=0,"",AVERAGE(I154,R154,AA154))</x:f>
        <x:v>0</x:v>
      </x:c>
      <x:c r="AL154" s="112" t="n">
        <x:f>IF(COUNT(J154,S154,AB154)=0,"",AVERAGE(J154,S154,AB154))</x:f>
        <x:v>38</x:v>
      </x:c>
      <x:c r="AM154" s="112" t="n">
        <x:f>IF(COUNT(K154,T154,AC154)=0,"",AVERAGE(K154,T154,AC154))</x:f>
        <x:v>479.3333333333333</x:v>
      </x:c>
      <x:c r="AN154" s="112" t="n">
        <x:f>IF(COUNT(L154,U154,AD154)=0,"",AVERAGE(L154,U154,AD154))</x:f>
        <x:v>3.6666666666666665</x:v>
      </x:c>
      <x:c r="AO154" s="112" t="n">
        <x:f>IF(COUNT(M154,V154,AE154)=0,"",AVERAGE(M154,V154,AE154))</x:f>
        <x:v>0</x:v>
      </x:c>
    </x:row>
    <x:row r="155">
      <x:c r="A155" s="107" t="str">
        <x:v>Calvin Ridley</x:v>
      </x:c>
      <x:c r="B155" s="108" t="str">
        <x:v>WR</x:v>
      </x:c>
      <x:c r="C155" s="108" t="str">
        <x:v>TEN</x:v>
      </x:c>
      <x:c r="D155" s="109" t="n">
        <x:v>9</x:v>
      </x:c>
      <x:c r="E155" s="109" t="n">
        <x:f>IFERROR(VLOOKUP($A155,'Mike FLEX'!$A$6:$N$278,5,FALSE),"")</x:f>
        <x:v>143</x:v>
      </x:c>
      <x:c r="F155" s="110" t="n">
        <x:f>IFERROR(VLOOKUP($A155,'Mike FLEX'!$A$6:$N$278,6,FALSE),"")</x:f>
        <x:v>6.8</x:v>
      </x:c>
      <x:c r="G155" s="111" t="n">
        <x:f>IFERROR(VLOOKUP($A155,'Mike FLEX'!$A$6:$N$278,7,FALSE),"")</x:f>
        <x:v>4</x:v>
      </x:c>
      <x:c r="H155" s="111" t="n">
        <x:f>IFERROR(VLOOKUP($A155,'Mike FLEX'!$A$6:$N$278,8,FALSE),"")</x:f>
        <x:v>20</x:v>
      </x:c>
      <x:c r="I155" s="111" t="n">
        <x:f>IFERROR(VLOOKUP($A155,'Mike FLEX'!$A$6:$N$278,9,FALSE),"")</x:f>
        <x:v>0</x:v>
      </x:c>
      <x:c r="J155" s="111" t="n">
        <x:f>IFERROR(VLOOKUP($A155,'Mike FLEX'!$A$6:$N$278,10,FALSE),"")</x:f>
        <x:v>36</x:v>
      </x:c>
      <x:c r="K155" s="111" t="n">
        <x:f>IFERROR(VLOOKUP($A155,'Mike FLEX'!$A$6:$N$278,11,FALSE),"")</x:f>
        <x:v>535</x:v>
      </x:c>
      <x:c r="L155" s="111" t="n">
        <x:f>IFERROR(VLOOKUP($A155,'Mike FLEX'!$A$6:$N$278,12,FALSE),"")</x:f>
        <x:v>4</x:v>
      </x:c>
      <x:c r="M155" s="111" t="n">
        <x:f>IFERROR(VLOOKUP($A155,'Mike FLEX'!$A$6:$N$278,13,FALSE),"")</x:f>
        <x:v>0</x:v>
      </x:c>
      <x:c r="N155" s="109" t="n">
        <x:f>IFERROR(VLOOKUP($A155,'Andy FLEX'!$A$6:$N$278,5,FALSE),"")</x:f>
        <x:v>156</x:v>
      </x:c>
      <x:c r="O155" s="110" t="n">
        <x:f>IFERROR(VLOOKUP($A155,'Andy FLEX'!$A$6:$N$278,6,FALSE),"")</x:f>
        <x:v>6.2</x:v>
      </x:c>
      <x:c r="P155" s="111" t="n">
        <x:f>IFERROR(VLOOKUP($A155,'Andy FLEX'!$A$6:$N$278,7,FALSE),"")</x:f>
        <x:v>2</x:v>
      </x:c>
      <x:c r="Q155" s="111" t="n">
        <x:f>IFERROR(VLOOKUP($A155,'Andy FLEX'!$A$6:$N$278,8,FALSE),"")</x:f>
        <x:v>10</x:v>
      </x:c>
      <x:c r="R155" s="111" t="n">
        <x:f>IFERROR(VLOOKUP($A155,'Andy FLEX'!$A$6:$N$278,9,FALSE),"")</x:f>
        <x:v>0</x:v>
      </x:c>
      <x:c r="S155" s="111" t="n">
        <x:f>IFERROR(VLOOKUP($A155,'Andy FLEX'!$A$6:$N$278,10,FALSE),"")</x:f>
        <x:v>39</x:v>
      </x:c>
      <x:c r="T155" s="111" t="n">
        <x:f>IFERROR(VLOOKUP($A155,'Andy FLEX'!$A$6:$N$278,11,FALSE),"")</x:f>
        <x:v>493</x:v>
      </x:c>
      <x:c r="U155" s="111" t="n">
        <x:f>IFERROR(VLOOKUP($A155,'Andy FLEX'!$A$6:$N$278,12,FALSE),"")</x:f>
        <x:v>3</x:v>
      </x:c>
      <x:c r="V155" s="111" t="n">
        <x:f>IFERROR(VLOOKUP($A155,'Andy FLEX'!$A$6:$N$278,13,FALSE),"")</x:f>
        <x:v>1</x:v>
      </x:c>
      <x:c r="W155" s="109" t="n">
        <x:f>IFERROR(VLOOKUP($A155,'Jason FLEX'!$A$6:$N$268,5,FALSE),"")</x:f>
        <x:v>168</x:v>
      </x:c>
      <x:c r="X155" s="110" t="n">
        <x:f>IFERROR(VLOOKUP($A155,'Jason FLEX'!$A$6:$N$268,6,FALSE),"")</x:f>
        <x:v>6.2</x:v>
      </x:c>
      <x:c r="Y155" s="111" t="n">
        <x:f>IFERROR(VLOOKUP($A155,'Jason FLEX'!$A$6:$N$268,7,FALSE),"")</x:f>
        <x:v>0</x:v>
      </x:c>
      <x:c r="Z155" s="111" t="n">
        <x:f>IFERROR(VLOOKUP($A155,'Jason FLEX'!$A$6:$N$268,8,FALSE),"")</x:f>
        <x:v>0</x:v>
      </x:c>
      <x:c r="AA155" s="111" t="n">
        <x:f>IFERROR(VLOOKUP($A155,'Jason FLEX'!$A$6:$N$268,9,FALSE),"")</x:f>
        <x:v>0</x:v>
      </x:c>
      <x:c r="AB155" s="111" t="n">
        <x:f>IFERROR(VLOOKUP($A155,'Jason FLEX'!$A$6:$N$268,10,FALSE),"")</x:f>
        <x:v>37</x:v>
      </x:c>
      <x:c r="AC155" s="111" t="n">
        <x:f>IFERROR(VLOOKUP($A155,'Jason FLEX'!$A$6:$N$268,11,FALSE),"")</x:f>
        <x:v>481</x:v>
      </x:c>
      <x:c r="AD155" s="111" t="n">
        <x:f>IFERROR(VLOOKUP($A155,'Jason FLEX'!$A$6:$N$268,12,FALSE),"")</x:f>
        <x:v>3</x:v>
      </x:c>
      <x:c r="AE155" s="111" t="n">
        <x:f>IFERROR(VLOOKUP($A155,'Jason FLEX'!$A$6:$N$268,13,FALSE),"")</x:f>
        <x:v>0</x:v>
      </x:c>
      <x:c r="AF155" s="110" t="n">
        <x:f>IF(COUNT(E155,N155,W155)=0,"",AVERAGE(E155,N155,W155))</x:f>
        <x:v>155.66666666666666</x:v>
      </x:c>
      <x:c r="AG155" s="110" t="n">
        <x:f>IF(COUNT(E155,N155,W155)=0,"",MAX(E155,N155,W155)-MIN(E155,N155,W155))</x:f>
        <x:v>25</x:v>
      </x:c>
      <x:c r="AH155" s="110" t="n">
        <x:f>IF(COUNT(F155,O155,X155)=0,"",AVERAGE(F155,O155,X155))</x:f>
        <x:v>6.3999999999999995</x:v>
      </x:c>
      <x:c r="AI155" s="112" t="n">
        <x:f>IF(COUNT(G155,P155,Y155)=0,"",AVERAGE(G155,P155,Y155))</x:f>
        <x:v>2</x:v>
      </x:c>
      <x:c r="AJ155" s="112" t="n">
        <x:f>IF(COUNT(H155,Q155,Z155)=0,"",AVERAGE(H155,Q155,Z155))</x:f>
        <x:v>10</x:v>
      </x:c>
      <x:c r="AK155" s="112" t="n">
        <x:f>IF(COUNT(I155,R155,AA155)=0,"",AVERAGE(I155,R155,AA155))</x:f>
        <x:v>0</x:v>
      </x:c>
      <x:c r="AL155" s="112" t="n">
        <x:f>IF(COUNT(J155,S155,AB155)=0,"",AVERAGE(J155,S155,AB155))</x:f>
        <x:v>37.333333333333336</x:v>
      </x:c>
      <x:c r="AM155" s="112" t="n">
        <x:f>IF(COUNT(K155,T155,AC155)=0,"",AVERAGE(K155,T155,AC155))</x:f>
        <x:v>503</x:v>
      </x:c>
      <x:c r="AN155" s="112" t="n">
        <x:f>IF(COUNT(L155,U155,AD155)=0,"",AVERAGE(L155,U155,AD155))</x:f>
        <x:v>3.3333333333333335</x:v>
      </x:c>
      <x:c r="AO155" s="112" t="n">
        <x:f>IF(COUNT(M155,V155,AE155)=0,"",AVERAGE(M155,V155,AE155))</x:f>
        <x:v>0.3333333333333333</x:v>
      </x:c>
    </x:row>
    <x:row r="156">
      <x:c r="A156" s="107" t="str">
        <x:v>Kyle Williams</x:v>
      </x:c>
      <x:c r="B156" s="108" t="str">
        <x:v>WR</x:v>
      </x:c>
      <x:c r="C156" s="108" t="str">
        <x:v>NE</x:v>
      </x:c>
      <x:c r="D156" s="109" t="n">
        <x:v>11</x:v>
      </x:c>
      <x:c r="E156" s="109" t="n">
        <x:f>IFERROR(VLOOKUP($A156,'Mike FLEX'!$A$6:$N$278,5,FALSE),"")</x:f>
        <x:v>151</x:v>
      </x:c>
      <x:c r="F156" s="110" t="n">
        <x:f>IFERROR(VLOOKUP($A156,'Mike FLEX'!$A$6:$N$278,6,FALSE),"")</x:f>
        <x:v>6.6</x:v>
      </x:c>
      <x:c r="G156" s="111" t="n">
        <x:f>IFERROR(VLOOKUP($A156,'Mike FLEX'!$A$6:$N$278,7,FALSE),"")</x:f>
        <x:v>2</x:v>
      </x:c>
      <x:c r="H156" s="111" t="n">
        <x:f>IFERROR(VLOOKUP($A156,'Mike FLEX'!$A$6:$N$278,8,FALSE),"")</x:f>
        <x:v>3</x:v>
      </x:c>
      <x:c r="I156" s="111" t="n">
        <x:f>IFERROR(VLOOKUP($A156,'Mike FLEX'!$A$6:$N$278,9,FALSE),"")</x:f>
        <x:v>0</x:v>
      </x:c>
      <x:c r="J156" s="111" t="n">
        <x:f>IFERROR(VLOOKUP($A156,'Mike FLEX'!$A$6:$N$278,10,FALSE),"")</x:f>
        <x:v>35</x:v>
      </x:c>
      <x:c r="K156" s="111" t="n">
        <x:f>IFERROR(VLOOKUP($A156,'Mike FLEX'!$A$6:$N$278,11,FALSE),"")</x:f>
        <x:v>529</x:v>
      </x:c>
      <x:c r="L156" s="111" t="n">
        <x:f>IFERROR(VLOOKUP($A156,'Mike FLEX'!$A$6:$N$278,12,FALSE),"")</x:f>
        <x:v>4</x:v>
      </x:c>
      <x:c r="M156" s="111" t="n">
        <x:f>IFERROR(VLOOKUP($A156,'Mike FLEX'!$A$6:$N$278,13,FALSE),"")</x:f>
        <x:v>0</x:v>
      </x:c>
      <x:c r="N156" s="109" t="n">
        <x:f>IFERROR(VLOOKUP($A156,'Andy FLEX'!$A$6:$N$278,5,FALSE),"")</x:f>
        <x:v>148</x:v>
      </x:c>
      <x:c r="O156" s="110" t="n">
        <x:f>IFERROR(VLOOKUP($A156,'Andy FLEX'!$A$6:$N$278,6,FALSE),"")</x:f>
        <x:v>6.6</x:v>
      </x:c>
      <x:c r="P156" s="111" t="n">
        <x:f>IFERROR(VLOOKUP($A156,'Andy FLEX'!$A$6:$N$278,7,FALSE),"")</x:f>
        <x:v>6</x:v>
      </x:c>
      <x:c r="Q156" s="111" t="n">
        <x:f>IFERROR(VLOOKUP($A156,'Andy FLEX'!$A$6:$N$278,8,FALSE),"")</x:f>
        <x:v>27</x:v>
      </x:c>
      <x:c r="R156" s="111" t="n">
        <x:f>IFERROR(VLOOKUP($A156,'Andy FLEX'!$A$6:$N$278,9,FALSE),"")</x:f>
        <x:v>0</x:v>
      </x:c>
      <x:c r="S156" s="111" t="n">
        <x:f>IFERROR(VLOOKUP($A156,'Andy FLEX'!$A$6:$N$278,10,FALSE),"")</x:f>
        <x:v>45</x:v>
      </x:c>
      <x:c r="T156" s="111" t="n">
        <x:f>IFERROR(VLOOKUP($A156,'Andy FLEX'!$A$6:$N$278,11,FALSE),"")</x:f>
        <x:v>546</x:v>
      </x:c>
      <x:c r="U156" s="111" t="n">
        <x:f>IFERROR(VLOOKUP($A156,'Andy FLEX'!$A$6:$N$278,12,FALSE),"")</x:f>
        <x:v>2</x:v>
      </x:c>
      <x:c r="V156" s="111" t="n">
        <x:f>IFERROR(VLOOKUP($A156,'Andy FLEX'!$A$6:$N$278,13,FALSE),"")</x:f>
        <x:v>0</x:v>
      </x:c>
      <x:c r="W156" s="109" t="n">
        <x:f>IFERROR(VLOOKUP($A156,'Jason FLEX'!$A$6:$N$268,5,FALSE),"")</x:f>
        <x:v>174</x:v>
      </x:c>
      <x:c r="X156" s="110" t="n">
        <x:f>IFERROR(VLOOKUP($A156,'Jason FLEX'!$A$6:$N$268,6,FALSE),"")</x:f>
        <x:v>6</x:v>
      </x:c>
      <x:c r="Y156" s="111" t="n">
        <x:f>IFERROR(VLOOKUP($A156,'Jason FLEX'!$A$6:$N$268,7,FALSE),"")</x:f>
        <x:v>5</x:v>
      </x:c>
      <x:c r="Z156" s="111" t="n">
        <x:f>IFERROR(VLOOKUP($A156,'Jason FLEX'!$A$6:$N$268,8,FALSE),"")</x:f>
        <x:v>20</x:v>
      </x:c>
      <x:c r="AA156" s="111" t="n">
        <x:f>IFERROR(VLOOKUP($A156,'Jason FLEX'!$A$6:$N$268,9,FALSE),"")</x:f>
        <x:v>1</x:v>
      </x:c>
      <x:c r="AB156" s="111" t="n">
        <x:f>IFERROR(VLOOKUP($A156,'Jason FLEX'!$A$6:$N$268,10,FALSE),"")</x:f>
        <x:v>30</x:v>
      </x:c>
      <x:c r="AC156" s="111" t="n">
        <x:f>IFERROR(VLOOKUP($A156,'Jason FLEX'!$A$6:$N$268,11,FALSE),"")</x:f>
        <x:v>495</x:v>
      </x:c>
      <x:c r="AD156" s="111" t="n">
        <x:f>IFERROR(VLOOKUP($A156,'Jason FLEX'!$A$6:$N$268,12,FALSE),"")</x:f>
        <x:v>3</x:v>
      </x:c>
      <x:c r="AE156" s="111" t="n">
        <x:f>IFERROR(VLOOKUP($A156,'Jason FLEX'!$A$6:$N$268,13,FALSE),"")</x:f>
        <x:v>0</x:v>
      </x:c>
      <x:c r="AF156" s="110" t="n">
        <x:f>IF(COUNT(E156,N156,W156)=0,"",AVERAGE(E156,N156,W156))</x:f>
        <x:v>157.66666666666666</x:v>
      </x:c>
      <x:c r="AG156" s="110" t="n">
        <x:f>IF(COUNT(E156,N156,W156)=0,"",MAX(E156,N156,W156)-MIN(E156,N156,W156))</x:f>
        <x:v>26</x:v>
      </x:c>
      <x:c r="AH156" s="110" t="n">
        <x:f>IF(COUNT(F156,O156,X156)=0,"",AVERAGE(F156,O156,X156))</x:f>
        <x:v>6.3999999999999995</x:v>
      </x:c>
      <x:c r="AI156" s="112" t="n">
        <x:f>IF(COUNT(G156,P156,Y156)=0,"",AVERAGE(G156,P156,Y156))</x:f>
        <x:v>4.333333333333333</x:v>
      </x:c>
      <x:c r="AJ156" s="112" t="n">
        <x:f>IF(COUNT(H156,Q156,Z156)=0,"",AVERAGE(H156,Q156,Z156))</x:f>
        <x:v>16.666666666666668</x:v>
      </x:c>
      <x:c r="AK156" s="112" t="n">
        <x:f>IF(COUNT(I156,R156,AA156)=0,"",AVERAGE(I156,R156,AA156))</x:f>
        <x:v>0.3333333333333333</x:v>
      </x:c>
      <x:c r="AL156" s="112" t="n">
        <x:f>IF(COUNT(J156,S156,AB156)=0,"",AVERAGE(J156,S156,AB156))</x:f>
        <x:v>36.666666666666664</x:v>
      </x:c>
      <x:c r="AM156" s="112" t="n">
        <x:f>IF(COUNT(K156,T156,AC156)=0,"",AVERAGE(K156,T156,AC156))</x:f>
        <x:v>523.3333333333334</x:v>
      </x:c>
      <x:c r="AN156" s="112" t="n">
        <x:f>IF(COUNT(L156,U156,AD156)=0,"",AVERAGE(L156,U156,AD156))</x:f>
        <x:v>3</x:v>
      </x:c>
      <x:c r="AO156" s="112" t="n">
        <x:f>IF(COUNT(M156,V156,AE156)=0,"",AVERAGE(M156,V156,AE156))</x:f>
        <x:v>0</x:v>
      </x:c>
    </x:row>
    <x:row r="157">
      <x:c r="A157" s="107" t="str">
        <x:v>Dylan Sampson</x:v>
      </x:c>
      <x:c r="B157" s="108" t="str">
        <x:v>RB</x:v>
      </x:c>
      <x:c r="C157" s="108" t="str">
        <x:v>CLE</x:v>
      </x:c>
      <x:c r="D157" s="109" t="n">
        <x:v>11</x:v>
      </x:c>
      <x:c r="E157" s="109" t="n">
        <x:f>IFERROR(VLOOKUP($A157,'Mike FLEX'!$A$6:$N$278,5,FALSE),"")</x:f>
        <x:v>164</x:v>
      </x:c>
      <x:c r="F157" s="110" t="n">
        <x:f>IFERROR(VLOOKUP($A157,'Mike FLEX'!$A$6:$N$278,6,FALSE),"")</x:f>
        <x:v>5.8</x:v>
      </x:c>
      <x:c r="G157" s="111" t="n">
        <x:f>IFERROR(VLOOKUP($A157,'Mike FLEX'!$A$6:$N$278,7,FALSE),"")</x:f>
        <x:v>61</x:v>
      </x:c>
      <x:c r="H157" s="111" t="n">
        <x:f>IFERROR(VLOOKUP($A157,'Mike FLEX'!$A$6:$N$278,8,FALSE),"")</x:f>
        <x:v>182</x:v>
      </x:c>
      <x:c r="I157" s="111" t="n">
        <x:f>IFERROR(VLOOKUP($A157,'Mike FLEX'!$A$6:$N$278,9,FALSE),"")</x:f>
        <x:v>1</x:v>
      </x:c>
      <x:c r="J157" s="111" t="n">
        <x:f>IFERROR(VLOOKUP($A157,'Mike FLEX'!$A$6:$N$278,10,FALSE),"")</x:f>
        <x:v>36</x:v>
      </x:c>
      <x:c r="K157" s="111" t="n">
        <x:f>IFERROR(VLOOKUP($A157,'Mike FLEX'!$A$6:$N$278,11,FALSE),"")</x:f>
        <x:v>289</x:v>
      </x:c>
      <x:c r="L157" s="111" t="n">
        <x:f>IFERROR(VLOOKUP($A157,'Mike FLEX'!$A$6:$N$278,12,FALSE),"")</x:f>
        <x:v>2</x:v>
      </x:c>
      <x:c r="M157" s="111" t="n">
        <x:f>IFERROR(VLOOKUP($A157,'Mike FLEX'!$A$6:$N$278,13,FALSE),"")</x:f>
        <x:v>1</x:v>
      </x:c>
      <x:c r="N157" s="109" t="n">
        <x:f>IFERROR(VLOOKUP($A157,'Andy FLEX'!$A$6:$N$278,5,FALSE),"")</x:f>
        <x:v>165</x:v>
      </x:c>
      <x:c r="O157" s="110" t="n">
        <x:f>IFERROR(VLOOKUP($A157,'Andy FLEX'!$A$6:$N$278,6,FALSE),"")</x:f>
        <x:v>5.9</x:v>
      </x:c>
      <x:c r="P157" s="111" t="n">
        <x:f>IFERROR(VLOOKUP($A157,'Andy FLEX'!$A$6:$N$278,7,FALSE),"")</x:f>
        <x:v>88</x:v>
      </x:c>
      <x:c r="Q157" s="111" t="n">
        <x:f>IFERROR(VLOOKUP($A157,'Andy FLEX'!$A$6:$N$278,8,FALSE),"")</x:f>
        <x:v>239</x:v>
      </x:c>
      <x:c r="R157" s="111" t="n">
        <x:f>IFERROR(VLOOKUP($A157,'Andy FLEX'!$A$6:$N$278,9,FALSE),"")</x:f>
        <x:v>1</x:v>
      </x:c>
      <x:c r="S157" s="111" t="n">
        <x:f>IFERROR(VLOOKUP($A157,'Andy FLEX'!$A$6:$N$278,10,FALSE),"")</x:f>
        <x:v>35</x:v>
      </x:c>
      <x:c r="T157" s="111" t="n">
        <x:f>IFERROR(VLOOKUP($A157,'Andy FLEX'!$A$6:$N$278,11,FALSE),"")</x:f>
        <x:v>285</x:v>
      </x:c>
      <x:c r="U157" s="111" t="n">
        <x:f>IFERROR(VLOOKUP($A157,'Andy FLEX'!$A$6:$N$278,12,FALSE),"")</x:f>
        <x:v>2</x:v>
      </x:c>
      <x:c r="V157" s="111" t="n">
        <x:f>IFERROR(VLOOKUP($A157,'Andy FLEX'!$A$6:$N$278,13,FALSE),"")</x:f>
        <x:v>1</x:v>
      </x:c>
      <x:c r="W157" s="109" t="n">
        <x:f>IFERROR(VLOOKUP($A157,'Jason FLEX'!$A$6:$N$268,5,FALSE),"")</x:f>
        <x:v>145</x:v>
      </x:c>
      <x:c r="X157" s="110" t="n">
        <x:f>IFERROR(VLOOKUP($A157,'Jason FLEX'!$A$6:$N$268,6,FALSE),"")</x:f>
        <x:v>7</x:v>
      </x:c>
      <x:c r="Y157" s="111" t="n">
        <x:f>IFERROR(VLOOKUP($A157,'Jason FLEX'!$A$6:$N$268,7,FALSE),"")</x:f>
        <x:v>116</x:v>
      </x:c>
      <x:c r="Z157" s="111" t="n">
        <x:f>IFERROR(VLOOKUP($A157,'Jason FLEX'!$A$6:$N$268,8,FALSE),"")</x:f>
        <x:v>505</x:v>
      </x:c>
      <x:c r="AA157" s="111" t="n">
        <x:f>IFERROR(VLOOKUP($A157,'Jason FLEX'!$A$6:$N$268,9,FALSE),"")</x:f>
        <x:v>3</x:v>
      </x:c>
      <x:c r="AB157" s="111" t="n">
        <x:f>IFERROR(VLOOKUP($A157,'Jason FLEX'!$A$6:$N$268,10,FALSE),"")</x:f>
        <x:v>27</x:v>
      </x:c>
      <x:c r="AC157" s="111" t="n">
        <x:f>IFERROR(VLOOKUP($A157,'Jason FLEX'!$A$6:$N$268,11,FALSE),"")</x:f>
        <x:v>211</x:v>
      </x:c>
      <x:c r="AD157" s="111" t="n">
        <x:f>IFERROR(VLOOKUP($A157,'Jason FLEX'!$A$6:$N$268,12,FALSE),"")</x:f>
        <x:v>1</x:v>
      </x:c>
      <x:c r="AE157" s="111" t="n">
        <x:f>IFERROR(VLOOKUP($A157,'Jason FLEX'!$A$6:$N$268,13,FALSE),"")</x:f>
        <x:v>1</x:v>
      </x:c>
      <x:c r="AF157" s="110" t="n">
        <x:f>IF(COUNT(E157,N157,W157)=0,"",AVERAGE(E157,N157,W157))</x:f>
        <x:v>158</x:v>
      </x:c>
      <x:c r="AG157" s="110" t="n">
        <x:f>IF(COUNT(E157,N157,W157)=0,"",MAX(E157,N157,W157)-MIN(E157,N157,W157))</x:f>
        <x:v>20</x:v>
      </x:c>
      <x:c r="AH157" s="110" t="n">
        <x:f>IF(COUNT(F157,O157,X157)=0,"",AVERAGE(F157,O157,X157))</x:f>
        <x:v>6.233333333333333</x:v>
      </x:c>
      <x:c r="AI157" s="112" t="n">
        <x:f>IF(COUNT(G157,P157,Y157)=0,"",AVERAGE(G157,P157,Y157))</x:f>
        <x:v>88.33333333333333</x:v>
      </x:c>
      <x:c r="AJ157" s="112" t="n">
        <x:f>IF(COUNT(H157,Q157,Z157)=0,"",AVERAGE(H157,Q157,Z157))</x:f>
        <x:v>308.6666666666667</x:v>
      </x:c>
      <x:c r="AK157" s="112" t="n">
        <x:f>IF(COUNT(I157,R157,AA157)=0,"",AVERAGE(I157,R157,AA157))</x:f>
        <x:v>1.6666666666666667</x:v>
      </x:c>
      <x:c r="AL157" s="112" t="n">
        <x:f>IF(COUNT(J157,S157,AB157)=0,"",AVERAGE(J157,S157,AB157))</x:f>
        <x:v>32.666666666666664</x:v>
      </x:c>
      <x:c r="AM157" s="112" t="n">
        <x:f>IF(COUNT(K157,T157,AC157)=0,"",AVERAGE(K157,T157,AC157))</x:f>
        <x:v>261.6666666666667</x:v>
      </x:c>
      <x:c r="AN157" s="112" t="n">
        <x:f>IF(COUNT(L157,U157,AD157)=0,"",AVERAGE(L157,U157,AD157))</x:f>
        <x:v>1.6666666666666667</x:v>
      </x:c>
      <x:c r="AO157" s="112" t="n">
        <x:f>IF(COUNT(M157,V157,AE157)=0,"",AVERAGE(M157,V157,AE157))</x:f>
        <x:v>1</x:v>
      </x:c>
    </x:row>
    <x:row r="158">
      <x:c r="A158" s="107" t="str">
        <x:v>Tyler Allgeier</x:v>
      </x:c>
      <x:c r="B158" s="108" t="str">
        <x:v>RB</x:v>
      </x:c>
      <x:c r="C158" s="108" t="str">
        <x:v>ARI</x:v>
      </x:c>
      <x:c r="D158" s="109" t="n">
        <x:v>14</x:v>
      </x:c>
      <x:c r="E158" s="109" t="n">
        <x:f>IFERROR(VLOOKUP($A158,'Mike FLEX'!$A$6:$N$278,5,FALSE),"")</x:f>
        <x:v>132</x:v>
      </x:c>
      <x:c r="F158" s="110" t="n">
        <x:f>IFERROR(VLOOKUP($A158,'Mike FLEX'!$A$6:$N$278,6,FALSE),"")</x:f>
        <x:v>7.2</x:v>
      </x:c>
      <x:c r="G158" s="111" t="n">
        <x:f>IFERROR(VLOOKUP($A158,'Mike FLEX'!$A$6:$N$278,7,FALSE),"")</x:f>
        <x:v>139</x:v>
      </x:c>
      <x:c r="H158" s="111" t="n">
        <x:f>IFERROR(VLOOKUP($A158,'Mike FLEX'!$A$6:$N$278,8,FALSE),"")</x:f>
        <x:v>582</x:v>
      </x:c>
      <x:c r="I158" s="111" t="n">
        <x:f>IFERROR(VLOOKUP($A158,'Mike FLEX'!$A$6:$N$278,9,FALSE),"")</x:f>
        <x:v>4</x:v>
      </x:c>
      <x:c r="J158" s="111" t="n">
        <x:f>IFERROR(VLOOKUP($A158,'Mike FLEX'!$A$6:$N$278,10,FALSE),"")</x:f>
        <x:v>23</x:v>
      </x:c>
      <x:c r="K158" s="111" t="n">
        <x:f>IFERROR(VLOOKUP($A158,'Mike FLEX'!$A$6:$N$278,11,FALSE),"")</x:f>
        <x:v>147</x:v>
      </x:c>
      <x:c r="L158" s="111" t="n">
        <x:f>IFERROR(VLOOKUP($A158,'Mike FLEX'!$A$6:$N$278,12,FALSE),"")</x:f>
        <x:v>1</x:v>
      </x:c>
      <x:c r="M158" s="111" t="n">
        <x:f>IFERROR(VLOOKUP($A158,'Mike FLEX'!$A$6:$N$278,13,FALSE),"")</x:f>
        <x:v>0</x:v>
      </x:c>
      <x:c r="N158" s="109" t="n">
        <x:f>IFERROR(VLOOKUP($A158,'Andy FLEX'!$A$6:$N$278,5,FALSE),"")</x:f>
        <x:v>160</x:v>
      </x:c>
      <x:c r="O158" s="110" t="n">
        <x:f>IFERROR(VLOOKUP($A158,'Andy FLEX'!$A$6:$N$278,6,FALSE),"")</x:f>
        <x:v>6.1</x:v>
      </x:c>
      <x:c r="P158" s="111" t="n">
        <x:f>IFERROR(VLOOKUP($A158,'Andy FLEX'!$A$6:$N$278,7,FALSE),"")</x:f>
        <x:v>139</x:v>
      </x:c>
      <x:c r="Q158" s="111" t="n">
        <x:f>IFERROR(VLOOKUP($A158,'Andy FLEX'!$A$6:$N$278,8,FALSE),"")</x:f>
        <x:v>477</x:v>
      </x:c>
      <x:c r="R158" s="111" t="n">
        <x:f>IFERROR(VLOOKUP($A158,'Andy FLEX'!$A$6:$N$278,9,FALSE),"")</x:f>
        <x:v>5</x:v>
      </x:c>
      <x:c r="S158" s="111" t="n">
        <x:f>IFERROR(VLOOKUP($A158,'Andy FLEX'!$A$6:$N$278,10,FALSE),"")</x:f>
        <x:v>17</x:v>
      </x:c>
      <x:c r="T158" s="111" t="n">
        <x:f>IFERROR(VLOOKUP($A158,'Andy FLEX'!$A$6:$N$278,11,FALSE),"")</x:f>
        <x:v>95</x:v>
      </x:c>
      <x:c r="U158" s="111" t="n">
        <x:f>IFERROR(VLOOKUP($A158,'Andy FLEX'!$A$6:$N$278,12,FALSE),"")</x:f>
        <x:v>0</x:v>
      </x:c>
      <x:c r="V158" s="111" t="n">
        <x:f>IFERROR(VLOOKUP($A158,'Andy FLEX'!$A$6:$N$278,13,FALSE),"")</x:f>
        <x:v>0</x:v>
      </x:c>
      <x:c r="W158" s="109" t="n">
        <x:f>IFERROR(VLOOKUP($A158,'Jason FLEX'!$A$6:$N$268,5,FALSE),"")</x:f>
        <x:v>182</x:v>
      </x:c>
      <x:c r="X158" s="110" t="n">
        <x:f>IFERROR(VLOOKUP($A158,'Jason FLEX'!$A$6:$N$268,6,FALSE),"")</x:f>
        <x:v>5.5</x:v>
      </x:c>
      <x:c r="Y158" s="111" t="n">
        <x:f>IFERROR(VLOOKUP($A158,'Jason FLEX'!$A$6:$N$268,7,FALSE),"")</x:f>
        <x:v>110</x:v>
      </x:c>
      <x:c r="Z158" s="111" t="n">
        <x:f>IFERROR(VLOOKUP($A158,'Jason FLEX'!$A$6:$N$268,8,FALSE),"")</x:f>
        <x:v>446</x:v>
      </x:c>
      <x:c r="AA158" s="111" t="n">
        <x:f>IFERROR(VLOOKUP($A158,'Jason FLEX'!$A$6:$N$268,9,FALSE),"")</x:f>
        <x:v>4</x:v>
      </x:c>
      <x:c r="AB158" s="111" t="n">
        <x:f>IFERROR(VLOOKUP($A158,'Jason FLEX'!$A$6:$N$268,10,FALSE),"")</x:f>
        <x:v>13</x:v>
      </x:c>
      <x:c r="AC158" s="111" t="n">
        <x:f>IFERROR(VLOOKUP($A158,'Jason FLEX'!$A$6:$N$268,11,FALSE),"")</x:f>
        <x:v>94</x:v>
      </x:c>
      <x:c r="AD158" s="111" t="n">
        <x:f>IFERROR(VLOOKUP($A158,'Jason FLEX'!$A$6:$N$268,12,FALSE),"")</x:f>
        <x:v>0</x:v>
      </x:c>
      <x:c r="AE158" s="111" t="n">
        <x:f>IFERROR(VLOOKUP($A158,'Jason FLEX'!$A$6:$N$268,13,FALSE),"")</x:f>
        <x:v>0</x:v>
      </x:c>
      <x:c r="AF158" s="110" t="n">
        <x:f>IF(COUNT(E158,N158,W158)=0,"",AVERAGE(E158,N158,W158))</x:f>
        <x:v>158</x:v>
      </x:c>
      <x:c r="AG158" s="110" t="n">
        <x:f>IF(COUNT(E158,N158,W158)=0,"",MAX(E158,N158,W158)-MIN(E158,N158,W158))</x:f>
        <x:v>50</x:v>
      </x:c>
      <x:c r="AH158" s="110" t="n">
        <x:f>IF(COUNT(F158,O158,X158)=0,"",AVERAGE(F158,O158,X158))</x:f>
        <x:v>6.266666666666667</x:v>
      </x:c>
      <x:c r="AI158" s="112" t="n">
        <x:f>IF(COUNT(G158,P158,Y158)=0,"",AVERAGE(G158,P158,Y158))</x:f>
        <x:v>129.33333333333334</x:v>
      </x:c>
      <x:c r="AJ158" s="112" t="n">
        <x:f>IF(COUNT(H158,Q158,Z158)=0,"",AVERAGE(H158,Q158,Z158))</x:f>
        <x:v>501.6666666666667</x:v>
      </x:c>
      <x:c r="AK158" s="112" t="n">
        <x:f>IF(COUNT(I158,R158,AA158)=0,"",AVERAGE(I158,R158,AA158))</x:f>
        <x:v>4.333333333333333</x:v>
      </x:c>
      <x:c r="AL158" s="112" t="n">
        <x:f>IF(COUNT(J158,S158,AB158)=0,"",AVERAGE(J158,S158,AB158))</x:f>
        <x:v>17.666666666666668</x:v>
      </x:c>
      <x:c r="AM158" s="112" t="n">
        <x:f>IF(COUNT(K158,T158,AC158)=0,"",AVERAGE(K158,T158,AC158))</x:f>
        <x:v>112</x:v>
      </x:c>
      <x:c r="AN158" s="112" t="n">
        <x:f>IF(COUNT(L158,U158,AD158)=0,"",AVERAGE(L158,U158,AD158))</x:f>
        <x:v>0.3333333333333333</x:v>
      </x:c>
      <x:c r="AO158" s="112" t="n">
        <x:f>IF(COUNT(M158,V158,AE158)=0,"",AVERAGE(M158,V158,AE158))</x:f>
        <x:v>0</x:v>
      </x:c>
    </x:row>
    <x:row r="159">
      <x:c r="A159" s="107" t="str">
        <x:v>Zach Charbonnet</x:v>
      </x:c>
      <x:c r="B159" s="108" t="str">
        <x:v>RB</x:v>
      </x:c>
      <x:c r="C159" s="108" t="str">
        <x:v>SEA</x:v>
      </x:c>
      <x:c r="D159" s="109" t="n">
        <x:v>11</x:v>
      </x:c>
      <x:c r="E159" s="109" t="n">
        <x:f>IFERROR(VLOOKUP($A159,'Mike FLEX'!$A$6:$N$278,5,FALSE),"")</x:f>
        <x:v>180</x:v>
      </x:c>
      <x:c r="F159" s="110" t="n">
        <x:f>IFERROR(VLOOKUP($A159,'Mike FLEX'!$A$6:$N$278,6,FALSE),"")</x:f>
        <x:v>4.8</x:v>
      </x:c>
      <x:c r="G159" s="111" t="n">
        <x:f>IFERROR(VLOOKUP($A159,'Mike FLEX'!$A$6:$N$278,7,FALSE),"")</x:f>
        <x:v>73</x:v>
      </x:c>
      <x:c r="H159" s="111" t="n">
        <x:f>IFERROR(VLOOKUP($A159,'Mike FLEX'!$A$6:$N$278,8,FALSE),"")</x:f>
        <x:v>300</x:v>
      </x:c>
      <x:c r="I159" s="111" t="n">
        <x:f>IFERROR(VLOOKUP($A159,'Mike FLEX'!$A$6:$N$278,9,FALSE),"")</x:f>
        <x:v>3</x:v>
      </x:c>
      <x:c r="J159" s="111" t="n">
        <x:f>IFERROR(VLOOKUP($A159,'Mike FLEX'!$A$6:$N$278,10,FALSE),"")</x:f>
        <x:v>18</x:v>
      </x:c>
      <x:c r="K159" s="111" t="n">
        <x:f>IFERROR(VLOOKUP($A159,'Mike FLEX'!$A$6:$N$278,11,FALSE),"")</x:f>
        <x:v>124</x:v>
      </x:c>
      <x:c r="L159" s="111" t="n">
        <x:f>IFERROR(VLOOKUP($A159,'Mike FLEX'!$A$6:$N$278,12,FALSE),"")</x:f>
        <x:v>1</x:v>
      </x:c>
      <x:c r="M159" s="111" t="n">
        <x:f>IFERROR(VLOOKUP($A159,'Mike FLEX'!$A$6:$N$278,13,FALSE),"")</x:f>
        <x:v>0</x:v>
      </x:c>
      <x:c r="N159" s="109" t="n">
        <x:f>IFERROR(VLOOKUP($A159,'Andy FLEX'!$A$6:$N$278,5,FALSE),"")</x:f>
        <x:v>173</x:v>
      </x:c>
      <x:c r="O159" s="110" t="n">
        <x:f>IFERROR(VLOOKUP($A159,'Andy FLEX'!$A$6:$N$278,6,FALSE),"")</x:f>
        <x:v>5.8</x:v>
      </x:c>
      <x:c r="P159" s="111" t="n">
        <x:f>IFERROR(VLOOKUP($A159,'Andy FLEX'!$A$6:$N$278,7,FALSE),"")</x:f>
        <x:v>101</x:v>
      </x:c>
      <x:c r="Q159" s="111" t="n">
        <x:f>IFERROR(VLOOKUP($A159,'Andy FLEX'!$A$6:$N$278,8,FALSE),"")</x:f>
        <x:v>415</x:v>
      </x:c>
      <x:c r="R159" s="111" t="n">
        <x:f>IFERROR(VLOOKUP($A159,'Andy FLEX'!$A$6:$N$278,9,FALSE),"")</x:f>
        <x:v>6</x:v>
      </x:c>
      <x:c r="S159" s="111" t="n">
        <x:f>IFERROR(VLOOKUP($A159,'Andy FLEX'!$A$6:$N$278,10,FALSE),"")</x:f>
        <x:v>12</x:v>
      </x:c>
      <x:c r="T159" s="111" t="n">
        <x:f>IFERROR(VLOOKUP($A159,'Andy FLEX'!$A$6:$N$278,11,FALSE),"")</x:f>
        <x:v>76</x:v>
      </x:c>
      <x:c r="U159" s="111" t="n">
        <x:f>IFERROR(VLOOKUP($A159,'Andy FLEX'!$A$6:$N$278,12,FALSE),"")</x:f>
        <x:v>0</x:v>
      </x:c>
      <x:c r="V159" s="111" t="n">
        <x:f>IFERROR(VLOOKUP($A159,'Andy FLEX'!$A$6:$N$278,13,FALSE),"")</x:f>
        <x:v>1</x:v>
      </x:c>
      <x:c r="W159" s="109" t="n">
        <x:f>IFERROR(VLOOKUP($A159,'Jason FLEX'!$A$6:$N$268,5,FALSE),"")</x:f>
        <x:v>125</x:v>
      </x:c>
      <x:c r="X159" s="110" t="n">
        <x:f>IFERROR(VLOOKUP($A159,'Jason FLEX'!$A$6:$N$268,6,FALSE),"")</x:f>
        <x:v>8.4</x:v>
      </x:c>
      <x:c r="Y159" s="111" t="n">
        <x:f>IFERROR(VLOOKUP($A159,'Jason FLEX'!$A$6:$N$268,7,FALSE),"")</x:f>
        <x:v>150</x:v>
      </x:c>
      <x:c r="Z159" s="111" t="n">
        <x:f>IFERROR(VLOOKUP($A159,'Jason FLEX'!$A$6:$N$268,8,FALSE),"")</x:f>
        <x:v>608</x:v>
      </x:c>
      <x:c r="AA159" s="111" t="n">
        <x:f>IFERROR(VLOOKUP($A159,'Jason FLEX'!$A$6:$N$268,9,FALSE),"")</x:f>
        <x:v>5</x:v>
      </x:c>
      <x:c r="AB159" s="111" t="n">
        <x:f>IFERROR(VLOOKUP($A159,'Jason FLEX'!$A$6:$N$268,10,FALSE),"")</x:f>
        <x:v>27</x:v>
      </x:c>
      <x:c r="AC159" s="111" t="n">
        <x:f>IFERROR(VLOOKUP($A159,'Jason FLEX'!$A$6:$N$268,11,FALSE),"")</x:f>
        <x:v>189</x:v>
      </x:c>
      <x:c r="AD159" s="111" t="n">
        <x:f>IFERROR(VLOOKUP($A159,'Jason FLEX'!$A$6:$N$268,12,FALSE),"")</x:f>
        <x:v>1</x:v>
      </x:c>
      <x:c r="AE159" s="111" t="n">
        <x:f>IFERROR(VLOOKUP($A159,'Jason FLEX'!$A$6:$N$268,13,FALSE),"")</x:f>
        <x:v>0</x:v>
      </x:c>
      <x:c r="AF159" s="110" t="n">
        <x:f>IF(COUNT(E159,N159,W159)=0,"",AVERAGE(E159,N159,W159))</x:f>
        <x:v>159.33333333333334</x:v>
      </x:c>
      <x:c r="AG159" s="110" t="n">
        <x:f>IF(COUNT(E159,N159,W159)=0,"",MAX(E159,N159,W159)-MIN(E159,N159,W159))</x:f>
        <x:v>55</x:v>
      </x:c>
      <x:c r="AH159" s="110" t="n">
        <x:f>IF(COUNT(F159,O159,X159)=0,"",AVERAGE(F159,O159,X159))</x:f>
        <x:v>6.333333333333333</x:v>
      </x:c>
      <x:c r="AI159" s="112" t="n">
        <x:f>IF(COUNT(G159,P159,Y159)=0,"",AVERAGE(G159,P159,Y159))</x:f>
        <x:v>108</x:v>
      </x:c>
      <x:c r="AJ159" s="112" t="n">
        <x:f>IF(COUNT(H159,Q159,Z159)=0,"",AVERAGE(H159,Q159,Z159))</x:f>
        <x:v>441</x:v>
      </x:c>
      <x:c r="AK159" s="112" t="n">
        <x:f>IF(COUNT(I159,R159,AA159)=0,"",AVERAGE(I159,R159,AA159))</x:f>
        <x:v>4.666666666666667</x:v>
      </x:c>
      <x:c r="AL159" s="112" t="n">
        <x:f>IF(COUNT(J159,S159,AB159)=0,"",AVERAGE(J159,S159,AB159))</x:f>
        <x:v>19</x:v>
      </x:c>
      <x:c r="AM159" s="112" t="n">
        <x:f>IF(COUNT(K159,T159,AC159)=0,"",AVERAGE(K159,T159,AC159))</x:f>
        <x:v>129.66666666666666</x:v>
      </x:c>
      <x:c r="AN159" s="112" t="n">
        <x:f>IF(COUNT(L159,U159,AD159)=0,"",AVERAGE(L159,U159,AD159))</x:f>
        <x:v>0.6666666666666666</x:v>
      </x:c>
      <x:c r="AO159" s="112" t="n">
        <x:f>IF(COUNT(M159,V159,AE159)=0,"",AVERAGE(M159,V159,AE159))</x:f>
        <x:v>0.3333333333333333</x:v>
      </x:c>
    </x:row>
    <x:row r="160">
      <x:c r="A160" s="107" t="str">
        <x:v>Darren Waller</x:v>
      </x:c>
      <x:c r="B160" s="108" t="str">
        <x:v>TE</x:v>
      </x:c>
      <x:c r="C160" s="108" t="str">
        <x:v>CAR</x:v>
      </x:c>
      <x:c r="D160" s="109" t="n">
        <x:v>5</x:v>
      </x:c>
      <x:c r="E160" s="109" t="n">
        <x:f>IFERROR(VLOOKUP($A160,'Mike FLEX'!$A$6:$N$278,5,FALSE),"")</x:f>
        <x:v>185</x:v>
      </x:c>
      <x:c r="F160" s="110" t="n">
        <x:f>IFERROR(VLOOKUP($A160,'Mike FLEX'!$A$6:$N$278,6,FALSE),"")</x:f>
        <x:v>4.5</x:v>
      </x:c>
      <x:c r="G160" s="111" t="n">
        <x:f>IFERROR(VLOOKUP($A160,'Mike FLEX'!$A$6:$N$278,7,FALSE),"")</x:f>
        <x:v>0</x:v>
      </x:c>
      <x:c r="H160" s="111" t="n">
        <x:f>IFERROR(VLOOKUP($A160,'Mike FLEX'!$A$6:$N$278,8,FALSE),"")</x:f>
        <x:v>0</x:v>
      </x:c>
      <x:c r="I160" s="111" t="n">
        <x:f>IFERROR(VLOOKUP($A160,'Mike FLEX'!$A$6:$N$278,9,FALSE),"")</x:f>
        <x:v>0</x:v>
      </x:c>
      <x:c r="J160" s="111" t="n">
        <x:f>IFERROR(VLOOKUP($A160,'Mike FLEX'!$A$6:$N$278,10,FALSE),"")</x:f>
        <x:v>32</x:v>
      </x:c>
      <x:c r="K160" s="111" t="n">
        <x:f>IFERROR(VLOOKUP($A160,'Mike FLEX'!$A$6:$N$278,11,FALSE),"")</x:f>
        <x:v>319</x:v>
      </x:c>
      <x:c r="L160" s="111" t="n">
        <x:f>IFERROR(VLOOKUP($A160,'Mike FLEX'!$A$6:$N$278,12,FALSE),"")</x:f>
        <x:v>2</x:v>
      </x:c>
      <x:c r="M160" s="111" t="n">
        <x:f>IFERROR(VLOOKUP($A160,'Mike FLEX'!$A$6:$N$278,13,FALSE),"")</x:f>
        <x:v>0</x:v>
      </x:c>
      <x:c r="N160" s="109" t="n">
        <x:f>IFERROR(VLOOKUP($A160,'Andy FLEX'!$A$6:$N$278,5,FALSE),"")</x:f>
        <x:v>164</x:v>
      </x:c>
      <x:c r="O160" s="110" t="n">
        <x:f>IFERROR(VLOOKUP($A160,'Andy FLEX'!$A$6:$N$278,6,FALSE),"")</x:f>
        <x:v>6</x:v>
      </x:c>
      <x:c r="P160" s="111" t="n">
        <x:f>IFERROR(VLOOKUP($A160,'Andy FLEX'!$A$6:$N$278,7,FALSE),"")</x:f>
        <x:v>2</x:v>
      </x:c>
      <x:c r="Q160" s="111" t="n">
        <x:f>IFERROR(VLOOKUP($A160,'Andy FLEX'!$A$6:$N$278,8,FALSE),"")</x:f>
        <x:v>8</x:v>
      </x:c>
      <x:c r="R160" s="111" t="n">
        <x:f>IFERROR(VLOOKUP($A160,'Andy FLEX'!$A$6:$N$278,9,FALSE),"")</x:f>
        <x:v>0</x:v>
      </x:c>
      <x:c r="S160" s="111" t="n">
        <x:f>IFERROR(VLOOKUP($A160,'Andy FLEX'!$A$6:$N$278,10,FALSE),"")</x:f>
        <x:v>38</x:v>
      </x:c>
      <x:c r="T160" s="111" t="n">
        <x:f>IFERROR(VLOOKUP($A160,'Andy FLEX'!$A$6:$N$278,11,FALSE),"")</x:f>
        <x:v>412</x:v>
      </x:c>
      <x:c r="U160" s="111" t="n">
        <x:f>IFERROR(VLOOKUP($A160,'Andy FLEX'!$A$6:$N$278,12,FALSE),"")</x:f>
        <x:v>4</x:v>
      </x:c>
      <x:c r="V160" s="111" t="n">
        <x:f>IFERROR(VLOOKUP($A160,'Andy FLEX'!$A$6:$N$278,13,FALSE),"")</x:f>
        <x:v>1</x:v>
      </x:c>
      <x:c r="W160" s="109" t="n">
        <x:f>IFERROR(VLOOKUP($A160,'Jason FLEX'!$A$6:$N$268,5,FALSE),"")</x:f>
        <x:v>132</x:v>
      </x:c>
      <x:c r="X160" s="110" t="n">
        <x:f>IFERROR(VLOOKUP($A160,'Jason FLEX'!$A$6:$N$268,6,FALSE),"")</x:f>
        <x:v>7.9</x:v>
      </x:c>
      <x:c r="Y160" s="111" t="n">
        <x:f>IFERROR(VLOOKUP($A160,'Jason FLEX'!$A$6:$N$268,7,FALSE),"")</x:f>
        <x:v>0</x:v>
      </x:c>
      <x:c r="Z160" s="111" t="n">
        <x:f>IFERROR(VLOOKUP($A160,'Jason FLEX'!$A$6:$N$268,8,FALSE),"")</x:f>
        <x:v>0</x:v>
      </x:c>
      <x:c r="AA160" s="111" t="n">
        <x:f>IFERROR(VLOOKUP($A160,'Jason FLEX'!$A$6:$N$268,9,FALSE),"")</x:f>
        <x:v>0</x:v>
      </x:c>
      <x:c r="AB160" s="111" t="n">
        <x:f>IFERROR(VLOOKUP($A160,'Jason FLEX'!$A$6:$N$268,10,FALSE),"")</x:f>
        <x:v>49</x:v>
      </x:c>
      <x:c r="AC160" s="111" t="n">
        <x:f>IFERROR(VLOOKUP($A160,'Jason FLEX'!$A$6:$N$268,11,FALSE),"")</x:f>
        <x:v>542</x:v>
      </x:c>
      <x:c r="AD160" s="111" t="n">
        <x:f>IFERROR(VLOOKUP($A160,'Jason FLEX'!$A$6:$N$268,12,FALSE),"")</x:f>
        <x:v>5</x:v>
      </x:c>
      <x:c r="AE160" s="111" t="n">
        <x:f>IFERROR(VLOOKUP($A160,'Jason FLEX'!$A$6:$N$268,13,FALSE),"")</x:f>
        <x:v>0</x:v>
      </x:c>
      <x:c r="AF160" s="110" t="n">
        <x:f>IF(COUNT(E160,N160,W160)=0,"",AVERAGE(E160,N160,W160))</x:f>
        <x:v>160.33333333333334</x:v>
      </x:c>
      <x:c r="AG160" s="110" t="n">
        <x:f>IF(COUNT(E160,N160,W160)=0,"",MAX(E160,N160,W160)-MIN(E160,N160,W160))</x:f>
        <x:v>53</x:v>
      </x:c>
      <x:c r="AH160" s="110" t="n">
        <x:f>IF(COUNT(F160,O160,X160)=0,"",AVERAGE(F160,O160,X160))</x:f>
        <x:v>6.133333333333333</x:v>
      </x:c>
      <x:c r="AI160" s="112" t="n">
        <x:f>IF(COUNT(G160,P160,Y160)=0,"",AVERAGE(G160,P160,Y160))</x:f>
        <x:v>0.6666666666666666</x:v>
      </x:c>
      <x:c r="AJ160" s="112" t="n">
        <x:f>IF(COUNT(H160,Q160,Z160)=0,"",AVERAGE(H160,Q160,Z160))</x:f>
        <x:v>2.6666666666666665</x:v>
      </x:c>
      <x:c r="AK160" s="112" t="n">
        <x:f>IF(COUNT(I160,R160,AA160)=0,"",AVERAGE(I160,R160,AA160))</x:f>
        <x:v>0</x:v>
      </x:c>
      <x:c r="AL160" s="112" t="n">
        <x:f>IF(COUNT(J160,S160,AB160)=0,"",AVERAGE(J160,S160,AB160))</x:f>
        <x:v>39.666666666666664</x:v>
      </x:c>
      <x:c r="AM160" s="112" t="n">
        <x:f>IF(COUNT(K160,T160,AC160)=0,"",AVERAGE(K160,T160,AC160))</x:f>
        <x:v>424.3333333333333</x:v>
      </x:c>
      <x:c r="AN160" s="112" t="n">
        <x:f>IF(COUNT(L160,U160,AD160)=0,"",AVERAGE(L160,U160,AD160))</x:f>
        <x:v>3.6666666666666665</x:v>
      </x:c>
      <x:c r="AO160" s="112" t="n">
        <x:f>IF(COUNT(M160,V160,AE160)=0,"",AVERAGE(M160,V160,AE160))</x:f>
        <x:v>0.3333333333333333</x:v>
      </x:c>
    </x:row>
    <x:row r="161">
      <x:c r="A161" s="107" t="str">
        <x:v>Tre' Harris</x:v>
      </x:c>
      <x:c r="B161" s="108" t="str">
        <x:v>WR</x:v>
      </x:c>
      <x:c r="C161" s="108" t="str">
        <x:v>LAC</x:v>
      </x:c>
      <x:c r="D161" s="109" t="n">
        <x:v>7</x:v>
      </x:c>
      <x:c r="E161" s="109" t="n">
        <x:f>IFERROR(VLOOKUP($A161,'Mike FLEX'!$A$6:$N$278,5,FALSE),"")</x:f>
        <x:v>211</x:v>
      </x:c>
      <x:c r="F161" s="110" t="n">
        <x:f>IFERROR(VLOOKUP($A161,'Mike FLEX'!$A$6:$N$278,6,FALSE),"")</x:f>
        <x:v>3.7</x:v>
      </x:c>
      <x:c r="G161" s="111" t="n">
        <x:f>IFERROR(VLOOKUP($A161,'Mike FLEX'!$A$6:$N$278,7,FALSE),"")</x:f>
        <x:v>0</x:v>
      </x:c>
      <x:c r="H161" s="111" t="n">
        <x:f>IFERROR(VLOOKUP($A161,'Mike FLEX'!$A$6:$N$278,8,FALSE),"")</x:f>
        <x:v>0</x:v>
      </x:c>
      <x:c r="I161" s="111" t="n">
        <x:f>IFERROR(VLOOKUP($A161,'Mike FLEX'!$A$6:$N$278,9,FALSE),"")</x:f>
        <x:v>0</x:v>
      </x:c>
      <x:c r="J161" s="111" t="n">
        <x:f>IFERROR(VLOOKUP($A161,'Mike FLEX'!$A$6:$N$278,10,FALSE),"")</x:f>
        <x:v>24</x:v>
      </x:c>
      <x:c r="K161" s="111" t="n">
        <x:f>IFERROR(VLOOKUP($A161,'Mike FLEX'!$A$6:$N$278,11,FALSE),"")</x:f>
        <x:v>292</x:v>
      </x:c>
      <x:c r="L161" s="111" t="n">
        <x:f>IFERROR(VLOOKUP($A161,'Mike FLEX'!$A$6:$N$278,12,FALSE),"")</x:f>
        <x:v>2</x:v>
      </x:c>
      <x:c r="M161" s="111" t="n">
        <x:f>IFERROR(VLOOKUP($A161,'Mike FLEX'!$A$6:$N$278,13,FALSE),"")</x:f>
        <x:v>0</x:v>
      </x:c>
      <x:c r="N161" s="109" t="n">
        <x:f>IFERROR(VLOOKUP($A161,'Andy FLEX'!$A$6:$N$278,5,FALSE),"")</x:f>
        <x:v>131</x:v>
      </x:c>
      <x:c r="O161" s="110" t="n">
        <x:f>IFERROR(VLOOKUP($A161,'Andy FLEX'!$A$6:$N$278,6,FALSE),"")</x:f>
        <x:v>7.7</x:v>
      </x:c>
      <x:c r="P161" s="111" t="n">
        <x:f>IFERROR(VLOOKUP($A161,'Andy FLEX'!$A$6:$N$278,7,FALSE),"")</x:f>
        <x:v>5</x:v>
      </x:c>
      <x:c r="Q161" s="111" t="n">
        <x:f>IFERROR(VLOOKUP($A161,'Andy FLEX'!$A$6:$N$278,8,FALSE),"")</x:f>
        <x:v>32</x:v>
      </x:c>
      <x:c r="R161" s="111" t="n">
        <x:f>IFERROR(VLOOKUP($A161,'Andy FLEX'!$A$6:$N$278,9,FALSE),"")</x:f>
        <x:v>0</x:v>
      </x:c>
      <x:c r="S161" s="111" t="n">
        <x:f>IFERROR(VLOOKUP($A161,'Andy FLEX'!$A$6:$N$278,10,FALSE),"")</x:f>
        <x:v>52</x:v>
      </x:c>
      <x:c r="T161" s="111" t="n">
        <x:f>IFERROR(VLOOKUP($A161,'Andy FLEX'!$A$6:$N$278,11,FALSE),"")</x:f>
        <x:v>645</x:v>
      </x:c>
      <x:c r="U161" s="111" t="n">
        <x:f>IFERROR(VLOOKUP($A161,'Andy FLEX'!$A$6:$N$278,12,FALSE),"")</x:f>
        <x:v>2</x:v>
      </x:c>
      <x:c r="V161" s="111" t="n">
        <x:f>IFERROR(VLOOKUP($A161,'Andy FLEX'!$A$6:$N$278,13,FALSE),"")</x:f>
        <x:v>1</x:v>
      </x:c>
      <x:c r="W161" s="109" t="n">
        <x:f>IFERROR(VLOOKUP($A161,'Jason FLEX'!$A$6:$N$268,5,FALSE),"")</x:f>
        <x:v>140</x:v>
      </x:c>
      <x:c r="X161" s="110" t="n">
        <x:f>IFERROR(VLOOKUP($A161,'Jason FLEX'!$A$6:$N$268,6,FALSE),"")</x:f>
        <x:v>7.5</x:v>
      </x:c>
      <x:c r="Y161" s="111" t="n">
        <x:f>IFERROR(VLOOKUP($A161,'Jason FLEX'!$A$6:$N$268,7,FALSE),"")</x:f>
        <x:v>1</x:v>
      </x:c>
      <x:c r="Z161" s="111" t="n">
        <x:f>IFERROR(VLOOKUP($A161,'Jason FLEX'!$A$6:$N$268,8,FALSE),"")</x:f>
        <x:v>5</x:v>
      </x:c>
      <x:c r="AA161" s="111" t="n">
        <x:f>IFERROR(VLOOKUP($A161,'Jason FLEX'!$A$6:$N$268,9,FALSE),"")</x:f>
        <x:v>0</x:v>
      </x:c>
      <x:c r="AB161" s="111" t="n">
        <x:f>IFERROR(VLOOKUP($A161,'Jason FLEX'!$A$6:$N$268,10,FALSE),"")</x:f>
        <x:v>49</x:v>
      </x:c>
      <x:c r="AC161" s="111" t="n">
        <x:f>IFERROR(VLOOKUP($A161,'Jason FLEX'!$A$6:$N$268,11,FALSE),"")</x:f>
        <x:v>536</x:v>
      </x:c>
      <x:c r="AD161" s="111" t="n">
        <x:f>IFERROR(VLOOKUP($A161,'Jason FLEX'!$A$6:$N$268,12,FALSE),"")</x:f>
        <x:v>4</x:v>
      </x:c>
      <x:c r="AE161" s="111" t="n">
        <x:f>IFERROR(VLOOKUP($A161,'Jason FLEX'!$A$6:$N$268,13,FALSE),"")</x:f>
        <x:v>0</x:v>
      </x:c>
      <x:c r="AF161" s="110" t="n">
        <x:f>IF(COUNT(E161,N161,W161)=0,"",AVERAGE(E161,N161,W161))</x:f>
        <x:v>160.66666666666666</x:v>
      </x:c>
      <x:c r="AG161" s="110" t="n">
        <x:f>IF(COUNT(E161,N161,W161)=0,"",MAX(E161,N161,W161)-MIN(E161,N161,W161))</x:f>
        <x:v>80</x:v>
      </x:c>
      <x:c r="AH161" s="110" t="n">
        <x:f>IF(COUNT(F161,O161,X161)=0,"",AVERAGE(F161,O161,X161))</x:f>
        <x:v>6.3</x:v>
      </x:c>
      <x:c r="AI161" s="112" t="n">
        <x:f>IF(COUNT(G161,P161,Y161)=0,"",AVERAGE(G161,P161,Y161))</x:f>
        <x:v>2</x:v>
      </x:c>
      <x:c r="AJ161" s="112" t="n">
        <x:f>IF(COUNT(H161,Q161,Z161)=0,"",AVERAGE(H161,Q161,Z161))</x:f>
        <x:v>12.333333333333334</x:v>
      </x:c>
      <x:c r="AK161" s="112" t="n">
        <x:f>IF(COUNT(I161,R161,AA161)=0,"",AVERAGE(I161,R161,AA161))</x:f>
        <x:v>0</x:v>
      </x:c>
      <x:c r="AL161" s="112" t="n">
        <x:f>IF(COUNT(J161,S161,AB161)=0,"",AVERAGE(J161,S161,AB161))</x:f>
        <x:v>41.666666666666664</x:v>
      </x:c>
      <x:c r="AM161" s="112" t="n">
        <x:f>IF(COUNT(K161,T161,AC161)=0,"",AVERAGE(K161,T161,AC161))</x:f>
        <x:v>491</x:v>
      </x:c>
      <x:c r="AN161" s="112" t="n">
        <x:f>IF(COUNT(L161,U161,AD161)=0,"",AVERAGE(L161,U161,AD161))</x:f>
        <x:v>2.6666666666666665</x:v>
      </x:c>
      <x:c r="AO161" s="112" t="n">
        <x:f>IF(COUNT(M161,V161,AE161)=0,"",AVERAGE(M161,V161,AE161))</x:f>
        <x:v>0.3333333333333333</x:v>
      </x:c>
    </x:row>
    <x:row r="162">
      <x:c r="A162" s="107" t="str">
        <x:v>Tank Dell</x:v>
      </x:c>
      <x:c r="B162" s="108" t="str">
        <x:v>WR</x:v>
      </x:c>
      <x:c r="C162" s="108" t="str">
        <x:v>HOU</x:v>
      </x:c>
      <x:c r="D162" s="109" t="n">
        <x:v>8</x:v>
      </x:c>
      <x:c r="E162" s="109" t="n">
        <x:f>IFERROR(VLOOKUP($A162,'Mike FLEX'!$A$6:$N$278,5,FALSE),"")</x:f>
        <x:v>87</x:v>
      </x:c>
      <x:c r="F162" s="110" t="n">
        <x:f>IFERROR(VLOOKUP($A162,'Mike FLEX'!$A$6:$N$278,6,FALSE),"")</x:f>
        <x:v>10.2</x:v>
      </x:c>
      <x:c r="G162" s="111" t="n">
        <x:f>IFERROR(VLOOKUP($A162,'Mike FLEX'!$A$6:$N$278,7,FALSE),"")</x:f>
        <x:v>10</x:v>
      </x:c>
      <x:c r="H162" s="111" t="n">
        <x:f>IFERROR(VLOOKUP($A162,'Mike FLEX'!$A$6:$N$278,8,FALSE),"")</x:f>
        <x:v>46</x:v>
      </x:c>
      <x:c r="I162" s="111" t="n">
        <x:f>IFERROR(VLOOKUP($A162,'Mike FLEX'!$A$6:$N$278,9,FALSE),"")</x:f>
        <x:v>0</x:v>
      </x:c>
      <x:c r="J162" s="111" t="n">
        <x:f>IFERROR(VLOOKUP($A162,'Mike FLEX'!$A$6:$N$278,10,FALSE),"")</x:f>
        <x:v>57</x:v>
      </x:c>
      <x:c r="K162" s="111" t="n">
        <x:f>IFERROR(VLOOKUP($A162,'Mike FLEX'!$A$6:$N$278,11,FALSE),"")</x:f>
        <x:v>782</x:v>
      </x:c>
      <x:c r="L162" s="111" t="n">
        <x:f>IFERROR(VLOOKUP($A162,'Mike FLEX'!$A$6:$N$278,12,FALSE),"")</x:f>
        <x:v>5</x:v>
      </x:c>
      <x:c r="M162" s="111" t="n">
        <x:f>IFERROR(VLOOKUP($A162,'Mike FLEX'!$A$6:$N$278,13,FALSE),"")</x:f>
        <x:v>0</x:v>
      </x:c>
      <x:c r="N162" s="109" t="n">
        <x:f>IFERROR(VLOOKUP($A162,'Andy FLEX'!$A$6:$N$278,5,FALSE),"")</x:f>
        <x:v>193</x:v>
      </x:c>
      <x:c r="O162" s="110" t="n">
        <x:f>IFERROR(VLOOKUP($A162,'Andy FLEX'!$A$6:$N$278,6,FALSE),"")</x:f>
        <x:v>5.1</x:v>
      </x:c>
      <x:c r="P162" s="111" t="n">
        <x:f>IFERROR(VLOOKUP($A162,'Andy FLEX'!$A$6:$N$278,7,FALSE),"")</x:f>
        <x:v>5</x:v>
      </x:c>
      <x:c r="Q162" s="111" t="n">
        <x:f>IFERROR(VLOOKUP($A162,'Andy FLEX'!$A$6:$N$278,8,FALSE),"")</x:f>
        <x:v>33</x:v>
      </x:c>
      <x:c r="R162" s="111" t="n">
        <x:f>IFERROR(VLOOKUP($A162,'Andy FLEX'!$A$6:$N$278,9,FALSE),"")</x:f>
        <x:v>0</x:v>
      </x:c>
      <x:c r="S162" s="111" t="n">
        <x:f>IFERROR(VLOOKUP($A162,'Andy FLEX'!$A$6:$N$278,10,FALSE),"")</x:f>
        <x:v>30</x:v>
      </x:c>
      <x:c r="T162" s="111" t="n">
        <x:f>IFERROR(VLOOKUP($A162,'Andy FLEX'!$A$6:$N$278,11,FALSE),"")</x:f>
        <x:v>386</x:v>
      </x:c>
      <x:c r="U162" s="111" t="n">
        <x:f>IFERROR(VLOOKUP($A162,'Andy FLEX'!$A$6:$N$278,12,FALSE),"")</x:f>
        <x:v>3</x:v>
      </x:c>
      <x:c r="V162" s="111" t="n">
        <x:f>IFERROR(VLOOKUP($A162,'Andy FLEX'!$A$6:$N$278,13,FALSE),"")</x:f>
        <x:v>1</x:v>
      </x:c>
      <x:c r="W162" s="109" t="n">
        <x:f>IFERROR(VLOOKUP($A162,'Jason FLEX'!$A$6:$N$268,5,FALSE),"")</x:f>
        <x:v>204</x:v>
      </x:c>
      <x:c r="X162" s="110" t="n">
        <x:f>IFERROR(VLOOKUP($A162,'Jason FLEX'!$A$6:$N$268,6,FALSE),"")</x:f>
        <x:v>4.5</x:v>
      </x:c>
      <x:c r="Y162" s="111" t="n">
        <x:f>IFERROR(VLOOKUP($A162,'Jason FLEX'!$A$6:$N$268,7,FALSE),"")</x:f>
        <x:v>4</x:v>
      </x:c>
      <x:c r="Z162" s="111" t="n">
        <x:f>IFERROR(VLOOKUP($A162,'Jason FLEX'!$A$6:$N$268,8,FALSE),"")</x:f>
        <x:v>20</x:v>
      </x:c>
      <x:c r="AA162" s="111" t="n">
        <x:f>IFERROR(VLOOKUP($A162,'Jason FLEX'!$A$6:$N$268,9,FALSE),"")</x:f>
        <x:v>0</x:v>
      </x:c>
      <x:c r="AB162" s="111" t="n">
        <x:f>IFERROR(VLOOKUP($A162,'Jason FLEX'!$A$6:$N$268,10,FALSE),"")</x:f>
        <x:v>20</x:v>
      </x:c>
      <x:c r="AC162" s="111" t="n">
        <x:f>IFERROR(VLOOKUP($A162,'Jason FLEX'!$A$6:$N$268,11,FALSE),"")</x:f>
        <x:v>243</x:v>
      </x:c>
      <x:c r="AD162" s="111" t="n">
        <x:f>IFERROR(VLOOKUP($A162,'Jason FLEX'!$A$6:$N$268,12,FALSE),"")</x:f>
        <x:v>5</x:v>
      </x:c>
      <x:c r="AE162" s="111" t="n">
        <x:f>IFERROR(VLOOKUP($A162,'Jason FLEX'!$A$6:$N$268,13,FALSE),"")</x:f>
        <x:v>0</x:v>
      </x:c>
      <x:c r="AF162" s="110" t="n">
        <x:f>IF(COUNT(E162,N162,W162)=0,"",AVERAGE(E162,N162,W162))</x:f>
        <x:v>161.33333333333334</x:v>
      </x:c>
      <x:c r="AG162" s="110" t="n">
        <x:f>IF(COUNT(E162,N162,W162)=0,"",MAX(E162,N162,W162)-MIN(E162,N162,W162))</x:f>
        <x:v>117</x:v>
      </x:c>
      <x:c r="AH162" s="110" t="n">
        <x:f>IF(COUNT(F162,O162,X162)=0,"",AVERAGE(F162,O162,X162))</x:f>
        <x:v>6.599999999999999</x:v>
      </x:c>
      <x:c r="AI162" s="112" t="n">
        <x:f>IF(COUNT(G162,P162,Y162)=0,"",AVERAGE(G162,P162,Y162))</x:f>
        <x:v>6.333333333333333</x:v>
      </x:c>
      <x:c r="AJ162" s="112" t="n">
        <x:f>IF(COUNT(H162,Q162,Z162)=0,"",AVERAGE(H162,Q162,Z162))</x:f>
        <x:v>33</x:v>
      </x:c>
      <x:c r="AK162" s="112" t="n">
        <x:f>IF(COUNT(I162,R162,AA162)=0,"",AVERAGE(I162,R162,AA162))</x:f>
        <x:v>0</x:v>
      </x:c>
      <x:c r="AL162" s="112" t="n">
        <x:f>IF(COUNT(J162,S162,AB162)=0,"",AVERAGE(J162,S162,AB162))</x:f>
        <x:v>35.666666666666664</x:v>
      </x:c>
      <x:c r="AM162" s="112" t="n">
        <x:f>IF(COUNT(K162,T162,AC162)=0,"",AVERAGE(K162,T162,AC162))</x:f>
        <x:v>470.3333333333333</x:v>
      </x:c>
      <x:c r="AN162" s="112" t="n">
        <x:f>IF(COUNT(L162,U162,AD162)=0,"",AVERAGE(L162,U162,AD162))</x:f>
        <x:v>4.333333333333333</x:v>
      </x:c>
      <x:c r="AO162" s="112" t="n">
        <x:f>IF(COUNT(M162,V162,AE162)=0,"",AVERAGE(M162,V162,AE162))</x:f>
        <x:v>0.3333333333333333</x:v>
      </x:c>
    </x:row>
    <x:row r="163">
      <x:c r="A163" s="107" t="str">
        <x:v>Keon Coleman</x:v>
      </x:c>
      <x:c r="B163" s="108" t="str">
        <x:v>WR</x:v>
      </x:c>
      <x:c r="C163" s="108" t="str">
        <x:v>BUF</x:v>
      </x:c>
      <x:c r="D163" s="109" t="n">
        <x:v>7</x:v>
      </x:c>
      <x:c r="E163" s="109" t="n">
        <x:f>IFERROR(VLOOKUP($A163,'Mike FLEX'!$A$6:$N$278,5,FALSE),"")</x:f>
        <x:v>160</x:v>
      </x:c>
      <x:c r="F163" s="110" t="n">
        <x:f>IFERROR(VLOOKUP($A163,'Mike FLEX'!$A$6:$N$278,6,FALSE),"")</x:f>
        <x:v>6</x:v>
      </x:c>
      <x:c r="G163" s="111" t="n">
        <x:f>IFERROR(VLOOKUP($A163,'Mike FLEX'!$A$6:$N$278,7,FALSE),"")</x:f>
        <x:v>0</x:v>
      </x:c>
      <x:c r="H163" s="111" t="n">
        <x:f>IFERROR(VLOOKUP($A163,'Mike FLEX'!$A$6:$N$278,8,FALSE),"")</x:f>
        <x:v>0</x:v>
      </x:c>
      <x:c r="I163" s="111" t="n">
        <x:f>IFERROR(VLOOKUP($A163,'Mike FLEX'!$A$6:$N$278,9,FALSE),"")</x:f>
        <x:v>0</x:v>
      </x:c>
      <x:c r="J163" s="111" t="n">
        <x:f>IFERROR(VLOOKUP($A163,'Mike FLEX'!$A$6:$N$278,10,FALSE),"")</x:f>
        <x:v>36</x:v>
      </x:c>
      <x:c r="K163" s="111" t="n">
        <x:f>IFERROR(VLOOKUP($A163,'Mike FLEX'!$A$6:$N$278,11,FALSE),"")</x:f>
        <x:v>483</x:v>
      </x:c>
      <x:c r="L163" s="111" t="n">
        <x:f>IFERROR(VLOOKUP($A163,'Mike FLEX'!$A$6:$N$278,12,FALSE),"")</x:f>
        <x:v>3</x:v>
      </x:c>
      <x:c r="M163" s="111" t="n">
        <x:f>IFERROR(VLOOKUP($A163,'Mike FLEX'!$A$6:$N$278,13,FALSE),"")</x:f>
        <x:v>1</x:v>
      </x:c>
      <x:c r="N163" s="109" t="n">
        <x:f>IFERROR(VLOOKUP($A163,'Andy FLEX'!$A$6:$N$278,5,FALSE),"")</x:f>
        <x:v>175</x:v>
      </x:c>
      <x:c r="O163" s="110" t="n">
        <x:f>IFERROR(VLOOKUP($A163,'Andy FLEX'!$A$6:$N$278,6,FALSE),"")</x:f>
        <x:v>5.7</x:v>
      </x:c>
      <x:c r="P163" s="111" t="n">
        <x:f>IFERROR(VLOOKUP($A163,'Andy FLEX'!$A$6:$N$278,7,FALSE),"")</x:f>
        <x:v>0</x:v>
      </x:c>
      <x:c r="Q163" s="111" t="n">
        <x:f>IFERROR(VLOOKUP($A163,'Andy FLEX'!$A$6:$N$278,8,FALSE),"")</x:f>
        <x:v>0</x:v>
      </x:c>
      <x:c r="R163" s="111" t="n">
        <x:f>IFERROR(VLOOKUP($A163,'Andy FLEX'!$A$6:$N$278,9,FALSE),"")</x:f>
        <x:v>0</x:v>
      </x:c>
      <x:c r="S163" s="111" t="n">
        <x:f>IFERROR(VLOOKUP($A163,'Andy FLEX'!$A$6:$N$278,10,FALSE),"")</x:f>
        <x:v>37</x:v>
      </x:c>
      <x:c r="T163" s="111" t="n">
        <x:f>IFERROR(VLOOKUP($A163,'Andy FLEX'!$A$6:$N$278,11,FALSE),"")</x:f>
        <x:v>393</x:v>
      </x:c>
      <x:c r="U163" s="111" t="n">
        <x:f>IFERROR(VLOOKUP($A163,'Andy FLEX'!$A$6:$N$278,12,FALSE),"")</x:f>
        <x:v>4</x:v>
      </x:c>
      <x:c r="V163" s="111" t="n">
        <x:f>IFERROR(VLOOKUP($A163,'Andy FLEX'!$A$6:$N$278,13,FALSE),"")</x:f>
        <x:v>1</x:v>
      </x:c>
      <x:c r="W163" s="109" t="n">
        <x:f>IFERROR(VLOOKUP($A163,'Jason FLEX'!$A$6:$N$268,5,FALSE),"")</x:f>
        <x:v>150</x:v>
      </x:c>
      <x:c r="X163" s="110" t="n">
        <x:f>IFERROR(VLOOKUP($A163,'Jason FLEX'!$A$6:$N$268,6,FALSE),"")</x:f>
        <x:v>6.9</x:v>
      </x:c>
      <x:c r="Y163" s="111" t="n">
        <x:f>IFERROR(VLOOKUP($A163,'Jason FLEX'!$A$6:$N$268,7,FALSE),"")</x:f>
        <x:v>0</x:v>
      </x:c>
      <x:c r="Z163" s="111" t="n">
        <x:f>IFERROR(VLOOKUP($A163,'Jason FLEX'!$A$6:$N$268,8,FALSE),"")</x:f>
        <x:v>0</x:v>
      </x:c>
      <x:c r="AA163" s="111" t="n">
        <x:f>IFERROR(VLOOKUP($A163,'Jason FLEX'!$A$6:$N$268,9,FALSE),"")</x:f>
        <x:v>0</x:v>
      </x:c>
      <x:c r="AB163" s="111" t="n">
        <x:f>IFERROR(VLOOKUP($A163,'Jason FLEX'!$A$6:$N$268,10,FALSE),"")</x:f>
        <x:v>39</x:v>
      </x:c>
      <x:c r="AC163" s="111" t="n">
        <x:f>IFERROR(VLOOKUP($A163,'Jason FLEX'!$A$6:$N$268,11,FALSE),"")</x:f>
        <x:v>505</x:v>
      </x:c>
      <x:c r="AD163" s="111" t="n">
        <x:f>IFERROR(VLOOKUP($A163,'Jason FLEX'!$A$6:$N$268,12,FALSE),"")</x:f>
        <x:v>5</x:v>
      </x:c>
      <x:c r="AE163" s="111" t="n">
        <x:f>IFERROR(VLOOKUP($A163,'Jason FLEX'!$A$6:$N$268,13,FALSE),"")</x:f>
        <x:v>1</x:v>
      </x:c>
      <x:c r="AF163" s="110" t="n">
        <x:f>IF(COUNT(E163,N163,W163)=0,"",AVERAGE(E163,N163,W163))</x:f>
        <x:v>161.66666666666666</x:v>
      </x:c>
      <x:c r="AG163" s="110" t="n">
        <x:f>IF(COUNT(E163,N163,W163)=0,"",MAX(E163,N163,W163)-MIN(E163,N163,W163))</x:f>
        <x:v>25</x:v>
      </x:c>
      <x:c r="AH163" s="110" t="n">
        <x:f>IF(COUNT(F163,O163,X163)=0,"",AVERAGE(F163,O163,X163))</x:f>
        <x:v>6.2</x:v>
      </x:c>
      <x:c r="AI163" s="112" t="n">
        <x:f>IF(COUNT(G163,P163,Y163)=0,"",AVERAGE(G163,P163,Y163))</x:f>
        <x:v>0</x:v>
      </x:c>
      <x:c r="AJ163" s="112" t="n">
        <x:f>IF(COUNT(H163,Q163,Z163)=0,"",AVERAGE(H163,Q163,Z163))</x:f>
        <x:v>0</x:v>
      </x:c>
      <x:c r="AK163" s="112" t="n">
        <x:f>IF(COUNT(I163,R163,AA163)=0,"",AVERAGE(I163,R163,AA163))</x:f>
        <x:v>0</x:v>
      </x:c>
      <x:c r="AL163" s="112" t="n">
        <x:f>IF(COUNT(J163,S163,AB163)=0,"",AVERAGE(J163,S163,AB163))</x:f>
        <x:v>37.333333333333336</x:v>
      </x:c>
      <x:c r="AM163" s="112" t="n">
        <x:f>IF(COUNT(K163,T163,AC163)=0,"",AVERAGE(K163,T163,AC163))</x:f>
        <x:v>460.3333333333333</x:v>
      </x:c>
      <x:c r="AN163" s="112" t="n">
        <x:f>IF(COUNT(L163,U163,AD163)=0,"",AVERAGE(L163,U163,AD163))</x:f>
        <x:v>4</x:v>
      </x:c>
      <x:c r="AO163" s="112" t="n">
        <x:f>IF(COUNT(M163,V163,AE163)=0,"",AVERAGE(M163,V163,AE163))</x:f>
        <x:v>1</x:v>
      </x:c>
    </x:row>
    <x:row r="164">
      <x:c r="A164" s="107" t="str">
        <x:v>Tyrone Tracy Jr.</x:v>
      </x:c>
      <x:c r="B164" s="108" t="str">
        <x:v>RB</x:v>
      </x:c>
      <x:c r="C164" s="108" t="str">
        <x:v>NYG</x:v>
      </x:c>
      <x:c r="D164" s="109" t="n">
        <x:v>8</x:v>
      </x:c>
      <x:c r="E164" s="109" t="n">
        <x:f>IFERROR(VLOOKUP($A164,'Mike FLEX'!$A$6:$N$278,5,FALSE),"")</x:f>
        <x:v>177</x:v>
      </x:c>
      <x:c r="F164" s="110" t="n">
        <x:f>IFERROR(VLOOKUP($A164,'Mike FLEX'!$A$6:$N$278,6,FALSE),"")</x:f>
        <x:v>4.8</x:v>
      </x:c>
      <x:c r="G164" s="111" t="n">
        <x:f>IFERROR(VLOOKUP($A164,'Mike FLEX'!$A$6:$N$278,7,FALSE),"")</x:f>
        <x:v>103</x:v>
      </x:c>
      <x:c r="H164" s="111" t="n">
        <x:f>IFERROR(VLOOKUP($A164,'Mike FLEX'!$A$6:$N$278,8,FALSE),"")</x:f>
        <x:v>442</x:v>
      </x:c>
      <x:c r="I164" s="111" t="n">
        <x:f>IFERROR(VLOOKUP($A164,'Mike FLEX'!$A$6:$N$278,9,FALSE),"")</x:f>
        <x:v>2</x:v>
      </x:c>
      <x:c r="J164" s="111" t="n">
        <x:f>IFERROR(VLOOKUP($A164,'Mike FLEX'!$A$6:$N$278,10,FALSE),"")</x:f>
        <x:v>14</x:v>
      </x:c>
      <x:c r="K164" s="111" t="n">
        <x:f>IFERROR(VLOOKUP($A164,'Mike FLEX'!$A$6:$N$278,11,FALSE),"")</x:f>
        <x:v>112</x:v>
      </x:c>
      <x:c r="L164" s="111" t="n">
        <x:f>IFERROR(VLOOKUP($A164,'Mike FLEX'!$A$6:$N$278,12,FALSE),"")</x:f>
        <x:v>1</x:v>
      </x:c>
      <x:c r="M164" s="111" t="n">
        <x:f>IFERROR(VLOOKUP($A164,'Mike FLEX'!$A$6:$N$278,13,FALSE),"")</x:f>
        <x:v>2</x:v>
      </x:c>
      <x:c r="N164" s="109" t="n">
        <x:f>IFERROR(VLOOKUP($A164,'Andy FLEX'!$A$6:$N$278,5,FALSE),"")</x:f>
        <x:v>116</x:v>
      </x:c>
      <x:c r="O164" s="110" t="n">
        <x:f>IFERROR(VLOOKUP($A164,'Andy FLEX'!$A$6:$N$278,6,FALSE),"")</x:f>
        <x:v>8.4</x:v>
      </x:c>
      <x:c r="P164" s="111" t="n">
        <x:f>IFERROR(VLOOKUP($A164,'Andy FLEX'!$A$6:$N$278,7,FALSE),"")</x:f>
        <x:v>157</x:v>
      </x:c>
      <x:c r="Q164" s="111" t="n">
        <x:f>IFERROR(VLOOKUP($A164,'Andy FLEX'!$A$6:$N$278,8,FALSE),"")</x:f>
        <x:v>682</x:v>
      </x:c>
      <x:c r="R164" s="111" t="n">
        <x:f>IFERROR(VLOOKUP($A164,'Andy FLEX'!$A$6:$N$278,9,FALSE),"")</x:f>
        <x:v>4</x:v>
      </x:c>
      <x:c r="S164" s="111" t="n">
        <x:f>IFERROR(VLOOKUP($A164,'Andy FLEX'!$A$6:$N$278,10,FALSE),"")</x:f>
        <x:v>27</x:v>
      </x:c>
      <x:c r="T164" s="111" t="n">
        <x:f>IFERROR(VLOOKUP($A164,'Andy FLEX'!$A$6:$N$278,11,FALSE),"")</x:f>
        <x:v>191</x:v>
      </x:c>
      <x:c r="U164" s="111" t="n">
        <x:f>IFERROR(VLOOKUP($A164,'Andy FLEX'!$A$6:$N$278,12,FALSE),"")</x:f>
        <x:v>2</x:v>
      </x:c>
      <x:c r="V164" s="111" t="n">
        <x:f>IFERROR(VLOOKUP($A164,'Andy FLEX'!$A$6:$N$278,13,FALSE),"")</x:f>
        <x:v>2</x:v>
      </x:c>
      <x:c r="W164" s="109" t="n">
        <x:f>IFERROR(VLOOKUP($A164,'Jason FLEX'!$A$6:$N$268,5,FALSE),"")</x:f>
        <x:v>193</x:v>
      </x:c>
      <x:c r="X164" s="110" t="n">
        <x:f>IFERROR(VLOOKUP($A164,'Jason FLEX'!$A$6:$N$268,6,FALSE),"")</x:f>
        <x:v>4.9</x:v>
      </x:c>
      <x:c r="Y164" s="111" t="n">
        <x:f>IFERROR(VLOOKUP($A164,'Jason FLEX'!$A$6:$N$268,7,FALSE),"")</x:f>
        <x:v>75</x:v>
      </x:c>
      <x:c r="Z164" s="111" t="n">
        <x:f>IFERROR(VLOOKUP($A164,'Jason FLEX'!$A$6:$N$268,8,FALSE),"")</x:f>
        <x:v>315</x:v>
      </x:c>
      <x:c r="AA164" s="111" t="n">
        <x:f>IFERROR(VLOOKUP($A164,'Jason FLEX'!$A$6:$N$268,9,FALSE),"")</x:f>
        <x:v>4</x:v>
      </x:c>
      <x:c r="AB164" s="111" t="n">
        <x:f>IFERROR(VLOOKUP($A164,'Jason FLEX'!$A$6:$N$268,10,FALSE),"")</x:f>
        <x:v>14</x:v>
      </x:c>
      <x:c r="AC164" s="111" t="n">
        <x:f>IFERROR(VLOOKUP($A164,'Jason FLEX'!$A$6:$N$268,11,FALSE),"")</x:f>
        <x:v>109</x:v>
      </x:c>
      <x:c r="AD164" s="111" t="n">
        <x:f>IFERROR(VLOOKUP($A164,'Jason FLEX'!$A$6:$N$268,12,FALSE),"")</x:f>
        <x:v>1</x:v>
      </x:c>
      <x:c r="AE164" s="111" t="n">
        <x:f>IFERROR(VLOOKUP($A164,'Jason FLEX'!$A$6:$N$268,13,FALSE),"")</x:f>
        <x:v>2</x:v>
      </x:c>
      <x:c r="AF164" s="110" t="n">
        <x:f>IF(COUNT(E164,N164,W164)=0,"",AVERAGE(E164,N164,W164))</x:f>
        <x:v>162</x:v>
      </x:c>
      <x:c r="AG164" s="110" t="n">
        <x:f>IF(COUNT(E164,N164,W164)=0,"",MAX(E164,N164,W164)-MIN(E164,N164,W164))</x:f>
        <x:v>77</x:v>
      </x:c>
      <x:c r="AH164" s="110" t="n">
        <x:f>IF(COUNT(F164,O164,X164)=0,"",AVERAGE(F164,O164,X164))</x:f>
        <x:v>6.033333333333334</x:v>
      </x:c>
      <x:c r="AI164" s="112" t="n">
        <x:f>IF(COUNT(G164,P164,Y164)=0,"",AVERAGE(G164,P164,Y164))</x:f>
        <x:v>111.66666666666667</x:v>
      </x:c>
      <x:c r="AJ164" s="112" t="n">
        <x:f>IF(COUNT(H164,Q164,Z164)=0,"",AVERAGE(H164,Q164,Z164))</x:f>
        <x:v>479.6666666666667</x:v>
      </x:c>
      <x:c r="AK164" s="112" t="n">
        <x:f>IF(COUNT(I164,R164,AA164)=0,"",AVERAGE(I164,R164,AA164))</x:f>
        <x:v>3.3333333333333335</x:v>
      </x:c>
      <x:c r="AL164" s="112" t="n">
        <x:f>IF(COUNT(J164,S164,AB164)=0,"",AVERAGE(J164,S164,AB164))</x:f>
        <x:v>18.333333333333332</x:v>
      </x:c>
      <x:c r="AM164" s="112" t="n">
        <x:f>IF(COUNT(K164,T164,AC164)=0,"",AVERAGE(K164,T164,AC164))</x:f>
        <x:v>137.33333333333334</x:v>
      </x:c>
      <x:c r="AN164" s="112" t="n">
        <x:f>IF(COUNT(L164,U164,AD164)=0,"",AVERAGE(L164,U164,AD164))</x:f>
        <x:v>1.3333333333333333</x:v>
      </x:c>
      <x:c r="AO164" s="112" t="n">
        <x:f>IF(COUNT(M164,V164,AE164)=0,"",AVERAGE(M164,V164,AE164))</x:f>
        <x:v>2</x:v>
      </x:c>
    </x:row>
    <x:row r="165">
      <x:c r="A165" s="107" t="str">
        <x:v>David Njoku</x:v>
      </x:c>
      <x:c r="B165" s="108" t="str">
        <x:v>TE</x:v>
      </x:c>
      <x:c r="C165" s="108" t="str">
        <x:v>LAC</x:v>
      </x:c>
      <x:c r="D165" s="109" t="n">
        <x:v>7</x:v>
      </x:c>
      <x:c r="E165" s="109" t="n">
        <x:f>IFERROR(VLOOKUP($A165,'Mike FLEX'!$A$6:$N$278,5,FALSE),"")</x:f>
        <x:v>139</x:v>
      </x:c>
      <x:c r="F165" s="110" t="n">
        <x:f>IFERROR(VLOOKUP($A165,'Mike FLEX'!$A$6:$N$278,6,FALSE),"")</x:f>
        <x:v>6.9</x:v>
      </x:c>
      <x:c r="G165" s="111" t="n">
        <x:f>IFERROR(VLOOKUP($A165,'Mike FLEX'!$A$6:$N$278,7,FALSE),"")</x:f>
        <x:v>0</x:v>
      </x:c>
      <x:c r="H165" s="111" t="n">
        <x:f>IFERROR(VLOOKUP($A165,'Mike FLEX'!$A$6:$N$278,8,FALSE),"")</x:f>
        <x:v>0</x:v>
      </x:c>
      <x:c r="I165" s="111" t="n">
        <x:f>IFERROR(VLOOKUP($A165,'Mike FLEX'!$A$6:$N$278,9,FALSE),"")</x:f>
        <x:v>0</x:v>
      </x:c>
      <x:c r="J165" s="111" t="n">
        <x:f>IFERROR(VLOOKUP($A165,'Mike FLEX'!$A$6:$N$278,10,FALSE),"")</x:f>
        <x:v>48</x:v>
      </x:c>
      <x:c r="K165" s="111" t="n">
        <x:f>IFERROR(VLOOKUP($A165,'Mike FLEX'!$A$6:$N$278,11,FALSE),"")</x:f>
        <x:v>466</x:v>
      </x:c>
      <x:c r="L165" s="111" t="n">
        <x:f>IFERROR(VLOOKUP($A165,'Mike FLEX'!$A$6:$N$278,12,FALSE),"")</x:f>
        <x:v>4</x:v>
      </x:c>
      <x:c r="M165" s="111" t="n">
        <x:f>IFERROR(VLOOKUP($A165,'Mike FLEX'!$A$6:$N$278,13,FALSE),"")</x:f>
        <x:v>0</x:v>
      </x:c>
      <x:c r="N165" s="109" t="n">
        <x:f>IFERROR(VLOOKUP($A165,'Andy FLEX'!$A$6:$N$278,5,FALSE),"")</x:f>
        <x:v>186</x:v>
      </x:c>
      <x:c r="O165" s="110" t="n">
        <x:f>IFERROR(VLOOKUP($A165,'Andy FLEX'!$A$6:$N$278,6,FALSE),"")</x:f>
        <x:v>5.3</x:v>
      </x:c>
      <x:c r="P165" s="111" t="n">
        <x:f>IFERROR(VLOOKUP($A165,'Andy FLEX'!$A$6:$N$278,7,FALSE),"")</x:f>
        <x:v>0</x:v>
      </x:c>
      <x:c r="Q165" s="111" t="n">
        <x:f>IFERROR(VLOOKUP($A165,'Andy FLEX'!$A$6:$N$278,8,FALSE),"")</x:f>
        <x:v>0</x:v>
      </x:c>
      <x:c r="R165" s="111" t="n">
        <x:f>IFERROR(VLOOKUP($A165,'Andy FLEX'!$A$6:$N$278,9,FALSE),"")</x:f>
        <x:v>0</x:v>
      </x:c>
      <x:c r="S165" s="111" t="n">
        <x:f>IFERROR(VLOOKUP($A165,'Andy FLEX'!$A$6:$N$278,10,FALSE),"")</x:f>
        <x:v>35</x:v>
      </x:c>
      <x:c r="T165" s="111" t="n">
        <x:f>IFERROR(VLOOKUP($A165,'Andy FLEX'!$A$6:$N$278,11,FALSE),"")</x:f>
        <x:v>322</x:v>
      </x:c>
      <x:c r="U165" s="111" t="n">
        <x:f>IFERROR(VLOOKUP($A165,'Andy FLEX'!$A$6:$N$278,12,FALSE),"")</x:f>
        <x:v>4</x:v>
      </x:c>
      <x:c r="V165" s="111" t="n">
        <x:f>IFERROR(VLOOKUP($A165,'Andy FLEX'!$A$6:$N$278,13,FALSE),"")</x:f>
        <x:v>0</x:v>
      </x:c>
      <x:c r="W165" s="109" t="n">
        <x:f>IFERROR(VLOOKUP($A165,'Jason FLEX'!$A$6:$N$268,5,FALSE),"")</x:f>
        <x:v>163</x:v>
      </x:c>
      <x:c r="X165" s="110" t="n">
        <x:f>IFERROR(VLOOKUP($A165,'Jason FLEX'!$A$6:$N$268,6,FALSE),"")</x:f>
        <x:v>6.3</x:v>
      </x:c>
      <x:c r="Y165" s="111" t="n">
        <x:f>IFERROR(VLOOKUP($A165,'Jason FLEX'!$A$6:$N$268,7,FALSE),"")</x:f>
        <x:v>0</x:v>
      </x:c>
      <x:c r="Z165" s="111" t="n">
        <x:f>IFERROR(VLOOKUP($A165,'Jason FLEX'!$A$6:$N$268,8,FALSE),"")</x:f>
        <x:v>0</x:v>
      </x:c>
      <x:c r="AA165" s="111" t="n">
        <x:f>IFERROR(VLOOKUP($A165,'Jason FLEX'!$A$6:$N$268,9,FALSE),"")</x:f>
        <x:v>0</x:v>
      </x:c>
      <x:c r="AB165" s="111" t="n">
        <x:f>IFERROR(VLOOKUP($A165,'Jason FLEX'!$A$6:$N$268,10,FALSE),"")</x:f>
        <x:v>41</x:v>
      </x:c>
      <x:c r="AC165" s="111" t="n">
        <x:f>IFERROR(VLOOKUP($A165,'Jason FLEX'!$A$6:$N$268,11,FALSE),"")</x:f>
        <x:v>397</x:v>
      </x:c>
      <x:c r="AD165" s="111" t="n">
        <x:f>IFERROR(VLOOKUP($A165,'Jason FLEX'!$A$6:$N$268,12,FALSE),"")</x:f>
        <x:v>5</x:v>
      </x:c>
      <x:c r="AE165" s="111" t="n">
        <x:f>IFERROR(VLOOKUP($A165,'Jason FLEX'!$A$6:$N$268,13,FALSE),"")</x:f>
        <x:v>0</x:v>
      </x:c>
      <x:c r="AF165" s="110" t="n">
        <x:f>IF(COUNT(E165,N165,W165)=0,"",AVERAGE(E165,N165,W165))</x:f>
        <x:v>162.66666666666666</x:v>
      </x:c>
      <x:c r="AG165" s="110" t="n">
        <x:f>IF(COUNT(E165,N165,W165)=0,"",MAX(E165,N165,W165)-MIN(E165,N165,W165))</x:f>
        <x:v>47</x:v>
      </x:c>
      <x:c r="AH165" s="110" t="n">
        <x:f>IF(COUNT(F165,O165,X165)=0,"",AVERAGE(F165,O165,X165))</x:f>
        <x:v>6.166666666666667</x:v>
      </x:c>
      <x:c r="AI165" s="112" t="n">
        <x:f>IF(COUNT(G165,P165,Y165)=0,"",AVERAGE(G165,P165,Y165))</x:f>
        <x:v>0</x:v>
      </x:c>
      <x:c r="AJ165" s="112" t="n">
        <x:f>IF(COUNT(H165,Q165,Z165)=0,"",AVERAGE(H165,Q165,Z165))</x:f>
        <x:v>0</x:v>
      </x:c>
      <x:c r="AK165" s="112" t="n">
        <x:f>IF(COUNT(I165,R165,AA165)=0,"",AVERAGE(I165,R165,AA165))</x:f>
        <x:v>0</x:v>
      </x:c>
      <x:c r="AL165" s="112" t="n">
        <x:f>IF(COUNT(J165,S165,AB165)=0,"",AVERAGE(J165,S165,AB165))</x:f>
        <x:v>41.333333333333336</x:v>
      </x:c>
      <x:c r="AM165" s="112" t="n">
        <x:f>IF(COUNT(K165,T165,AC165)=0,"",AVERAGE(K165,T165,AC165))</x:f>
        <x:v>395</x:v>
      </x:c>
      <x:c r="AN165" s="112" t="n">
        <x:f>IF(COUNT(L165,U165,AD165)=0,"",AVERAGE(L165,U165,AD165))</x:f>
        <x:v>4.333333333333333</x:v>
      </x:c>
      <x:c r="AO165" s="112" t="n">
        <x:f>IF(COUNT(M165,V165,AE165)=0,"",AVERAGE(M165,V165,AE165))</x:f>
        <x:v>0</x:v>
      </x:c>
    </x:row>
    <x:row r="166">
      <x:c r="A166" s="107" t="str">
        <x:v>Oronde Gadsden</x:v>
      </x:c>
      <x:c r="B166" s="108" t="str">
        <x:v>TE</x:v>
      </x:c>
      <x:c r="C166" s="108" t="str">
        <x:v>LAC</x:v>
      </x:c>
      <x:c r="D166" s="109" t="n">
        <x:v>7</x:v>
      </x:c>
      <x:c r="E166" s="109" t="n">
        <x:f>IFERROR(VLOOKUP($A166,'Mike FLEX'!$A$6:$N$278,5,FALSE),"")</x:f>
        <x:v>125</x:v>
      </x:c>
      <x:c r="F166" s="110" t="n">
        <x:f>IFERROR(VLOOKUP($A166,'Mike FLEX'!$A$6:$N$278,6,FALSE),"")</x:f>
        <x:v>7.9</x:v>
      </x:c>
      <x:c r="G166" s="111" t="n">
        <x:f>IFERROR(VLOOKUP($A166,'Mike FLEX'!$A$6:$N$278,7,FALSE),"")</x:f>
        <x:v>0</x:v>
      </x:c>
      <x:c r="H166" s="111" t="n">
        <x:f>IFERROR(VLOOKUP($A166,'Mike FLEX'!$A$6:$N$278,8,FALSE),"")</x:f>
        <x:v>0</x:v>
      </x:c>
      <x:c r="I166" s="111" t="n">
        <x:f>IFERROR(VLOOKUP($A166,'Mike FLEX'!$A$6:$N$278,9,FALSE),"")</x:f>
        <x:v>0</x:v>
      </x:c>
      <x:c r="J166" s="111" t="n">
        <x:f>IFERROR(VLOOKUP($A166,'Mike FLEX'!$A$6:$N$278,10,FALSE),"")</x:f>
        <x:v>49</x:v>
      </x:c>
      <x:c r="K166" s="111" t="n">
        <x:f>IFERROR(VLOOKUP($A166,'Mike FLEX'!$A$6:$N$278,11,FALSE),"")</x:f>
        <x:v>642</x:v>
      </x:c>
      <x:c r="L166" s="111" t="n">
        <x:f>IFERROR(VLOOKUP($A166,'Mike FLEX'!$A$6:$N$278,12,FALSE),"")</x:f>
        <x:v>4</x:v>
      </x:c>
      <x:c r="M166" s="111" t="n">
        <x:f>IFERROR(VLOOKUP($A166,'Mike FLEX'!$A$6:$N$278,13,FALSE),"")</x:f>
        <x:v>1</x:v>
      </x:c>
      <x:c r="N166" s="109" t="n">
        <x:f>IFERROR(VLOOKUP($A166,'Andy FLEX'!$A$6:$N$278,5,FALSE),"")</x:f>
        <x:v>194</x:v>
      </x:c>
      <x:c r="O166" s="110" t="n">
        <x:f>IFERROR(VLOOKUP($A166,'Andy FLEX'!$A$6:$N$278,6,FALSE),"")</x:f>
        <x:v>5.1</x:v>
      </x:c>
      <x:c r="P166" s="111" t="n">
        <x:f>IFERROR(VLOOKUP($A166,'Andy FLEX'!$A$6:$N$278,7,FALSE),"")</x:f>
        <x:v>1</x:v>
      </x:c>
      <x:c r="Q166" s="111" t="n">
        <x:f>IFERROR(VLOOKUP($A166,'Andy FLEX'!$A$6:$N$278,8,FALSE),"")</x:f>
        <x:v>5</x:v>
      </x:c>
      <x:c r="R166" s="111" t="n">
        <x:f>IFERROR(VLOOKUP($A166,'Andy FLEX'!$A$6:$N$278,9,FALSE),"")</x:f>
        <x:v>0</x:v>
      </x:c>
      <x:c r="S166" s="111" t="n">
        <x:f>IFERROR(VLOOKUP($A166,'Andy FLEX'!$A$6:$N$278,10,FALSE),"")</x:f>
        <x:v>32</x:v>
      </x:c>
      <x:c r="T166" s="111" t="n">
        <x:f>IFERROR(VLOOKUP($A166,'Andy FLEX'!$A$6:$N$278,11,FALSE),"")</x:f>
        <x:v>407</x:v>
      </x:c>
      <x:c r="U166" s="111" t="n">
        <x:f>IFERROR(VLOOKUP($A166,'Andy FLEX'!$A$6:$N$278,12,FALSE),"")</x:f>
        <x:v>2</x:v>
      </x:c>
      <x:c r="V166" s="111" t="n">
        <x:f>IFERROR(VLOOKUP($A166,'Andy FLEX'!$A$6:$N$278,13,FALSE),"")</x:f>
        <x:v>1</x:v>
      </x:c>
      <x:c r="W166" s="109" t="n">
        <x:f>IFERROR(VLOOKUP($A166,'Jason FLEX'!$A$6:$N$268,5,FALSE),"")</x:f>
        <x:v>172</x:v>
      </x:c>
      <x:c r="X166" s="110" t="n">
        <x:f>IFERROR(VLOOKUP($A166,'Jason FLEX'!$A$6:$N$268,6,FALSE),"")</x:f>
        <x:v>6.1</x:v>
      </x:c>
      <x:c r="Y166" s="111" t="n">
        <x:f>IFERROR(VLOOKUP($A166,'Jason FLEX'!$A$6:$N$268,7,FALSE),"")</x:f>
        <x:v>0</x:v>
      </x:c>
      <x:c r="Z166" s="111" t="n">
        <x:f>IFERROR(VLOOKUP($A166,'Jason FLEX'!$A$6:$N$268,8,FALSE),"")</x:f>
        <x:v>0</x:v>
      </x:c>
      <x:c r="AA166" s="111" t="n">
        <x:f>IFERROR(VLOOKUP($A166,'Jason FLEX'!$A$6:$N$268,9,FALSE),"")</x:f>
        <x:v>0</x:v>
      </x:c>
      <x:c r="AB166" s="111" t="n">
        <x:f>IFERROR(VLOOKUP($A166,'Jason FLEX'!$A$6:$N$268,10,FALSE),"")</x:f>
        <x:v>33</x:v>
      </x:c>
      <x:c r="AC166" s="111" t="n">
        <x:f>IFERROR(VLOOKUP($A166,'Jason FLEX'!$A$6:$N$268,11,FALSE),"")</x:f>
        <x:v>433</x:v>
      </x:c>
      <x:c r="AD166" s="111" t="n">
        <x:f>IFERROR(VLOOKUP($A166,'Jason FLEX'!$A$6:$N$268,12,FALSE),"")</x:f>
        <x:v>5</x:v>
      </x:c>
      <x:c r="AE166" s="111" t="n">
        <x:f>IFERROR(VLOOKUP($A166,'Jason FLEX'!$A$6:$N$268,13,FALSE),"")</x:f>
        <x:v>0</x:v>
      </x:c>
      <x:c r="AF166" s="110" t="n">
        <x:f>IF(COUNT(E166,N166,W166)=0,"",AVERAGE(E166,N166,W166))</x:f>
        <x:v>163.66666666666666</x:v>
      </x:c>
      <x:c r="AG166" s="110" t="n">
        <x:f>IF(COUNT(E166,N166,W166)=0,"",MAX(E166,N166,W166)-MIN(E166,N166,W166))</x:f>
        <x:v>69</x:v>
      </x:c>
      <x:c r="AH166" s="110" t="n">
        <x:f>IF(COUNT(F166,O166,X166)=0,"",AVERAGE(F166,O166,X166))</x:f>
        <x:v>6.366666666666667</x:v>
      </x:c>
      <x:c r="AI166" s="112" t="n">
        <x:f>IF(COUNT(G166,P166,Y166)=0,"",AVERAGE(G166,P166,Y166))</x:f>
        <x:v>0.3333333333333333</x:v>
      </x:c>
      <x:c r="AJ166" s="112" t="n">
        <x:f>IF(COUNT(H166,Q166,Z166)=0,"",AVERAGE(H166,Q166,Z166))</x:f>
        <x:v>1.6666666666666667</x:v>
      </x:c>
      <x:c r="AK166" s="112" t="n">
        <x:f>IF(COUNT(I166,R166,AA166)=0,"",AVERAGE(I166,R166,AA166))</x:f>
        <x:v>0</x:v>
      </x:c>
      <x:c r="AL166" s="112" t="n">
        <x:f>IF(COUNT(J166,S166,AB166)=0,"",AVERAGE(J166,S166,AB166))</x:f>
        <x:v>38</x:v>
      </x:c>
      <x:c r="AM166" s="112" t="n">
        <x:f>IF(COUNT(K166,T166,AC166)=0,"",AVERAGE(K166,T166,AC166))</x:f>
        <x:v>494</x:v>
      </x:c>
      <x:c r="AN166" s="112" t="n">
        <x:f>IF(COUNT(L166,U166,AD166)=0,"",AVERAGE(L166,U166,AD166))</x:f>
        <x:v>3.6666666666666665</x:v>
      </x:c>
      <x:c r="AO166" s="112" t="n">
        <x:f>IF(COUNT(M166,V166,AE166)=0,"",AVERAGE(M166,V166,AE166))</x:f>
        <x:v>0.6666666666666666</x:v>
      </x:c>
    </x:row>
    <x:row r="167">
      <x:c r="A167" s="107" t="str">
        <x:v>Ryan Flournoy</x:v>
      </x:c>
      <x:c r="B167" s="108" t="str">
        <x:v>WR</x:v>
      </x:c>
      <x:c r="C167" s="108" t="str">
        <x:v>DAL</x:v>
      </x:c>
      <x:c r="D167" s="109" t="n">
        <x:v>14</x:v>
      </x:c>
      <x:c r="E167" s="109" t="n">
        <x:f>IFERROR(VLOOKUP($A167,'Mike FLEX'!$A$6:$N$278,5,FALSE),"")</x:f>
        <x:v>135</x:v>
      </x:c>
      <x:c r="F167" s="110" t="n">
        <x:f>IFERROR(VLOOKUP($A167,'Mike FLEX'!$A$6:$N$278,6,FALSE),"")</x:f>
        <x:v>7.1</x:v>
      </x:c>
      <x:c r="G167" s="111" t="n">
        <x:f>IFERROR(VLOOKUP($A167,'Mike FLEX'!$A$6:$N$278,7,FALSE),"")</x:f>
        <x:v>2</x:v>
      </x:c>
      <x:c r="H167" s="111" t="n">
        <x:f>IFERROR(VLOOKUP($A167,'Mike FLEX'!$A$6:$N$278,8,FALSE),"")</x:f>
        <x:v>16</x:v>
      </x:c>
      <x:c r="I167" s="111" t="n">
        <x:f>IFERROR(VLOOKUP($A167,'Mike FLEX'!$A$6:$N$278,9,FALSE),"")</x:f>
        <x:v>0</x:v>
      </x:c>
      <x:c r="J167" s="111" t="n">
        <x:f>IFERROR(VLOOKUP($A167,'Mike FLEX'!$A$6:$N$278,10,FALSE),"")</x:f>
        <x:v>45</x:v>
      </x:c>
      <x:c r="K167" s="111" t="n">
        <x:f>IFERROR(VLOOKUP($A167,'Mike FLEX'!$A$6:$N$278,11,FALSE),"")</x:f>
        <x:v>530</x:v>
      </x:c>
      <x:c r="L167" s="111" t="n">
        <x:f>IFERROR(VLOOKUP($A167,'Mike FLEX'!$A$6:$N$278,12,FALSE),"")</x:f>
        <x:v>3</x:v>
      </x:c>
      <x:c r="M167" s="111" t="n">
        <x:f>IFERROR(VLOOKUP($A167,'Mike FLEX'!$A$6:$N$278,13,FALSE),"")</x:f>
        <x:v>0</x:v>
      </x:c>
      <x:c r="N167" s="109" t="n">
        <x:f>IFERROR(VLOOKUP($A167,'Andy FLEX'!$A$6:$N$278,5,FALSE),"")</x:f>
        <x:v>176</x:v>
      </x:c>
      <x:c r="O167" s="110" t="n">
        <x:f>IFERROR(VLOOKUP($A167,'Andy FLEX'!$A$6:$N$278,6,FALSE),"")</x:f>
        <x:v>5.7</x:v>
      </x:c>
      <x:c r="P167" s="111" t="n">
        <x:f>IFERROR(VLOOKUP($A167,'Andy FLEX'!$A$6:$N$278,7,FALSE),"")</x:f>
        <x:v>8</x:v>
      </x:c>
      <x:c r="Q167" s="111" t="n">
        <x:f>IFERROR(VLOOKUP($A167,'Andy FLEX'!$A$6:$N$278,8,FALSE),"")</x:f>
        <x:v>38</x:v>
      </x:c>
      <x:c r="R167" s="111" t="n">
        <x:f>IFERROR(VLOOKUP($A167,'Andy FLEX'!$A$6:$N$278,9,FALSE),"")</x:f>
        <x:v>0</x:v>
      </x:c>
      <x:c r="S167" s="111" t="n">
        <x:f>IFERROR(VLOOKUP($A167,'Andy FLEX'!$A$6:$N$278,10,FALSE),"")</x:f>
        <x:v>34</x:v>
      </x:c>
      <x:c r="T167" s="111" t="n">
        <x:f>IFERROR(VLOOKUP($A167,'Andy FLEX'!$A$6:$N$278,11,FALSE),"")</x:f>
        <x:v>412</x:v>
      </x:c>
      <x:c r="U167" s="111" t="n">
        <x:f>IFERROR(VLOOKUP($A167,'Andy FLEX'!$A$6:$N$278,12,FALSE),"")</x:f>
        <x:v>3</x:v>
      </x:c>
      <x:c r="V167" s="111" t="n">
        <x:f>IFERROR(VLOOKUP($A167,'Andy FLEX'!$A$6:$N$278,13,FALSE),"")</x:f>
        <x:v>0</x:v>
      </x:c>
      <x:c r="W167" s="109" t="n">
        <x:f>IFERROR(VLOOKUP($A167,'Jason FLEX'!$A$6:$N$268,5,FALSE),"")</x:f>
        <x:v>181</x:v>
      </x:c>
      <x:c r="X167" s="110" t="n">
        <x:f>IFERROR(VLOOKUP($A167,'Jason FLEX'!$A$6:$N$268,6,FALSE),"")</x:f>
        <x:v>5.5</x:v>
      </x:c>
      <x:c r="Y167" s="111" t="n">
        <x:f>IFERROR(VLOOKUP($A167,'Jason FLEX'!$A$6:$N$268,7,FALSE),"")</x:f>
        <x:v>0</x:v>
      </x:c>
      <x:c r="Z167" s="111" t="n">
        <x:f>IFERROR(VLOOKUP($A167,'Jason FLEX'!$A$6:$N$268,8,FALSE),"")</x:f>
        <x:v>0</x:v>
      </x:c>
      <x:c r="AA167" s="111" t="n">
        <x:f>IFERROR(VLOOKUP($A167,'Jason FLEX'!$A$6:$N$268,9,FALSE),"")</x:f>
        <x:v>0</x:v>
      </x:c>
      <x:c r="AB167" s="111" t="n">
        <x:f>IFERROR(VLOOKUP($A167,'Jason FLEX'!$A$6:$N$268,10,FALSE),"")</x:f>
        <x:v>33</x:v>
      </x:c>
      <x:c r="AC167" s="111" t="n">
        <x:f>IFERROR(VLOOKUP($A167,'Jason FLEX'!$A$6:$N$268,11,FALSE),"")</x:f>
        <x:v>424</x:v>
      </x:c>
      <x:c r="AD167" s="111" t="n">
        <x:f>IFERROR(VLOOKUP($A167,'Jason FLEX'!$A$6:$N$268,12,FALSE),"")</x:f>
        <x:v>3</x:v>
      </x:c>
      <x:c r="AE167" s="111" t="n">
        <x:f>IFERROR(VLOOKUP($A167,'Jason FLEX'!$A$6:$N$268,13,FALSE),"")</x:f>
        <x:v>1</x:v>
      </x:c>
      <x:c r="AF167" s="110" t="n">
        <x:f>IF(COUNT(E167,N167,W167)=0,"",AVERAGE(E167,N167,W167))</x:f>
        <x:v>164</x:v>
      </x:c>
      <x:c r="AG167" s="110" t="n">
        <x:f>IF(COUNT(E167,N167,W167)=0,"",MAX(E167,N167,W167)-MIN(E167,N167,W167))</x:f>
        <x:v>46</x:v>
      </x:c>
      <x:c r="AH167" s="110" t="n">
        <x:f>IF(COUNT(F167,O167,X167)=0,"",AVERAGE(F167,O167,X167))</x:f>
        <x:v>6.1000000000000005</x:v>
      </x:c>
      <x:c r="AI167" s="112" t="n">
        <x:f>IF(COUNT(G167,P167,Y167)=0,"",AVERAGE(G167,P167,Y167))</x:f>
        <x:v>3.3333333333333335</x:v>
      </x:c>
      <x:c r="AJ167" s="112" t="n">
        <x:f>IF(COUNT(H167,Q167,Z167)=0,"",AVERAGE(H167,Q167,Z167))</x:f>
        <x:v>18</x:v>
      </x:c>
      <x:c r="AK167" s="112" t="n">
        <x:f>IF(COUNT(I167,R167,AA167)=0,"",AVERAGE(I167,R167,AA167))</x:f>
        <x:v>0</x:v>
      </x:c>
      <x:c r="AL167" s="112" t="n">
        <x:f>IF(COUNT(J167,S167,AB167)=0,"",AVERAGE(J167,S167,AB167))</x:f>
        <x:v>37.333333333333336</x:v>
      </x:c>
      <x:c r="AM167" s="112" t="n">
        <x:f>IF(COUNT(K167,T167,AC167)=0,"",AVERAGE(K167,T167,AC167))</x:f>
        <x:v>455.3333333333333</x:v>
      </x:c>
      <x:c r="AN167" s="112" t="n">
        <x:f>IF(COUNT(L167,U167,AD167)=0,"",AVERAGE(L167,U167,AD167))</x:f>
        <x:v>3</x:v>
      </x:c>
      <x:c r="AO167" s="112" t="n">
        <x:f>IF(COUNT(M167,V167,AE167)=0,"",AVERAGE(M167,V167,AE167))</x:f>
        <x:v>0.3333333333333333</x:v>
      </x:c>
    </x:row>
    <x:row r="168">
      <x:c r="A168" s="107" t="str">
        <x:v>Jonah Coleman</x:v>
      </x:c>
      <x:c r="B168" s="108" t="str">
        <x:v>RB</x:v>
      </x:c>
      <x:c r="C168" s="108" t="str">
        <x:v>DEN</x:v>
      </x:c>
      <x:c r="D168" s="109" t="n">
        <x:v>10</x:v>
      </x:c>
      <x:c r="E168" s="109" t="n">
        <x:f>IFERROR(VLOOKUP($A168,'Mike FLEX'!$A$6:$N$278,5,FALSE),"")</x:f>
        <x:v>224</x:v>
      </x:c>
      <x:c r="F168" s="110" t="n">
        <x:f>IFERROR(VLOOKUP($A168,'Mike FLEX'!$A$6:$N$278,6,FALSE),"")</x:f>
        <x:v>3.3</x:v>
      </x:c>
      <x:c r="G168" s="111" t="n">
        <x:f>IFERROR(VLOOKUP($A168,'Mike FLEX'!$A$6:$N$278,7,FALSE),"")</x:f>
        <x:v>63</x:v>
      </x:c>
      <x:c r="H168" s="111" t="n">
        <x:f>IFERROR(VLOOKUP($A168,'Mike FLEX'!$A$6:$N$278,8,FALSE),"")</x:f>
        <x:v>270</x:v>
      </x:c>
      <x:c r="I168" s="111" t="n">
        <x:f>IFERROR(VLOOKUP($A168,'Mike FLEX'!$A$6:$N$278,9,FALSE),"")</x:f>
        <x:v>2</x:v>
      </x:c>
      <x:c r="J168" s="111" t="n">
        <x:f>IFERROR(VLOOKUP($A168,'Mike FLEX'!$A$6:$N$278,10,FALSE),"")</x:f>
        <x:v>9</x:v>
      </x:c>
      <x:c r="K168" s="111" t="n">
        <x:f>IFERROR(VLOOKUP($A168,'Mike FLEX'!$A$6:$N$278,11,FALSE),"")</x:f>
        <x:v>65</x:v>
      </x:c>
      <x:c r="L168" s="111" t="n">
        <x:f>IFERROR(VLOOKUP($A168,'Mike FLEX'!$A$6:$N$278,12,FALSE),"")</x:f>
        <x:v>0</x:v>
      </x:c>
      <x:c r="M168" s="111" t="n">
        <x:f>IFERROR(VLOOKUP($A168,'Mike FLEX'!$A$6:$N$278,13,FALSE),"")</x:f>
        <x:v>0</x:v>
      </x:c>
      <x:c r="N168" s="109" t="n">
        <x:f>IFERROR(VLOOKUP($A168,'Andy FLEX'!$A$6:$N$278,5,FALSE),"")</x:f>
        <x:v>135</x:v>
      </x:c>
      <x:c r="O168" s="110" t="n">
        <x:f>IFERROR(VLOOKUP($A168,'Andy FLEX'!$A$6:$N$278,6,FALSE),"")</x:f>
        <x:v>7.4</x:v>
      </x:c>
      <x:c r="P168" s="111" t="n">
        <x:f>IFERROR(VLOOKUP($A168,'Andy FLEX'!$A$6:$N$278,7,FALSE),"")</x:f>
        <x:v>130</x:v>
      </x:c>
      <x:c r="Q168" s="111" t="n">
        <x:f>IFERROR(VLOOKUP($A168,'Andy FLEX'!$A$6:$N$278,8,FALSE),"")</x:f>
        <x:v>587</x:v>
      </x:c>
      <x:c r="R168" s="111" t="n">
        <x:f>IFERROR(VLOOKUP($A168,'Andy FLEX'!$A$6:$N$278,9,FALSE),"")</x:f>
        <x:v>4</x:v>
      </x:c>
      <x:c r="S168" s="111" t="n">
        <x:f>IFERROR(VLOOKUP($A168,'Andy FLEX'!$A$6:$N$278,10,FALSE),"")</x:f>
        <x:v>23</x:v>
      </x:c>
      <x:c r="T168" s="111" t="n">
        <x:f>IFERROR(VLOOKUP($A168,'Andy FLEX'!$A$6:$N$278,11,FALSE),"")</x:f>
        <x:v>157</x:v>
      </x:c>
      <x:c r="U168" s="111" t="n">
        <x:f>IFERROR(VLOOKUP($A168,'Andy FLEX'!$A$6:$N$278,12,FALSE),"")</x:f>
        <x:v>1</x:v>
      </x:c>
      <x:c r="V168" s="111" t="n">
        <x:f>IFERROR(VLOOKUP($A168,'Andy FLEX'!$A$6:$N$278,13,FALSE),"")</x:f>
        <x:v>1</x:v>
      </x:c>
      <x:c r="W168" s="109" t="n">
        <x:f>IFERROR(VLOOKUP($A168,'Jason FLEX'!$A$6:$N$268,5,FALSE),"")</x:f>
        <x:v>135</x:v>
      </x:c>
      <x:c r="X168" s="110" t="n">
        <x:f>IFERROR(VLOOKUP($A168,'Jason FLEX'!$A$6:$N$268,6,FALSE),"")</x:f>
        <x:v>7.7</x:v>
      </x:c>
      <x:c r="Y168" s="111" t="n">
        <x:f>IFERROR(VLOOKUP($A168,'Jason FLEX'!$A$6:$N$268,7,FALSE),"")</x:f>
        <x:v>105</x:v>
      </x:c>
      <x:c r="Z168" s="111" t="n">
        <x:f>IFERROR(VLOOKUP($A168,'Jason FLEX'!$A$6:$N$268,8,FALSE),"")</x:f>
        <x:v>437</x:v>
      </x:c>
      <x:c r="AA168" s="111" t="n">
        <x:f>IFERROR(VLOOKUP($A168,'Jason FLEX'!$A$6:$N$268,9,FALSE),"")</x:f>
        <x:v>6</x:v>
      </x:c>
      <x:c r="AB168" s="111" t="n">
        <x:f>IFERROR(VLOOKUP($A168,'Jason FLEX'!$A$6:$N$268,10,FALSE),"")</x:f>
        <x:v>27</x:v>
      </x:c>
      <x:c r="AC168" s="111" t="n">
        <x:f>IFERROR(VLOOKUP($A168,'Jason FLEX'!$A$6:$N$268,11,FALSE),"")</x:f>
        <x:v>180</x:v>
      </x:c>
      <x:c r="AD168" s="111" t="n">
        <x:f>IFERROR(VLOOKUP($A168,'Jason FLEX'!$A$6:$N$268,12,FALSE),"")</x:f>
        <x:v>1</x:v>
      </x:c>
      <x:c r="AE168" s="111" t="n">
        <x:f>IFERROR(VLOOKUP($A168,'Jason FLEX'!$A$6:$N$268,13,FALSE),"")</x:f>
        <x:v>0</x:v>
      </x:c>
      <x:c r="AF168" s="110" t="n">
        <x:f>IF(COUNT(E168,N168,W168)=0,"",AVERAGE(E168,N168,W168))</x:f>
        <x:v>164.66666666666666</x:v>
      </x:c>
      <x:c r="AG168" s="110" t="n">
        <x:f>IF(COUNT(E168,N168,W168)=0,"",MAX(E168,N168,W168)-MIN(E168,N168,W168))</x:f>
        <x:v>89</x:v>
      </x:c>
      <x:c r="AH168" s="110" t="n">
        <x:f>IF(COUNT(F168,O168,X168)=0,"",AVERAGE(F168,O168,X168))</x:f>
        <x:v>6.133333333333333</x:v>
      </x:c>
      <x:c r="AI168" s="112" t="n">
        <x:f>IF(COUNT(G168,P168,Y168)=0,"",AVERAGE(G168,P168,Y168))</x:f>
        <x:v>99.33333333333333</x:v>
      </x:c>
      <x:c r="AJ168" s="112" t="n">
        <x:f>IF(COUNT(H168,Q168,Z168)=0,"",AVERAGE(H168,Q168,Z168))</x:f>
        <x:v>431.3333333333333</x:v>
      </x:c>
      <x:c r="AK168" s="112" t="n">
        <x:f>IF(COUNT(I168,R168,AA168)=0,"",AVERAGE(I168,R168,AA168))</x:f>
        <x:v>4</x:v>
      </x:c>
      <x:c r="AL168" s="112" t="n">
        <x:f>IF(COUNT(J168,S168,AB168)=0,"",AVERAGE(J168,S168,AB168))</x:f>
        <x:v>19.666666666666668</x:v>
      </x:c>
      <x:c r="AM168" s="112" t="n">
        <x:f>IF(COUNT(K168,T168,AC168)=0,"",AVERAGE(K168,T168,AC168))</x:f>
        <x:v>134</x:v>
      </x:c>
      <x:c r="AN168" s="112" t="n">
        <x:f>IF(COUNT(L168,U168,AD168)=0,"",AVERAGE(L168,U168,AD168))</x:f>
        <x:v>0.6666666666666666</x:v>
      </x:c>
      <x:c r="AO168" s="112" t="n">
        <x:f>IF(COUNT(M168,V168,AE168)=0,"",AVERAGE(M168,V168,AE168))</x:f>
        <x:v>0.3333333333333333</x:v>
      </x:c>
    </x:row>
    <x:row r="169">
      <x:c r="A169" s="107" t="str">
        <x:v>Alvin Kamara</x:v>
      </x:c>
      <x:c r="B169" s="108" t="str">
        <x:v>RB</x:v>
      </x:c>
      <x:c r="C169" s="108" t="str">
        <x:v>NO</x:v>
      </x:c>
      <x:c r="D169" s="109" t="n">
        <x:v>8</x:v>
      </x:c>
      <x:c r="E169" s="109" t="n">
        <x:f>IFERROR(VLOOKUP($A169,'Mike FLEX'!$A$6:$N$278,5,FALSE),"")</x:f>
        <x:v>184</x:v>
      </x:c>
      <x:c r="F169" s="110" t="n">
        <x:f>IFERROR(VLOOKUP($A169,'Mike FLEX'!$A$6:$N$278,6,FALSE),"")</x:f>
        <x:v>4.6</x:v>
      </x:c>
      <x:c r="G169" s="111" t="n">
        <x:f>IFERROR(VLOOKUP($A169,'Mike FLEX'!$A$6:$N$278,7,FALSE),"")</x:f>
        <x:v>71</x:v>
      </x:c>
      <x:c r="H169" s="111" t="n">
        <x:f>IFERROR(VLOOKUP($A169,'Mike FLEX'!$A$6:$N$278,8,FALSE),"")</x:f>
        <x:v>276</x:v>
      </x:c>
      <x:c r="I169" s="111" t="n">
        <x:f>IFERROR(VLOOKUP($A169,'Mike FLEX'!$A$6:$N$278,9,FALSE),"")</x:f>
        <x:v>2</x:v>
      </x:c>
      <x:c r="J169" s="111" t="n">
        <x:f>IFERROR(VLOOKUP($A169,'Mike FLEX'!$A$6:$N$278,10,FALSE),"")</x:f>
        <x:v>20</x:v>
      </x:c>
      <x:c r="K169" s="111" t="n">
        <x:f>IFERROR(VLOOKUP($A169,'Mike FLEX'!$A$6:$N$278,11,FALSE),"")</x:f>
        <x:v>152</x:v>
      </x:c>
      <x:c r="L169" s="111" t="n">
        <x:f>IFERROR(VLOOKUP($A169,'Mike FLEX'!$A$6:$N$278,12,FALSE),"")</x:f>
        <x:v>1</x:v>
      </x:c>
      <x:c r="M169" s="111" t="n">
        <x:f>IFERROR(VLOOKUP($A169,'Mike FLEX'!$A$6:$N$278,13,FALSE),"")</x:f>
        <x:v>2</x:v>
      </x:c>
      <x:c r="N169" s="109" t="n">
        <x:f>IFERROR(VLOOKUP($A169,'Andy FLEX'!$A$6:$N$278,5,FALSE),"")</x:f>
        <x:v>158</x:v>
      </x:c>
      <x:c r="O169" s="110" t="n">
        <x:f>IFERROR(VLOOKUP($A169,'Andy FLEX'!$A$6:$N$278,6,FALSE),"")</x:f>
        <x:v>6.1</x:v>
      </x:c>
      <x:c r="P169" s="111" t="n">
        <x:f>IFERROR(VLOOKUP($A169,'Andy FLEX'!$A$6:$N$278,7,FALSE),"")</x:f>
        <x:v>68</x:v>
      </x:c>
      <x:c r="Q169" s="111" t="n">
        <x:f>IFERROR(VLOOKUP($A169,'Andy FLEX'!$A$6:$N$278,8,FALSE),"")</x:f>
        <x:v>251</x:v>
      </x:c>
      <x:c r="R169" s="111" t="n">
        <x:f>IFERROR(VLOOKUP($A169,'Andy FLEX'!$A$6:$N$278,9,FALSE),"")</x:f>
        <x:v>2</x:v>
      </x:c>
      <x:c r="S169" s="111" t="n">
        <x:f>IFERROR(VLOOKUP($A169,'Andy FLEX'!$A$6:$N$278,10,FALSE),"")</x:f>
        <x:v>37</x:v>
      </x:c>
      <x:c r="T169" s="111" t="n">
        <x:f>IFERROR(VLOOKUP($A169,'Andy FLEX'!$A$6:$N$278,11,FALSE),"")</x:f>
        <x:v>201</x:v>
      </x:c>
      <x:c r="U169" s="111" t="n">
        <x:f>IFERROR(VLOOKUP($A169,'Andy FLEX'!$A$6:$N$278,12,FALSE),"")</x:f>
        <x:v>2</x:v>
      </x:c>
      <x:c r="V169" s="111" t="n">
        <x:f>IFERROR(VLOOKUP($A169,'Andy FLEX'!$A$6:$N$278,13,FALSE),"")</x:f>
        <x:v>1</x:v>
      </x:c>
      <x:c r="W169" s="109" t="n">
        <x:f>IFERROR(VLOOKUP($A169,'Jason FLEX'!$A$6:$N$268,5,FALSE),"")</x:f>
        <x:v>157</x:v>
      </x:c>
      <x:c r="X169" s="110" t="n">
        <x:f>IFERROR(VLOOKUP($A169,'Jason FLEX'!$A$6:$N$268,6,FALSE),"")</x:f>
        <x:v>6.7</x:v>
      </x:c>
      <x:c r="Y169" s="111" t="n">
        <x:f>IFERROR(VLOOKUP($A169,'Jason FLEX'!$A$6:$N$268,7,FALSE),"")</x:f>
        <x:v>90</x:v>
      </x:c>
      <x:c r="Z169" s="111" t="n">
        <x:f>IFERROR(VLOOKUP($A169,'Jason FLEX'!$A$6:$N$268,8,FALSE),"")</x:f>
        <x:v>356</x:v>
      </x:c>
      <x:c r="AA169" s="111" t="n">
        <x:f>IFERROR(VLOOKUP($A169,'Jason FLEX'!$A$6:$N$268,9,FALSE),"")</x:f>
        <x:v>3</x:v>
      </x:c>
      <x:c r="AB169" s="111" t="n">
        <x:f>IFERROR(VLOOKUP($A169,'Jason FLEX'!$A$6:$N$268,10,FALSE),"")</x:f>
        <x:v>34</x:v>
      </x:c>
      <x:c r="AC169" s="111" t="n">
        <x:f>IFERROR(VLOOKUP($A169,'Jason FLEX'!$A$6:$N$268,11,FALSE),"")</x:f>
        <x:v>238</x:v>
      </x:c>
      <x:c r="AD169" s="111" t="n">
        <x:f>IFERROR(VLOOKUP($A169,'Jason FLEX'!$A$6:$N$268,12,FALSE),"")</x:f>
        <x:v>1</x:v>
      </x:c>
      <x:c r="AE169" s="111" t="n">
        <x:f>IFERROR(VLOOKUP($A169,'Jason FLEX'!$A$6:$N$268,13,FALSE),"")</x:f>
        <x:v>2</x:v>
      </x:c>
      <x:c r="AF169" s="110" t="n">
        <x:f>IF(COUNT(E169,N169,W169)=0,"",AVERAGE(E169,N169,W169))</x:f>
        <x:v>166.33333333333334</x:v>
      </x:c>
      <x:c r="AG169" s="110" t="n">
        <x:f>IF(COUNT(E169,N169,W169)=0,"",MAX(E169,N169,W169)-MIN(E169,N169,W169))</x:f>
        <x:v>27</x:v>
      </x:c>
      <x:c r="AH169" s="110" t="n">
        <x:f>IF(COUNT(F169,O169,X169)=0,"",AVERAGE(F169,O169,X169))</x:f>
        <x:v>5.8</x:v>
      </x:c>
      <x:c r="AI169" s="112" t="n">
        <x:f>IF(COUNT(G169,P169,Y169)=0,"",AVERAGE(G169,P169,Y169))</x:f>
        <x:v>76.33333333333333</x:v>
      </x:c>
      <x:c r="AJ169" s="112" t="n">
        <x:f>IF(COUNT(H169,Q169,Z169)=0,"",AVERAGE(H169,Q169,Z169))</x:f>
        <x:v>294.3333333333333</x:v>
      </x:c>
      <x:c r="AK169" s="112" t="n">
        <x:f>IF(COUNT(I169,R169,AA169)=0,"",AVERAGE(I169,R169,AA169))</x:f>
        <x:v>2.3333333333333335</x:v>
      </x:c>
      <x:c r="AL169" s="112" t="n">
        <x:f>IF(COUNT(J169,S169,AB169)=0,"",AVERAGE(J169,S169,AB169))</x:f>
        <x:v>30.333333333333332</x:v>
      </x:c>
      <x:c r="AM169" s="112" t="n">
        <x:f>IF(COUNT(K169,T169,AC169)=0,"",AVERAGE(K169,T169,AC169))</x:f>
        <x:v>197</x:v>
      </x:c>
      <x:c r="AN169" s="112" t="n">
        <x:f>IF(COUNT(L169,U169,AD169)=0,"",AVERAGE(L169,U169,AD169))</x:f>
        <x:v>1.3333333333333333</x:v>
      </x:c>
      <x:c r="AO169" s="112" t="n">
        <x:f>IF(COUNT(M169,V169,AE169)=0,"",AVERAGE(M169,V169,AE169))</x:f>
        <x:v>1.6666666666666667</x:v>
      </x:c>
    </x:row>
    <x:row r="170">
      <x:c r="A170" s="107" t="str">
        <x:v>Mike Washington Jr.</x:v>
      </x:c>
      <x:c r="B170" s="108" t="str">
        <x:v>RB</x:v>
      </x:c>
      <x:c r="C170" s="108" t="str">
        <x:v>LV</x:v>
      </x:c>
      <x:c r="D170" s="109" t="n">
        <x:v>13</x:v>
      </x:c>
      <x:c r="E170" s="109" t="n">
        <x:f>IFERROR(VLOOKUP($A170,'Mike FLEX'!$A$6:$N$278,5,FALSE),"")</x:f>
        <x:v>149</x:v>
      </x:c>
      <x:c r="F170" s="110" t="n">
        <x:f>IFERROR(VLOOKUP($A170,'Mike FLEX'!$A$6:$N$278,6,FALSE),"")</x:f>
        <x:v>6.6</x:v>
      </x:c>
      <x:c r="G170" s="111" t="n">
        <x:f>IFERROR(VLOOKUP($A170,'Mike FLEX'!$A$6:$N$278,7,FALSE),"")</x:f>
        <x:v>82</x:v>
      </x:c>
      <x:c r="H170" s="111" t="n">
        <x:f>IFERROR(VLOOKUP($A170,'Mike FLEX'!$A$6:$N$278,8,FALSE),"")</x:f>
        <x:v>385</x:v>
      </x:c>
      <x:c r="I170" s="111" t="n">
        <x:f>IFERROR(VLOOKUP($A170,'Mike FLEX'!$A$6:$N$278,9,FALSE),"")</x:f>
        <x:v>3</x:v>
      </x:c>
      <x:c r="J170" s="111" t="n">
        <x:f>IFERROR(VLOOKUP($A170,'Mike FLEX'!$A$6:$N$278,10,FALSE),"")</x:f>
        <x:v>30</x:v>
      </x:c>
      <x:c r="K170" s="111" t="n">
        <x:f>IFERROR(VLOOKUP($A170,'Mike FLEX'!$A$6:$N$278,11,FALSE),"")</x:f>
        <x:v>212</x:v>
      </x:c>
      <x:c r="L170" s="111" t="n">
        <x:f>IFERROR(VLOOKUP($A170,'Mike FLEX'!$A$6:$N$278,12,FALSE),"")</x:f>
        <x:v>1</x:v>
      </x:c>
      <x:c r="M170" s="111" t="n">
        <x:f>IFERROR(VLOOKUP($A170,'Mike FLEX'!$A$6:$N$278,13,FALSE),"")</x:f>
        <x:v>0</x:v>
      </x:c>
      <x:c r="N170" s="109" t="n">
        <x:f>IFERROR(VLOOKUP($A170,'Andy FLEX'!$A$6:$N$278,5,FALSE),"")</x:f>
        <x:v>201</x:v>
      </x:c>
      <x:c r="O170" s="110" t="n">
        <x:f>IFERROR(VLOOKUP($A170,'Andy FLEX'!$A$6:$N$278,6,FALSE),"")</x:f>
        <x:v>4.8</x:v>
      </x:c>
      <x:c r="P170" s="111" t="n">
        <x:f>IFERROR(VLOOKUP($A170,'Andy FLEX'!$A$6:$N$278,7,FALSE),"")</x:f>
        <x:v>67</x:v>
      </x:c>
      <x:c r="Q170" s="111" t="n">
        <x:f>IFERROR(VLOOKUP($A170,'Andy FLEX'!$A$6:$N$278,8,FALSE),"")</x:f>
        <x:v>276</x:v>
      </x:c>
      <x:c r="R170" s="111" t="n">
        <x:f>IFERROR(VLOOKUP($A170,'Andy FLEX'!$A$6:$N$278,9,FALSE),"")</x:f>
        <x:v>3</x:v>
      </x:c>
      <x:c r="S170" s="111" t="n">
        <x:f>IFERROR(VLOOKUP($A170,'Andy FLEX'!$A$6:$N$278,10,FALSE),"")</x:f>
        <x:v>19</x:v>
      </x:c>
      <x:c r="T170" s="111" t="n">
        <x:f>IFERROR(VLOOKUP($A170,'Andy FLEX'!$A$6:$N$278,11,FALSE),"")</x:f>
        <x:v>142</x:v>
      </x:c>
      <x:c r="U170" s="111" t="n">
        <x:f>IFERROR(VLOOKUP($A170,'Andy FLEX'!$A$6:$N$278,12,FALSE),"")</x:f>
        <x:v>1</x:v>
      </x:c>
      <x:c r="V170" s="111" t="n">
        <x:f>IFERROR(VLOOKUP($A170,'Andy FLEX'!$A$6:$N$278,13,FALSE),"")</x:f>
        <x:v>1</x:v>
      </x:c>
      <x:c r="W170" s="109" t="n">
        <x:f>IFERROR(VLOOKUP($A170,'Jason FLEX'!$A$6:$N$268,5,FALSE),"")</x:f>
        <x:v>151</x:v>
      </x:c>
      <x:c r="X170" s="110" t="n">
        <x:f>IFERROR(VLOOKUP($A170,'Jason FLEX'!$A$6:$N$268,6,FALSE),"")</x:f>
        <x:v>6.9</x:v>
      </x:c>
      <x:c r="Y170" s="111" t="n">
        <x:f>IFERROR(VLOOKUP($A170,'Jason FLEX'!$A$6:$N$268,7,FALSE),"")</x:f>
        <x:v>200</x:v>
      </x:c>
      <x:c r="Z170" s="111" t="n">
        <x:f>IFERROR(VLOOKUP($A170,'Jason FLEX'!$A$6:$N$268,8,FALSE),"")</x:f>
        <x:v>664</x:v>
      </x:c>
      <x:c r="AA170" s="111" t="n">
        <x:f>IFERROR(VLOOKUP($A170,'Jason FLEX'!$A$6:$N$268,9,FALSE),"")</x:f>
        <x:v>3</x:v>
      </x:c>
      <x:c r="AB170" s="111" t="n">
        <x:f>IFERROR(VLOOKUP($A170,'Jason FLEX'!$A$6:$N$268,10,FALSE),"")</x:f>
        <x:v>22</x:v>
      </x:c>
      <x:c r="AC170" s="111" t="n">
        <x:f>IFERROR(VLOOKUP($A170,'Jason FLEX'!$A$6:$N$268,11,FALSE),"")</x:f>
        <x:v>125</x:v>
      </x:c>
      <x:c r="AD170" s="111" t="n">
        <x:f>IFERROR(VLOOKUP($A170,'Jason FLEX'!$A$6:$N$268,12,FALSE),"")</x:f>
        <x:v>1</x:v>
      </x:c>
      <x:c r="AE170" s="111" t="n">
        <x:f>IFERROR(VLOOKUP($A170,'Jason FLEX'!$A$6:$N$268,13,FALSE),"")</x:f>
        <x:v>1</x:v>
      </x:c>
      <x:c r="AF170" s="110" t="n">
        <x:f>IF(COUNT(E170,N170,W170)=0,"",AVERAGE(E170,N170,W170))</x:f>
        <x:v>167</x:v>
      </x:c>
      <x:c r="AG170" s="110" t="n">
        <x:f>IF(COUNT(E170,N170,W170)=0,"",MAX(E170,N170,W170)-MIN(E170,N170,W170))</x:f>
        <x:v>52</x:v>
      </x:c>
      <x:c r="AH170" s="110" t="n">
        <x:f>IF(COUNT(F170,O170,X170)=0,"",AVERAGE(F170,O170,X170))</x:f>
        <x:v>6.099999999999999</x:v>
      </x:c>
      <x:c r="AI170" s="112" t="n">
        <x:f>IF(COUNT(G170,P170,Y170)=0,"",AVERAGE(G170,P170,Y170))</x:f>
        <x:v>116.33333333333333</x:v>
      </x:c>
      <x:c r="AJ170" s="112" t="n">
        <x:f>IF(COUNT(H170,Q170,Z170)=0,"",AVERAGE(H170,Q170,Z170))</x:f>
        <x:v>441.6666666666667</x:v>
      </x:c>
      <x:c r="AK170" s="112" t="n">
        <x:f>IF(COUNT(I170,R170,AA170)=0,"",AVERAGE(I170,R170,AA170))</x:f>
        <x:v>3</x:v>
      </x:c>
      <x:c r="AL170" s="112" t="n">
        <x:f>IF(COUNT(J170,S170,AB170)=0,"",AVERAGE(J170,S170,AB170))</x:f>
        <x:v>23.666666666666668</x:v>
      </x:c>
      <x:c r="AM170" s="112" t="n">
        <x:f>IF(COUNT(K170,T170,AC170)=0,"",AVERAGE(K170,T170,AC170))</x:f>
        <x:v>159.66666666666666</x:v>
      </x:c>
      <x:c r="AN170" s="112" t="n">
        <x:f>IF(COUNT(L170,U170,AD170)=0,"",AVERAGE(L170,U170,AD170))</x:f>
        <x:v>1</x:v>
      </x:c>
      <x:c r="AO170" s="112" t="n">
        <x:f>IF(COUNT(M170,V170,AE170)=0,"",AVERAGE(M170,V170,AE170))</x:f>
        <x:v>0.6666666666666666</x:v>
      </x:c>
    </x:row>
    <x:row r="171">
      <x:c r="A171" s="107" t="str">
        <x:v>Caleb Douglas</x:v>
      </x:c>
      <x:c r="B171" s="108" t="str">
        <x:v>WR</x:v>
      </x:c>
      <x:c r="C171" s="108" t="str">
        <x:v>MIA</x:v>
      </x:c>
      <x:c r="D171" s="109" t="n">
        <x:v>6</x:v>
      </x:c>
      <x:c r="E171" s="109" t="n">
        <x:f>IFERROR(VLOOKUP($A171,'Mike FLEX'!$A$6:$N$278,5,FALSE),"")</x:f>
        <x:v>165</x:v>
      </x:c>
      <x:c r="F171" s="110" t="n">
        <x:f>IFERROR(VLOOKUP($A171,'Mike FLEX'!$A$6:$N$278,6,FALSE),"")</x:f>
        <x:v>5.5</x:v>
      </x:c>
      <x:c r="G171" s="111" t="n">
        <x:f>IFERROR(VLOOKUP($A171,'Mike FLEX'!$A$6:$N$278,7,FALSE),"")</x:f>
        <x:v>0</x:v>
      </x:c>
      <x:c r="H171" s="111" t="n">
        <x:f>IFERROR(VLOOKUP($A171,'Mike FLEX'!$A$6:$N$278,8,FALSE),"")</x:f>
        <x:v>0</x:v>
      </x:c>
      <x:c r="I171" s="111" t="n">
        <x:f>IFERROR(VLOOKUP($A171,'Mike FLEX'!$A$6:$N$278,9,FALSE),"")</x:f>
        <x:v>0</x:v>
      </x:c>
      <x:c r="J171" s="111" t="n">
        <x:f>IFERROR(VLOOKUP($A171,'Mike FLEX'!$A$6:$N$278,10,FALSE),"")</x:f>
        <x:v>39</x:v>
      </x:c>
      <x:c r="K171" s="111" t="n">
        <x:f>IFERROR(VLOOKUP($A171,'Mike FLEX'!$A$6:$N$278,11,FALSE),"")</x:f>
        <x:v>406</x:v>
      </x:c>
      <x:c r="L171" s="111" t="n">
        <x:f>IFERROR(VLOOKUP($A171,'Mike FLEX'!$A$6:$N$278,12,FALSE),"")</x:f>
        <x:v>2</x:v>
      </x:c>
      <x:c r="M171" s="111" t="n">
        <x:f>IFERROR(VLOOKUP($A171,'Mike FLEX'!$A$6:$N$278,13,FALSE),"")</x:f>
        <x:v>0</x:v>
      </x:c>
      <x:c r="N171" s="109" t="n">
        <x:f>IFERROR(VLOOKUP($A171,'Andy FLEX'!$A$6:$N$278,5,FALSE),"")</x:f>
        <x:v>190</x:v>
      </x:c>
      <x:c r="O171" s="110" t="n">
        <x:f>IFERROR(VLOOKUP($A171,'Andy FLEX'!$A$6:$N$278,6,FALSE),"")</x:f>
        <x:v>5.2</x:v>
      </x:c>
      <x:c r="P171" s="111" t="n">
        <x:f>IFERROR(VLOOKUP($A171,'Andy FLEX'!$A$6:$N$278,7,FALSE),"")</x:f>
        <x:v>3</x:v>
      </x:c>
      <x:c r="Q171" s="111" t="n">
        <x:f>IFERROR(VLOOKUP($A171,'Andy FLEX'!$A$6:$N$278,8,FALSE),"")</x:f>
        <x:v>18</x:v>
      </x:c>
      <x:c r="R171" s="111" t="n">
        <x:f>IFERROR(VLOOKUP($A171,'Andy FLEX'!$A$6:$N$278,9,FALSE),"")</x:f>
        <x:v>0</x:v>
      </x:c>
      <x:c r="S171" s="111" t="n">
        <x:f>IFERROR(VLOOKUP($A171,'Andy FLEX'!$A$6:$N$278,10,FALSE),"")</x:f>
        <x:v>28</x:v>
      </x:c>
      <x:c r="T171" s="111" t="n">
        <x:f>IFERROR(VLOOKUP($A171,'Andy FLEX'!$A$6:$N$278,11,FALSE),"")</x:f>
        <x:v>398</x:v>
      </x:c>
      <x:c r="U171" s="111" t="n">
        <x:f>IFERROR(VLOOKUP($A171,'Andy FLEX'!$A$6:$N$278,12,FALSE),"")</x:f>
        <x:v>3</x:v>
      </x:c>
      <x:c r="V171" s="111" t="n">
        <x:f>IFERROR(VLOOKUP($A171,'Andy FLEX'!$A$6:$N$278,13,FALSE),"")</x:f>
        <x:v>1</x:v>
      </x:c>
      <x:c r="W171" s="109" t="n">
        <x:f>IFERROR(VLOOKUP($A171,'Jason FLEX'!$A$6:$N$268,5,FALSE),"")</x:f>
        <x:v>148</x:v>
      </x:c>
      <x:c r="X171" s="110" t="n">
        <x:f>IFERROR(VLOOKUP($A171,'Jason FLEX'!$A$6:$N$268,6,FALSE),"")</x:f>
        <x:v>7</x:v>
      </x:c>
      <x:c r="Y171" s="111" t="n">
        <x:f>IFERROR(VLOOKUP($A171,'Jason FLEX'!$A$6:$N$268,7,FALSE),"")</x:f>
        <x:v>0</x:v>
      </x:c>
      <x:c r="Z171" s="111" t="n">
        <x:f>IFERROR(VLOOKUP($A171,'Jason FLEX'!$A$6:$N$268,8,FALSE),"")</x:f>
        <x:v>0</x:v>
      </x:c>
      <x:c r="AA171" s="111" t="n">
        <x:f>IFERROR(VLOOKUP($A171,'Jason FLEX'!$A$6:$N$268,9,FALSE),"")</x:f>
        <x:v>0</x:v>
      </x:c>
      <x:c r="AB171" s="111" t="n">
        <x:f>IFERROR(VLOOKUP($A171,'Jason FLEX'!$A$6:$N$268,10,FALSE),"")</x:f>
        <x:v>43</x:v>
      </x:c>
      <x:c r="AC171" s="111" t="n">
        <x:f>IFERROR(VLOOKUP($A171,'Jason FLEX'!$A$6:$N$268,11,FALSE),"")</x:f>
        <x:v>573</x:v>
      </x:c>
      <x:c r="AD171" s="111" t="n">
        <x:f>IFERROR(VLOOKUP($A171,'Jason FLEX'!$A$6:$N$268,12,FALSE),"")</x:f>
        <x:v>3</x:v>
      </x:c>
      <x:c r="AE171" s="111" t="n">
        <x:f>IFERROR(VLOOKUP($A171,'Jason FLEX'!$A$6:$N$268,13,FALSE),"")</x:f>
        <x:v>0</x:v>
      </x:c>
      <x:c r="AF171" s="110" t="n">
        <x:f>IF(COUNT(E171,N171,W171)=0,"",AVERAGE(E171,N171,W171))</x:f>
        <x:v>167.66666666666666</x:v>
      </x:c>
      <x:c r="AG171" s="110" t="n">
        <x:f>IF(COUNT(E171,N171,W171)=0,"",MAX(E171,N171,W171)-MIN(E171,N171,W171))</x:f>
        <x:v>42</x:v>
      </x:c>
      <x:c r="AH171" s="110" t="n">
        <x:f>IF(COUNT(F171,O171,X171)=0,"",AVERAGE(F171,O171,X171))</x:f>
        <x:v>5.8999999999999995</x:v>
      </x:c>
      <x:c r="AI171" s="112" t="n">
        <x:f>IF(COUNT(G171,P171,Y171)=0,"",AVERAGE(G171,P171,Y171))</x:f>
        <x:v>1</x:v>
      </x:c>
      <x:c r="AJ171" s="112" t="n">
        <x:f>IF(COUNT(H171,Q171,Z171)=0,"",AVERAGE(H171,Q171,Z171))</x:f>
        <x:v>6</x:v>
      </x:c>
      <x:c r="AK171" s="112" t="n">
        <x:f>IF(COUNT(I171,R171,AA171)=0,"",AVERAGE(I171,R171,AA171))</x:f>
        <x:v>0</x:v>
      </x:c>
      <x:c r="AL171" s="112" t="n">
        <x:f>IF(COUNT(J171,S171,AB171)=0,"",AVERAGE(J171,S171,AB171))</x:f>
        <x:v>36.666666666666664</x:v>
      </x:c>
      <x:c r="AM171" s="112" t="n">
        <x:f>IF(COUNT(K171,T171,AC171)=0,"",AVERAGE(K171,T171,AC171))</x:f>
        <x:v>459</x:v>
      </x:c>
      <x:c r="AN171" s="112" t="n">
        <x:f>IF(COUNT(L171,U171,AD171)=0,"",AVERAGE(L171,U171,AD171))</x:f>
        <x:v>2.6666666666666665</x:v>
      </x:c>
      <x:c r="AO171" s="112" t="n">
        <x:f>IF(COUNT(M171,V171,AE171)=0,"",AVERAGE(M171,V171,AE171))</x:f>
        <x:v>0.3333333333333333</x:v>
      </x:c>
    </x:row>
    <x:row r="172">
      <x:c r="A172" s="107" t="str">
        <x:v>Zachariah Branch</x:v>
      </x:c>
      <x:c r="B172" s="108" t="str">
        <x:v>WR</x:v>
      </x:c>
      <x:c r="C172" s="108" t="str">
        <x:v>ATL</x:v>
      </x:c>
      <x:c r="D172" s="109" t="n">
        <x:v>11</x:v>
      </x:c>
      <x:c r="E172" s="109" t="n">
        <x:f>IFERROR(VLOOKUP($A172,'Mike FLEX'!$A$6:$N$278,5,FALSE),"")</x:f>
        <x:v>201</x:v>
      </x:c>
      <x:c r="F172" s="110" t="n">
        <x:f>IFERROR(VLOOKUP($A172,'Mike FLEX'!$A$6:$N$278,6,FALSE),"")</x:f>
        <x:v>4.1</x:v>
      </x:c>
      <x:c r="G172" s="111" t="n">
        <x:f>IFERROR(VLOOKUP($A172,'Mike FLEX'!$A$6:$N$278,7,FALSE),"")</x:f>
        <x:v>0</x:v>
      </x:c>
      <x:c r="H172" s="111" t="n">
        <x:f>IFERROR(VLOOKUP($A172,'Mike FLEX'!$A$6:$N$278,8,FALSE),"")</x:f>
        <x:v>0</x:v>
      </x:c>
      <x:c r="I172" s="111" t="n">
        <x:f>IFERROR(VLOOKUP($A172,'Mike FLEX'!$A$6:$N$278,9,FALSE),"")</x:f>
        <x:v>0</x:v>
      </x:c>
      <x:c r="J172" s="111" t="n">
        <x:f>IFERROR(VLOOKUP($A172,'Mike FLEX'!$A$6:$N$278,10,FALSE),"")</x:f>
        <x:v>26</x:v>
      </x:c>
      <x:c r="K172" s="111" t="n">
        <x:f>IFERROR(VLOOKUP($A172,'Mike FLEX'!$A$6:$N$278,11,FALSE),"")</x:f>
        <x:v>315</x:v>
      </x:c>
      <x:c r="L172" s="111" t="n">
        <x:f>IFERROR(VLOOKUP($A172,'Mike FLEX'!$A$6:$N$278,12,FALSE),"")</x:f>
        <x:v>2</x:v>
      </x:c>
      <x:c r="M172" s="111" t="n">
        <x:f>IFERROR(VLOOKUP($A172,'Mike FLEX'!$A$6:$N$278,13,FALSE),"")</x:f>
        <x:v>0</x:v>
      </x:c>
      <x:c r="N172" s="109" t="n">
        <x:f>IFERROR(VLOOKUP($A172,'Andy FLEX'!$A$6:$N$278,5,FALSE),"")</x:f>
        <x:v>188</x:v>
      </x:c>
      <x:c r="O172" s="110" t="n">
        <x:f>IFERROR(VLOOKUP($A172,'Andy FLEX'!$A$6:$N$278,6,FALSE),"")</x:f>
        <x:v>5.2</x:v>
      </x:c>
      <x:c r="P172" s="111" t="n">
        <x:f>IFERROR(VLOOKUP($A172,'Andy FLEX'!$A$6:$N$278,7,FALSE),"")</x:f>
        <x:v>0</x:v>
      </x:c>
      <x:c r="Q172" s="111" t="n">
        <x:f>IFERROR(VLOOKUP($A172,'Andy FLEX'!$A$6:$N$278,8,FALSE),"")</x:f>
        <x:v>83</x:v>
      </x:c>
      <x:c r="R172" s="111" t="n">
        <x:f>IFERROR(VLOOKUP($A172,'Andy FLEX'!$A$6:$N$278,9,FALSE),"")</x:f>
        <x:v>0</x:v>
      </x:c>
      <x:c r="S172" s="111" t="n">
        <x:f>IFERROR(VLOOKUP($A172,'Andy FLEX'!$A$6:$N$278,10,FALSE),"")</x:f>
        <x:v>31</x:v>
      </x:c>
      <x:c r="T172" s="111" t="n">
        <x:f>IFERROR(VLOOKUP($A172,'Andy FLEX'!$A$6:$N$278,11,FALSE),"")</x:f>
        <x:v>396</x:v>
      </x:c>
      <x:c r="U172" s="111" t="n">
        <x:f>IFERROR(VLOOKUP($A172,'Andy FLEX'!$A$6:$N$278,12,FALSE),"")</x:f>
        <x:v>2</x:v>
      </x:c>
      <x:c r="V172" s="111" t="n">
        <x:f>IFERROR(VLOOKUP($A172,'Andy FLEX'!$A$6:$N$278,13,FALSE),"")</x:f>
        <x:v>0</x:v>
      </x:c>
      <x:c r="W172" s="109" t="n">
        <x:f>IFERROR(VLOOKUP($A172,'Jason FLEX'!$A$6:$N$268,5,FALSE),"")</x:f>
        <x:v>116</x:v>
      </x:c>
      <x:c r="X172" s="110" t="n">
        <x:f>IFERROR(VLOOKUP($A172,'Jason FLEX'!$A$6:$N$268,6,FALSE),"")</x:f>
        <x:v>8.9</x:v>
      </x:c>
      <x:c r="Y172" s="111" t="n">
        <x:f>IFERROR(VLOOKUP($A172,'Jason FLEX'!$A$6:$N$268,7,FALSE),"")</x:f>
        <x:v>10</x:v>
      </x:c>
      <x:c r="Z172" s="111" t="n">
        <x:f>IFERROR(VLOOKUP($A172,'Jason FLEX'!$A$6:$N$268,8,FALSE),"")</x:f>
        <x:v>70</x:v>
      </x:c>
      <x:c r="AA172" s="111" t="n">
        <x:f>IFERROR(VLOOKUP($A172,'Jason FLEX'!$A$6:$N$268,9,FALSE),"")</x:f>
        <x:v>0</x:v>
      </x:c>
      <x:c r="AB172" s="111" t="n">
        <x:f>IFERROR(VLOOKUP($A172,'Jason FLEX'!$A$6:$N$268,10,FALSE),"")</x:f>
        <x:v>57</x:v>
      </x:c>
      <x:c r="AC172" s="111" t="n">
        <x:f>IFERROR(VLOOKUP($A172,'Jason FLEX'!$A$6:$N$268,11,FALSE),"")</x:f>
        <x:v>604</x:v>
      </x:c>
      <x:c r="AD172" s="111" t="n">
        <x:f>IFERROR(VLOOKUP($A172,'Jason FLEX'!$A$6:$N$268,12,FALSE),"")</x:f>
        <x:v>5</x:v>
      </x:c>
      <x:c r="AE172" s="111" t="n">
        <x:f>IFERROR(VLOOKUP($A172,'Jason FLEX'!$A$6:$N$268,13,FALSE),"")</x:f>
        <x:v>0</x:v>
      </x:c>
      <x:c r="AF172" s="110" t="n">
        <x:f>IF(COUNT(E172,N172,W172)=0,"",AVERAGE(E172,N172,W172))</x:f>
        <x:v>168.33333333333334</x:v>
      </x:c>
      <x:c r="AG172" s="110" t="n">
        <x:f>IF(COUNT(E172,N172,W172)=0,"",MAX(E172,N172,W172)-MIN(E172,N172,W172))</x:f>
        <x:v>85</x:v>
      </x:c>
      <x:c r="AH172" s="110" t="n">
        <x:f>IF(COUNT(F172,O172,X172)=0,"",AVERAGE(F172,O172,X172))</x:f>
        <x:v>6.066666666666667</x:v>
      </x:c>
      <x:c r="AI172" s="112" t="n">
        <x:f>IF(COUNT(G172,P172,Y172)=0,"",AVERAGE(G172,P172,Y172))</x:f>
        <x:v>3.3333333333333335</x:v>
      </x:c>
      <x:c r="AJ172" s="112" t="n">
        <x:f>IF(COUNT(H172,Q172,Z172)=0,"",AVERAGE(H172,Q172,Z172))</x:f>
        <x:v>51</x:v>
      </x:c>
      <x:c r="AK172" s="112" t="n">
        <x:f>IF(COUNT(I172,R172,AA172)=0,"",AVERAGE(I172,R172,AA172))</x:f>
        <x:v>0</x:v>
      </x:c>
      <x:c r="AL172" s="112" t="n">
        <x:f>IF(COUNT(J172,S172,AB172)=0,"",AVERAGE(J172,S172,AB172))</x:f>
        <x:v>38</x:v>
      </x:c>
      <x:c r="AM172" s="112" t="n">
        <x:f>IF(COUNT(K172,T172,AC172)=0,"",AVERAGE(K172,T172,AC172))</x:f>
        <x:v>438.3333333333333</x:v>
      </x:c>
      <x:c r="AN172" s="112" t="n">
        <x:f>IF(COUNT(L172,U172,AD172)=0,"",AVERAGE(L172,U172,AD172))</x:f>
        <x:v>3</x:v>
      </x:c>
      <x:c r="AO172" s="112" t="n">
        <x:f>IF(COUNT(M172,V172,AE172)=0,"",AVERAGE(M172,V172,AE172))</x:f>
        <x:v>0</x:v>
      </x:c>
    </x:row>
    <x:row r="173">
      <x:c r="A173" s="107" t="str">
        <x:v>Mike Gesicki</x:v>
      </x:c>
      <x:c r="B173" s="108" t="str">
        <x:v>TE</x:v>
      </x:c>
      <x:c r="C173" s="108" t="str">
        <x:v>CIN</x:v>
      </x:c>
      <x:c r="D173" s="109" t="n">
        <x:v>6</x:v>
      </x:c>
      <x:c r="E173" s="109" t="n">
        <x:f>IFERROR(VLOOKUP($A173,'Mike FLEX'!$A$6:$N$278,5,FALSE),"")</x:f>
        <x:v>153</x:v>
      </x:c>
      <x:c r="F173" s="110" t="n">
        <x:f>IFERROR(VLOOKUP($A173,'Mike FLEX'!$A$6:$N$278,6,FALSE),"")</x:f>
        <x:v>6.3</x:v>
      </x:c>
      <x:c r="G173" s="111" t="n">
        <x:f>IFERROR(VLOOKUP($A173,'Mike FLEX'!$A$6:$N$278,7,FALSE),"")</x:f>
        <x:v>0</x:v>
      </x:c>
      <x:c r="H173" s="111" t="n">
        <x:f>IFERROR(VLOOKUP($A173,'Mike FLEX'!$A$6:$N$278,8,FALSE),"")</x:f>
        <x:v>0</x:v>
      </x:c>
      <x:c r="I173" s="111" t="n">
        <x:f>IFERROR(VLOOKUP($A173,'Mike FLEX'!$A$6:$N$278,9,FALSE),"")</x:f>
        <x:v>0</x:v>
      </x:c>
      <x:c r="J173" s="111" t="n">
        <x:f>IFERROR(VLOOKUP($A173,'Mike FLEX'!$A$6:$N$278,10,FALSE),"")</x:f>
        <x:v>44</x:v>
      </x:c>
      <x:c r="K173" s="111" t="n">
        <x:f>IFERROR(VLOOKUP($A173,'Mike FLEX'!$A$6:$N$278,11,FALSE),"")</x:f>
        <x:v>465</x:v>
      </x:c>
      <x:c r="L173" s="111" t="n">
        <x:f>IFERROR(VLOOKUP($A173,'Mike FLEX'!$A$6:$N$278,12,FALSE),"")</x:f>
        <x:v>3</x:v>
      </x:c>
      <x:c r="M173" s="111" t="n">
        <x:f>IFERROR(VLOOKUP($A173,'Mike FLEX'!$A$6:$N$278,13,FALSE),"")</x:f>
        <x:v>0</x:v>
      </x:c>
      <x:c r="N173" s="109" t="n">
        <x:f>IFERROR(VLOOKUP($A173,'Andy FLEX'!$A$6:$N$278,5,FALSE),"")</x:f>
        <x:v>213</x:v>
      </x:c>
      <x:c r="O173" s="110" t="n">
        <x:f>IFERROR(VLOOKUP($A173,'Andy FLEX'!$A$6:$N$278,6,FALSE),"")</x:f>
        <x:v>4.3</x:v>
      </x:c>
      <x:c r="P173" s="111" t="n">
        <x:f>IFERROR(VLOOKUP($A173,'Andy FLEX'!$A$6:$N$278,7,FALSE),"")</x:f>
        <x:v>0</x:v>
      </x:c>
      <x:c r="Q173" s="111" t="n">
        <x:f>IFERROR(VLOOKUP($A173,'Andy FLEX'!$A$6:$N$278,8,FALSE),"")</x:f>
        <x:v>0</x:v>
      </x:c>
      <x:c r="R173" s="111" t="n">
        <x:f>IFERROR(VLOOKUP($A173,'Andy FLEX'!$A$6:$N$278,9,FALSE),"")</x:f>
        <x:v>0</x:v>
      </x:c>
      <x:c r="S173" s="111" t="n">
        <x:f>IFERROR(VLOOKUP($A173,'Andy FLEX'!$A$6:$N$278,10,FALSE),"")</x:f>
        <x:v>30</x:v>
      </x:c>
      <x:c r="T173" s="111" t="n">
        <x:f>IFERROR(VLOOKUP($A173,'Andy FLEX'!$A$6:$N$278,11,FALSE),"")</x:f>
        <x:v>318</x:v>
      </x:c>
      <x:c r="U173" s="111" t="n">
        <x:f>IFERROR(VLOOKUP($A173,'Andy FLEX'!$A$6:$N$278,12,FALSE),"")</x:f>
        <x:v>2</x:v>
      </x:c>
      <x:c r="V173" s="111" t="n">
        <x:f>IFERROR(VLOOKUP($A173,'Andy FLEX'!$A$6:$N$278,13,FALSE),"")</x:f>
        <x:v>0</x:v>
      </x:c>
      <x:c r="W173" s="109" t="n">
        <x:f>IFERROR(VLOOKUP($A173,'Jason FLEX'!$A$6:$N$268,5,FALSE),"")</x:f>
        <x:v>141</x:v>
      </x:c>
      <x:c r="X173" s="110" t="n">
        <x:f>IFERROR(VLOOKUP($A173,'Jason FLEX'!$A$6:$N$268,6,FALSE),"")</x:f>
        <x:v>7.4</x:v>
      </x:c>
      <x:c r="Y173" s="111" t="n">
        <x:f>IFERROR(VLOOKUP($A173,'Jason FLEX'!$A$6:$N$268,7,FALSE),"")</x:f>
        <x:v>0</x:v>
      </x:c>
      <x:c r="Z173" s="111" t="n">
        <x:f>IFERROR(VLOOKUP($A173,'Jason FLEX'!$A$6:$N$268,8,FALSE),"")</x:f>
        <x:v>0</x:v>
      </x:c>
      <x:c r="AA173" s="111" t="n">
        <x:f>IFERROR(VLOOKUP($A173,'Jason FLEX'!$A$6:$N$268,9,FALSE),"")</x:f>
        <x:v>0</x:v>
      </x:c>
      <x:c r="AB173" s="111" t="n">
        <x:f>IFERROR(VLOOKUP($A173,'Jason FLEX'!$A$6:$N$268,10,FALSE),"")</x:f>
        <x:v>50</x:v>
      </x:c>
      <x:c r="AC173" s="111" t="n">
        <x:f>IFERROR(VLOOKUP($A173,'Jason FLEX'!$A$6:$N$268,11,FALSE),"")</x:f>
        <x:v>550</x:v>
      </x:c>
      <x:c r="AD173" s="111" t="n">
        <x:f>IFERROR(VLOOKUP($A173,'Jason FLEX'!$A$6:$N$268,12,FALSE),"")</x:f>
        <x:v>4</x:v>
      </x:c>
      <x:c r="AE173" s="111" t="n">
        <x:f>IFERROR(VLOOKUP($A173,'Jason FLEX'!$A$6:$N$268,13,FALSE),"")</x:f>
        <x:v>0</x:v>
      </x:c>
      <x:c r="AF173" s="110" t="n">
        <x:f>IF(COUNT(E173,N173,W173)=0,"",AVERAGE(E173,N173,W173))</x:f>
        <x:v>169</x:v>
      </x:c>
      <x:c r="AG173" s="110" t="n">
        <x:f>IF(COUNT(E173,N173,W173)=0,"",MAX(E173,N173,W173)-MIN(E173,N173,W173))</x:f>
        <x:v>72</x:v>
      </x:c>
      <x:c r="AH173" s="110" t="n">
        <x:f>IF(COUNT(F173,O173,X173)=0,"",AVERAGE(F173,O173,X173))</x:f>
        <x:v>6</x:v>
      </x:c>
      <x:c r="AI173" s="112" t="n">
        <x:f>IF(COUNT(G173,P173,Y173)=0,"",AVERAGE(G173,P173,Y173))</x:f>
        <x:v>0</x:v>
      </x:c>
      <x:c r="AJ173" s="112" t="n">
        <x:f>IF(COUNT(H173,Q173,Z173)=0,"",AVERAGE(H173,Q173,Z173))</x:f>
        <x:v>0</x:v>
      </x:c>
      <x:c r="AK173" s="112" t="n">
        <x:f>IF(COUNT(I173,R173,AA173)=0,"",AVERAGE(I173,R173,AA173))</x:f>
        <x:v>0</x:v>
      </x:c>
      <x:c r="AL173" s="112" t="n">
        <x:f>IF(COUNT(J173,S173,AB173)=0,"",AVERAGE(J173,S173,AB173))</x:f>
        <x:v>41.333333333333336</x:v>
      </x:c>
      <x:c r="AM173" s="112" t="n">
        <x:f>IF(COUNT(K173,T173,AC173)=0,"",AVERAGE(K173,T173,AC173))</x:f>
        <x:v>444.3333333333333</x:v>
      </x:c>
      <x:c r="AN173" s="112" t="n">
        <x:f>IF(COUNT(L173,U173,AD173)=0,"",AVERAGE(L173,U173,AD173))</x:f>
        <x:v>3</x:v>
      </x:c>
      <x:c r="AO173" s="112" t="n">
        <x:f>IF(COUNT(M173,V173,AE173)=0,"",AVERAGE(M173,V173,AE173))</x:f>
        <x:v>0</x:v>
      </x:c>
    </x:row>
    <x:row r="174">
      <x:c r="A174" s="107" t="str">
        <x:v>Tank Bigsby</x:v>
      </x:c>
      <x:c r="B174" s="108" t="str">
        <x:v>RB</x:v>
      </x:c>
      <x:c r="C174" s="108" t="str">
        <x:v>PHI</x:v>
      </x:c>
      <x:c r="D174" s="109" t="n">
        <x:v>10</x:v>
      </x:c>
      <x:c r="E174" s="109" t="n">
        <x:f>IFERROR(VLOOKUP($A174,'Mike FLEX'!$A$6:$N$278,5,FALSE),"")</x:f>
        <x:v>209</x:v>
      </x:c>
      <x:c r="F174" s="110" t="n">
        <x:f>IFERROR(VLOOKUP($A174,'Mike FLEX'!$A$6:$N$278,6,FALSE),"")</x:f>
        <x:v>3.8</x:v>
      </x:c>
      <x:c r="G174" s="111" t="n">
        <x:f>IFERROR(VLOOKUP($A174,'Mike FLEX'!$A$6:$N$278,7,FALSE),"")</x:f>
        <x:v>72</x:v>
      </x:c>
      <x:c r="H174" s="111" t="n">
        <x:f>IFERROR(VLOOKUP($A174,'Mike FLEX'!$A$6:$N$278,8,FALSE),"")</x:f>
        <x:v>354</x:v>
      </x:c>
      <x:c r="I174" s="111" t="n">
        <x:f>IFERROR(VLOOKUP($A174,'Mike FLEX'!$A$6:$N$278,9,FALSE),"")</x:f>
        <x:v>3</x:v>
      </x:c>
      <x:c r="J174" s="111" t="n">
        <x:f>IFERROR(VLOOKUP($A174,'Mike FLEX'!$A$6:$N$278,10,FALSE),"")</x:f>
        <x:v>7</x:v>
      </x:c>
      <x:c r="K174" s="111" t="n">
        <x:f>IFERROR(VLOOKUP($A174,'Mike FLEX'!$A$6:$N$278,11,FALSE),"")</x:f>
        <x:v>55</x:v>
      </x:c>
      <x:c r="L174" s="111" t="n">
        <x:f>IFERROR(VLOOKUP($A174,'Mike FLEX'!$A$6:$N$278,12,FALSE),"")</x:f>
        <x:v>0</x:v>
      </x:c>
      <x:c r="M174" s="111" t="n">
        <x:f>IFERROR(VLOOKUP($A174,'Mike FLEX'!$A$6:$N$278,13,FALSE),"")</x:f>
        <x:v>1</x:v>
      </x:c>
      <x:c r="N174" s="109" t="n">
        <x:f>IFERROR(VLOOKUP($A174,'Andy FLEX'!$A$6:$N$278,5,FALSE),"")</x:f>
        <x:v>134</x:v>
      </x:c>
      <x:c r="O174" s="110" t="n">
        <x:f>IFERROR(VLOOKUP($A174,'Andy FLEX'!$A$6:$N$278,6,FALSE),"")</x:f>
        <x:v>7.5</x:v>
      </x:c>
      <x:c r="P174" s="111" t="n">
        <x:f>IFERROR(VLOOKUP($A174,'Andy FLEX'!$A$6:$N$278,7,FALSE),"")</x:f>
        <x:v>119</x:v>
      </x:c>
      <x:c r="Q174" s="111" t="n">
        <x:f>IFERROR(VLOOKUP($A174,'Andy FLEX'!$A$6:$N$278,8,FALSE),"")</x:f>
        <x:v>531</x:v>
      </x:c>
      <x:c r="R174" s="111" t="n">
        <x:f>IFERROR(VLOOKUP($A174,'Andy FLEX'!$A$6:$N$278,9,FALSE),"")</x:f>
        <x:v>4</x:v>
      </x:c>
      <x:c r="S174" s="111" t="n">
        <x:f>IFERROR(VLOOKUP($A174,'Andy FLEX'!$A$6:$N$278,10,FALSE),"")</x:f>
        <x:v>25</x:v>
      </x:c>
      <x:c r="T174" s="111" t="n">
        <x:f>IFERROR(VLOOKUP($A174,'Andy FLEX'!$A$6:$N$278,11,FALSE),"")</x:f>
        <x:v>204</x:v>
      </x:c>
      <x:c r="U174" s="111" t="n">
        <x:f>IFERROR(VLOOKUP($A174,'Andy FLEX'!$A$6:$N$278,12,FALSE),"")</x:f>
        <x:v>1</x:v>
      </x:c>
      <x:c r="V174" s="111" t="n">
        <x:f>IFERROR(VLOOKUP($A174,'Andy FLEX'!$A$6:$N$278,13,FALSE),"")</x:f>
        <x:v>1</x:v>
      </x:c>
      <x:c r="W174" s="109" t="n">
        <x:f>IFERROR(VLOOKUP($A174,'Jason FLEX'!$A$6:$N$268,5,FALSE),"")</x:f>
        <x:v>171</x:v>
      </x:c>
      <x:c r="X174" s="110" t="n">
        <x:f>IFERROR(VLOOKUP($A174,'Jason FLEX'!$A$6:$N$268,6,FALSE),"")</x:f>
        <x:v>6.1</x:v>
      </x:c>
      <x:c r="Y174" s="111" t="n">
        <x:f>IFERROR(VLOOKUP($A174,'Jason FLEX'!$A$6:$N$268,7,FALSE),"")</x:f>
        <x:v>130</x:v>
      </x:c>
      <x:c r="Z174" s="111" t="n">
        <x:f>IFERROR(VLOOKUP($A174,'Jason FLEX'!$A$6:$N$268,8,FALSE),"")</x:f>
        <x:v>637</x:v>
      </x:c>
      <x:c r="AA174" s="111" t="n">
        <x:f>IFERROR(VLOOKUP($A174,'Jason FLEX'!$A$6:$N$268,9,FALSE),"")</x:f>
        <x:v>4</x:v>
      </x:c>
      <x:c r="AB174" s="111" t="n">
        <x:f>IFERROR(VLOOKUP($A174,'Jason FLEX'!$A$6:$N$268,10,FALSE),"")</x:f>
        <x:v>10</x:v>
      </x:c>
      <x:c r="AC174" s="111" t="n">
        <x:f>IFERROR(VLOOKUP($A174,'Jason FLEX'!$A$6:$N$268,11,FALSE),"")</x:f>
        <x:v>80</x:v>
      </x:c>
      <x:c r="AD174" s="111" t="n">
        <x:f>IFERROR(VLOOKUP($A174,'Jason FLEX'!$A$6:$N$268,12,FALSE),"")</x:f>
        <x:v>0</x:v>
      </x:c>
      <x:c r="AE174" s="111" t="n">
        <x:f>IFERROR(VLOOKUP($A174,'Jason FLEX'!$A$6:$N$268,13,FALSE),"")</x:f>
        <x:v>1</x:v>
      </x:c>
      <x:c r="AF174" s="110" t="n">
        <x:f>IF(COUNT(E174,N174,W174)=0,"",AVERAGE(E174,N174,W174))</x:f>
        <x:v>171.33333333333334</x:v>
      </x:c>
      <x:c r="AG174" s="110" t="n">
        <x:f>IF(COUNT(E174,N174,W174)=0,"",MAX(E174,N174,W174)-MIN(E174,N174,W174))</x:f>
        <x:v>75</x:v>
      </x:c>
      <x:c r="AH174" s="110" t="n">
        <x:f>IF(COUNT(F174,O174,X174)=0,"",AVERAGE(F174,O174,X174))</x:f>
        <x:v>5.8</x:v>
      </x:c>
      <x:c r="AI174" s="112" t="n">
        <x:f>IF(COUNT(G174,P174,Y174)=0,"",AVERAGE(G174,P174,Y174))</x:f>
        <x:v>107</x:v>
      </x:c>
      <x:c r="AJ174" s="112" t="n">
        <x:f>IF(COUNT(H174,Q174,Z174)=0,"",AVERAGE(H174,Q174,Z174))</x:f>
        <x:v>507.3333333333333</x:v>
      </x:c>
      <x:c r="AK174" s="112" t="n">
        <x:f>IF(COUNT(I174,R174,AA174)=0,"",AVERAGE(I174,R174,AA174))</x:f>
        <x:v>3.6666666666666665</x:v>
      </x:c>
      <x:c r="AL174" s="112" t="n">
        <x:f>IF(COUNT(J174,S174,AB174)=0,"",AVERAGE(J174,S174,AB174))</x:f>
        <x:v>14</x:v>
      </x:c>
      <x:c r="AM174" s="112" t="n">
        <x:f>IF(COUNT(K174,T174,AC174)=0,"",AVERAGE(K174,T174,AC174))</x:f>
        <x:v>113</x:v>
      </x:c>
      <x:c r="AN174" s="112" t="n">
        <x:f>IF(COUNT(L174,U174,AD174)=0,"",AVERAGE(L174,U174,AD174))</x:f>
        <x:v>0.3333333333333333</x:v>
      </x:c>
      <x:c r="AO174" s="112" t="n">
        <x:f>IF(COUNT(M174,V174,AE174)=0,"",AVERAGE(M174,V174,AE174))</x:f>
        <x:v>1</x:v>
      </x:c>
    </x:row>
    <x:row r="175">
      <x:c r="A175" s="107" t="str">
        <x:v>Gunnar Helm</x:v>
      </x:c>
      <x:c r="B175" s="108" t="str">
        <x:v>TE</x:v>
      </x:c>
      <x:c r="C175" s="108" t="str">
        <x:v>TEN</x:v>
      </x:c>
      <x:c r="D175" s="109" t="n">
        <x:v>9</x:v>
      </x:c>
      <x:c r="E175" s="109" t="n">
        <x:f>IFERROR(VLOOKUP($A175,'Mike FLEX'!$A$6:$N$278,5,FALSE),"")</x:f>
        <x:v>214</x:v>
      </x:c>
      <x:c r="F175" s="110" t="n">
        <x:f>IFERROR(VLOOKUP($A175,'Mike FLEX'!$A$6:$N$278,6,FALSE),"")</x:f>
        <x:v>3.6</x:v>
      </x:c>
      <x:c r="G175" s="111" t="n">
        <x:f>IFERROR(VLOOKUP($A175,'Mike FLEX'!$A$6:$N$278,7,FALSE),"")</x:f>
        <x:v>0</x:v>
      </x:c>
      <x:c r="H175" s="111" t="n">
        <x:f>IFERROR(VLOOKUP($A175,'Mike FLEX'!$A$6:$N$278,8,FALSE),"")</x:f>
        <x:v>0</x:v>
      </x:c>
      <x:c r="I175" s="111" t="n">
        <x:f>IFERROR(VLOOKUP($A175,'Mike FLEX'!$A$6:$N$278,9,FALSE),"")</x:f>
        <x:v>0</x:v>
      </x:c>
      <x:c r="J175" s="111" t="n">
        <x:f>IFERROR(VLOOKUP($A175,'Mike FLEX'!$A$6:$N$278,10,FALSE),"")</x:f>
        <x:v>29</x:v>
      </x:c>
      <x:c r="K175" s="111" t="n">
        <x:f>IFERROR(VLOOKUP($A175,'Mike FLEX'!$A$6:$N$278,11,FALSE),"")</x:f>
        <x:v>238</x:v>
      </x:c>
      <x:c r="L175" s="111" t="n">
        <x:f>IFERROR(VLOOKUP($A175,'Mike FLEX'!$A$6:$N$278,12,FALSE),"")</x:f>
        <x:v>2</x:v>
      </x:c>
      <x:c r="M175" s="111" t="n">
        <x:f>IFERROR(VLOOKUP($A175,'Mike FLEX'!$A$6:$N$278,13,FALSE),"")</x:f>
        <x:v>0</x:v>
      </x:c>
      <x:c r="N175" s="109" t="n">
        <x:f>IFERROR(VLOOKUP($A175,'Andy FLEX'!$A$6:$N$278,5,FALSE),"")</x:f>
        <x:v>145</x:v>
      </x:c>
      <x:c r="O175" s="110" t="n">
        <x:f>IFERROR(VLOOKUP($A175,'Andy FLEX'!$A$6:$N$278,6,FALSE),"")</x:f>
        <x:v>6.8</x:v>
      </x:c>
      <x:c r="P175" s="111" t="n">
        <x:f>IFERROR(VLOOKUP($A175,'Andy FLEX'!$A$6:$N$278,7,FALSE),"")</x:f>
        <x:v>0</x:v>
      </x:c>
      <x:c r="Q175" s="111" t="n">
        <x:f>IFERROR(VLOOKUP($A175,'Andy FLEX'!$A$6:$N$278,8,FALSE),"")</x:f>
        <x:v>0</x:v>
      </x:c>
      <x:c r="R175" s="111" t="n">
        <x:f>IFERROR(VLOOKUP($A175,'Andy FLEX'!$A$6:$N$278,9,FALSE),"")</x:f>
        <x:v>0</x:v>
      </x:c>
      <x:c r="S175" s="111" t="n">
        <x:f>IFERROR(VLOOKUP($A175,'Andy FLEX'!$A$6:$N$278,10,FALSE),"")</x:f>
        <x:v>55</x:v>
      </x:c>
      <x:c r="T175" s="111" t="n">
        <x:f>IFERROR(VLOOKUP($A175,'Andy FLEX'!$A$6:$N$278,11,FALSE),"")</x:f>
        <x:v>480</x:v>
      </x:c>
      <x:c r="U175" s="111" t="n">
        <x:f>IFERROR(VLOOKUP($A175,'Andy FLEX'!$A$6:$N$278,12,FALSE),"")</x:f>
        <x:v>2</x:v>
      </x:c>
      <x:c r="V175" s="111" t="n">
        <x:f>IFERROR(VLOOKUP($A175,'Andy FLEX'!$A$6:$N$278,13,FALSE),"")</x:f>
        <x:v>0</x:v>
      </x:c>
      <x:c r="W175" s="109" t="n">
        <x:f>IFERROR(VLOOKUP($A175,'Jason FLEX'!$A$6:$N$268,5,FALSE),"")</x:f>
        <x:v>156</x:v>
      </x:c>
      <x:c r="X175" s="110" t="n">
        <x:f>IFERROR(VLOOKUP($A175,'Jason FLEX'!$A$6:$N$268,6,FALSE),"")</x:f>
        <x:v>6.7</x:v>
      </x:c>
      <x:c r="Y175" s="111" t="n">
        <x:f>IFERROR(VLOOKUP($A175,'Jason FLEX'!$A$6:$N$268,7,FALSE),"")</x:f>
        <x:v>0</x:v>
      </x:c>
      <x:c r="Z175" s="111" t="n">
        <x:f>IFERROR(VLOOKUP($A175,'Jason FLEX'!$A$6:$N$268,8,FALSE),"")</x:f>
        <x:v>0</x:v>
      </x:c>
      <x:c r="AA175" s="111" t="n">
        <x:f>IFERROR(VLOOKUP($A175,'Jason FLEX'!$A$6:$N$268,9,FALSE),"")</x:f>
        <x:v>0</x:v>
      </x:c>
      <x:c r="AB175" s="111" t="n">
        <x:f>IFERROR(VLOOKUP($A175,'Jason FLEX'!$A$6:$N$268,10,FALSE),"")</x:f>
        <x:v>45</x:v>
      </x:c>
      <x:c r="AC175" s="111" t="n">
        <x:f>IFERROR(VLOOKUP($A175,'Jason FLEX'!$A$6:$N$268,11,FALSE),"")</x:f>
        <x:v>450</x:v>
      </x:c>
      <x:c r="AD175" s="111" t="n">
        <x:f>IFERROR(VLOOKUP($A175,'Jason FLEX'!$A$6:$N$268,12,FALSE),"")</x:f>
        <x:v>4</x:v>
      </x:c>
      <x:c r="AE175" s="111" t="n">
        <x:f>IFERROR(VLOOKUP($A175,'Jason FLEX'!$A$6:$N$268,13,FALSE),"")</x:f>
        <x:v>0</x:v>
      </x:c>
      <x:c r="AF175" s="110" t="n">
        <x:f>IF(COUNT(E175,N175,W175)=0,"",AVERAGE(E175,N175,W175))</x:f>
        <x:v>171.66666666666666</x:v>
      </x:c>
      <x:c r="AG175" s="110" t="n">
        <x:f>IF(COUNT(E175,N175,W175)=0,"",MAX(E175,N175,W175)-MIN(E175,N175,W175))</x:f>
        <x:v>69</x:v>
      </x:c>
      <x:c r="AH175" s="110" t="n">
        <x:f>IF(COUNT(F175,O175,X175)=0,"",AVERAGE(F175,O175,X175))</x:f>
        <x:v>5.7</x:v>
      </x:c>
      <x:c r="AI175" s="112" t="n">
        <x:f>IF(COUNT(G175,P175,Y175)=0,"",AVERAGE(G175,P175,Y175))</x:f>
        <x:v>0</x:v>
      </x:c>
      <x:c r="AJ175" s="112" t="n">
        <x:f>IF(COUNT(H175,Q175,Z175)=0,"",AVERAGE(H175,Q175,Z175))</x:f>
        <x:v>0</x:v>
      </x:c>
      <x:c r="AK175" s="112" t="n">
        <x:f>IF(COUNT(I175,R175,AA175)=0,"",AVERAGE(I175,R175,AA175))</x:f>
        <x:v>0</x:v>
      </x:c>
      <x:c r="AL175" s="112" t="n">
        <x:f>IF(COUNT(J175,S175,AB175)=0,"",AVERAGE(J175,S175,AB175))</x:f>
        <x:v>43</x:v>
      </x:c>
      <x:c r="AM175" s="112" t="n">
        <x:f>IF(COUNT(K175,T175,AC175)=0,"",AVERAGE(K175,T175,AC175))</x:f>
        <x:v>389.3333333333333</x:v>
      </x:c>
      <x:c r="AN175" s="112" t="n">
        <x:f>IF(COUNT(L175,U175,AD175)=0,"",AVERAGE(L175,U175,AD175))</x:f>
        <x:v>2.6666666666666665</x:v>
      </x:c>
      <x:c r="AO175" s="112" t="n">
        <x:f>IF(COUNT(M175,V175,AE175)=0,"",AVERAGE(M175,V175,AE175))</x:f>
        <x:v>0</x:v>
      </x:c>
    </x:row>
    <x:row r="176">
      <x:c r="A176" s="107" t="str">
        <x:v>Xavier Hutchinson</x:v>
      </x:c>
      <x:c r="B176" s="108" t="str">
        <x:v>WR</x:v>
      </x:c>
      <x:c r="C176" s="108" t="str">
        <x:v>HOU</x:v>
      </x:c>
      <x:c r="D176" s="109" t="n">
        <x:v>8</x:v>
      </x:c>
      <x:c r="E176" s="109" t="n">
        <x:f>IFERROR(VLOOKUP($A176,'Mike FLEX'!$A$6:$N$278,5,FALSE),"")</x:f>
        <x:v>174</x:v>
      </x:c>
      <x:c r="F176" s="110" t="n">
        <x:f>IFERROR(VLOOKUP($A176,'Mike FLEX'!$A$6:$N$278,6,FALSE),"")</x:f>
        <x:v>5</x:v>
      </x:c>
      <x:c r="G176" s="111" t="n">
        <x:f>IFERROR(VLOOKUP($A176,'Mike FLEX'!$A$6:$N$278,7,FALSE),"")</x:f>
        <x:v>2</x:v>
      </x:c>
      <x:c r="H176" s="111" t="n">
        <x:f>IFERROR(VLOOKUP($A176,'Mike FLEX'!$A$6:$N$278,8,FALSE),"")</x:f>
        <x:v>21</x:v>
      </x:c>
      <x:c r="I176" s="111" t="n">
        <x:f>IFERROR(VLOOKUP($A176,'Mike FLEX'!$A$6:$N$278,9,FALSE),"")</x:f>
        <x:v>0</x:v>
      </x:c>
      <x:c r="J176" s="111" t="n">
        <x:f>IFERROR(VLOOKUP($A176,'Mike FLEX'!$A$6:$N$278,10,FALSE),"")</x:f>
        <x:v>32</x:v>
      </x:c>
      <x:c r="K176" s="111" t="n">
        <x:f>IFERROR(VLOOKUP($A176,'Mike FLEX'!$A$6:$N$278,11,FALSE),"")</x:f>
        <x:v>372</x:v>
      </x:c>
      <x:c r="L176" s="111" t="n">
        <x:f>IFERROR(VLOOKUP($A176,'Mike FLEX'!$A$6:$N$278,12,FALSE),"")</x:f>
        <x:v>2</x:v>
      </x:c>
      <x:c r="M176" s="111" t="n">
        <x:f>IFERROR(VLOOKUP($A176,'Mike FLEX'!$A$6:$N$278,13,FALSE),"")</x:f>
        <x:v>0</x:v>
      </x:c>
      <x:c r="N176" s="109" t="n">
        <x:f>IFERROR(VLOOKUP($A176,'Andy FLEX'!$A$6:$N$278,5,FALSE),"")</x:f>
        <x:v>174</x:v>
      </x:c>
      <x:c r="O176" s="110" t="n">
        <x:f>IFERROR(VLOOKUP($A176,'Andy FLEX'!$A$6:$N$278,6,FALSE),"")</x:f>
        <x:v>5.7</x:v>
      </x:c>
      <x:c r="P176" s="111" t="n">
        <x:f>IFERROR(VLOOKUP($A176,'Andy FLEX'!$A$6:$N$278,7,FALSE),"")</x:f>
        <x:v>5</x:v>
      </x:c>
      <x:c r="Q176" s="111" t="n">
        <x:f>IFERROR(VLOOKUP($A176,'Andy FLEX'!$A$6:$N$278,8,FALSE),"")</x:f>
        <x:v>29</x:v>
      </x:c>
      <x:c r="R176" s="111" t="n">
        <x:f>IFERROR(VLOOKUP($A176,'Andy FLEX'!$A$6:$N$278,9,FALSE),"")</x:f>
        <x:v>0</x:v>
      </x:c>
      <x:c r="S176" s="111" t="n">
        <x:f>IFERROR(VLOOKUP($A176,'Andy FLEX'!$A$6:$N$278,10,FALSE),"")</x:f>
        <x:v>35</x:v>
      </x:c>
      <x:c r="T176" s="111" t="n">
        <x:f>IFERROR(VLOOKUP($A176,'Andy FLEX'!$A$6:$N$278,11,FALSE),"")</x:f>
        <x:v>422</x:v>
      </x:c>
      <x:c r="U176" s="111" t="n">
        <x:f>IFERROR(VLOOKUP($A176,'Andy FLEX'!$A$6:$N$278,12,FALSE),"")</x:f>
        <x:v>3</x:v>
      </x:c>
      <x:c r="V176" s="111" t="n">
        <x:f>IFERROR(VLOOKUP($A176,'Andy FLEX'!$A$6:$N$278,13,FALSE),"")</x:f>
        <x:v>0</x:v>
      </x:c>
      <x:c r="W176" s="109" t="str">
        <x:f>IFERROR(VLOOKUP($A176,'Jason FLEX'!$A$6:$N$268,5,FALSE),"")</x:f>
      </x:c>
      <x:c r="X176" s="110" t="str">
        <x:f>IFERROR(VLOOKUP($A176,'Jason FLEX'!$A$6:$N$268,6,FALSE),"")</x:f>
      </x:c>
      <x:c r="Y176" s="111" t="str">
        <x:f>IFERROR(VLOOKUP($A176,'Jason FLEX'!$A$6:$N$268,7,FALSE),"")</x:f>
      </x:c>
      <x:c r="Z176" s="111" t="str">
        <x:f>IFERROR(VLOOKUP($A176,'Jason FLEX'!$A$6:$N$268,8,FALSE),"")</x:f>
      </x:c>
      <x:c r="AA176" s="111" t="str">
        <x:f>IFERROR(VLOOKUP($A176,'Jason FLEX'!$A$6:$N$268,9,FALSE),"")</x:f>
      </x:c>
      <x:c r="AB176" s="111" t="str">
        <x:f>IFERROR(VLOOKUP($A176,'Jason FLEX'!$A$6:$N$268,10,FALSE),"")</x:f>
      </x:c>
      <x:c r="AC176" s="111" t="str">
        <x:f>IFERROR(VLOOKUP($A176,'Jason FLEX'!$A$6:$N$268,11,FALSE),"")</x:f>
      </x:c>
      <x:c r="AD176" s="111" t="str">
        <x:f>IFERROR(VLOOKUP($A176,'Jason FLEX'!$A$6:$N$268,12,FALSE),"")</x:f>
      </x:c>
      <x:c r="AE176" s="111" t="str">
        <x:f>IFERROR(VLOOKUP($A176,'Jason FLEX'!$A$6:$N$268,13,FALSE),"")</x:f>
      </x:c>
      <x:c r="AF176" s="110" t="n">
        <x:f>IF(COUNT(E176,N176,W176)=0,"",AVERAGE(E176,N176,W176))</x:f>
        <x:v>174</x:v>
      </x:c>
      <x:c r="AG176" s="110" t="n">
        <x:f>IF(COUNT(E176,N176,W176)=0,"",MAX(E176,N176,W176)-MIN(E176,N176,W176))</x:f>
        <x:v>0</x:v>
      </x:c>
      <x:c r="AH176" s="110" t="n">
        <x:f>IF(COUNT(F176,O176,X176)=0,"",AVERAGE(F176,O176,X176))</x:f>
        <x:v>5.35</x:v>
      </x:c>
      <x:c r="AI176" s="112" t="n">
        <x:f>IF(COUNT(G176,P176,Y176)=0,"",AVERAGE(G176,P176,Y176))</x:f>
        <x:v>3.5</x:v>
      </x:c>
      <x:c r="AJ176" s="112" t="n">
        <x:f>IF(COUNT(H176,Q176,Z176)=0,"",AVERAGE(H176,Q176,Z176))</x:f>
        <x:v>25</x:v>
      </x:c>
      <x:c r="AK176" s="112" t="n">
        <x:f>IF(COUNT(I176,R176,AA176)=0,"",AVERAGE(I176,R176,AA176))</x:f>
        <x:v>0</x:v>
      </x:c>
      <x:c r="AL176" s="112" t="n">
        <x:f>IF(COUNT(J176,S176,AB176)=0,"",AVERAGE(J176,S176,AB176))</x:f>
        <x:v>33.5</x:v>
      </x:c>
      <x:c r="AM176" s="112" t="n">
        <x:f>IF(COUNT(K176,T176,AC176)=0,"",AVERAGE(K176,T176,AC176))</x:f>
        <x:v>397</x:v>
      </x:c>
      <x:c r="AN176" s="112" t="n">
        <x:f>IF(COUNT(L176,U176,AD176)=0,"",AVERAGE(L176,U176,AD176))</x:f>
        <x:v>2.5</x:v>
      </x:c>
      <x:c r="AO176" s="112" t="n">
        <x:f>IF(COUNT(M176,V176,AE176)=0,"",AVERAGE(M176,V176,AE176))</x:f>
        <x:v>0</x:v>
      </x:c>
    </x:row>
    <x:row r="177">
      <x:c r="A177" s="107" t="str">
        <x:v>Cole Kmet</x:v>
      </x:c>
      <x:c r="B177" s="108" t="str">
        <x:v>TE</x:v>
      </x:c>
      <x:c r="C177" s="108" t="str">
        <x:v>CHI</x:v>
      </x:c>
      <x:c r="D177" s="109" t="n">
        <x:v>10</x:v>
      </x:c>
      <x:c r="E177" s="109" t="n">
        <x:f>IFERROR(VLOOKUP($A177,'Mike FLEX'!$A$6:$N$278,5,FALSE),"")</x:f>
        <x:v>150</x:v>
      </x:c>
      <x:c r="F177" s="110" t="n">
        <x:f>IFERROR(VLOOKUP($A177,'Mike FLEX'!$A$6:$N$278,6,FALSE),"")</x:f>
        <x:v>6.6</x:v>
      </x:c>
      <x:c r="G177" s="111" t="n">
        <x:f>IFERROR(VLOOKUP($A177,'Mike FLEX'!$A$6:$N$278,7,FALSE),"")</x:f>
        <x:v>0</x:v>
      </x:c>
      <x:c r="H177" s="111" t="n">
        <x:f>IFERROR(VLOOKUP($A177,'Mike FLEX'!$A$6:$N$278,8,FALSE),"")</x:f>
        <x:v>0</x:v>
      </x:c>
      <x:c r="I177" s="111" t="n">
        <x:f>IFERROR(VLOOKUP($A177,'Mike FLEX'!$A$6:$N$278,9,FALSE),"")</x:f>
        <x:v>0</x:v>
      </x:c>
      <x:c r="J177" s="111" t="n">
        <x:f>IFERROR(VLOOKUP($A177,'Mike FLEX'!$A$6:$N$278,10,FALSE),"")</x:f>
        <x:v>45</x:v>
      </x:c>
      <x:c r="K177" s="111" t="n">
        <x:f>IFERROR(VLOOKUP($A177,'Mike FLEX'!$A$6:$N$278,11,FALSE),"")</x:f>
        <x:v>469</x:v>
      </x:c>
      <x:c r="L177" s="111" t="n">
        <x:f>IFERROR(VLOOKUP($A177,'Mike FLEX'!$A$6:$N$278,12,FALSE),"")</x:f>
        <x:v>3</x:v>
      </x:c>
      <x:c r="M177" s="111" t="n">
        <x:f>IFERROR(VLOOKUP($A177,'Mike FLEX'!$A$6:$N$278,13,FALSE),"")</x:f>
        <x:v>0</x:v>
      </x:c>
      <x:c r="N177" s="109" t="n">
        <x:f>IFERROR(VLOOKUP($A177,'Andy FLEX'!$A$6:$N$278,5,FALSE),"")</x:f>
        <x:v>200</x:v>
      </x:c>
      <x:c r="O177" s="110" t="n">
        <x:f>IFERROR(VLOOKUP($A177,'Andy FLEX'!$A$6:$N$278,6,FALSE),"")</x:f>
        <x:v>4.9</x:v>
      </x:c>
      <x:c r="P177" s="111" t="n">
        <x:f>IFERROR(VLOOKUP($A177,'Andy FLEX'!$A$6:$N$278,7,FALSE),"")</x:f>
        <x:v>0</x:v>
      </x:c>
      <x:c r="Q177" s="111" t="n">
        <x:f>IFERROR(VLOOKUP($A177,'Andy FLEX'!$A$6:$N$278,8,FALSE),"")</x:f>
        <x:v>0</x:v>
      </x:c>
      <x:c r="R177" s="111" t="n">
        <x:f>IFERROR(VLOOKUP($A177,'Andy FLEX'!$A$6:$N$278,9,FALSE),"")</x:f>
        <x:v>0</x:v>
      </x:c>
      <x:c r="S177" s="111" t="n">
        <x:f>IFERROR(VLOOKUP($A177,'Andy FLEX'!$A$6:$N$278,10,FALSE),"")</x:f>
        <x:v>34</x:v>
      </x:c>
      <x:c r="T177" s="111" t="n">
        <x:f>IFERROR(VLOOKUP($A177,'Andy FLEX'!$A$6:$N$278,11,FALSE),"")</x:f>
        <x:v>319</x:v>
      </x:c>
      <x:c r="U177" s="111" t="n">
        <x:f>IFERROR(VLOOKUP($A177,'Andy FLEX'!$A$6:$N$278,12,FALSE),"")</x:f>
        <x:v>3</x:v>
      </x:c>
      <x:c r="V177" s="111" t="n">
        <x:f>IFERROR(VLOOKUP($A177,'Andy FLEX'!$A$6:$N$278,13,FALSE),"")</x:f>
        <x:v>0</x:v>
      </x:c>
      <x:c r="W177" s="109" t="n">
        <x:f>IFERROR(VLOOKUP($A177,'Jason FLEX'!$A$6:$N$268,5,FALSE),"")</x:f>
        <x:v>173</x:v>
      </x:c>
      <x:c r="X177" s="110" t="n">
        <x:f>IFERROR(VLOOKUP($A177,'Jason FLEX'!$A$6:$N$268,6,FALSE),"")</x:f>
        <x:v>6.1</x:v>
      </x:c>
      <x:c r="Y177" s="111" t="n">
        <x:f>IFERROR(VLOOKUP($A177,'Jason FLEX'!$A$6:$N$268,7,FALSE),"")</x:f>
        <x:v>0</x:v>
      </x:c>
      <x:c r="Z177" s="111" t="n">
        <x:f>IFERROR(VLOOKUP($A177,'Jason FLEX'!$A$6:$N$268,8,FALSE),"")</x:f>
        <x:v>0</x:v>
      </x:c>
      <x:c r="AA177" s="111" t="n">
        <x:f>IFERROR(VLOOKUP($A177,'Jason FLEX'!$A$6:$N$268,9,FALSE),"")</x:f>
        <x:v>0</x:v>
      </x:c>
      <x:c r="AB177" s="111" t="n">
        <x:f>IFERROR(VLOOKUP($A177,'Jason FLEX'!$A$6:$N$268,10,FALSE),"")</x:f>
        <x:v>39</x:v>
      </x:c>
      <x:c r="AC177" s="111" t="n">
        <x:f>IFERROR(VLOOKUP($A177,'Jason FLEX'!$A$6:$N$268,11,FALSE),"")</x:f>
        <x:v>370</x:v>
      </x:c>
      <x:c r="AD177" s="111" t="n">
        <x:f>IFERROR(VLOOKUP($A177,'Jason FLEX'!$A$6:$N$268,12,FALSE),"")</x:f>
        <x:v>5</x:v>
      </x:c>
      <x:c r="AE177" s="111" t="n">
        <x:f>IFERROR(VLOOKUP($A177,'Jason FLEX'!$A$6:$N$268,13,FALSE),"")</x:f>
        <x:v>0</x:v>
      </x:c>
      <x:c r="AF177" s="110" t="n">
        <x:f>IF(COUNT(E177,N177,W177)=0,"",AVERAGE(E177,N177,W177))</x:f>
        <x:v>174.33333333333334</x:v>
      </x:c>
      <x:c r="AG177" s="110" t="n">
        <x:f>IF(COUNT(E177,N177,W177)=0,"",MAX(E177,N177,W177)-MIN(E177,N177,W177))</x:f>
        <x:v>50</x:v>
      </x:c>
      <x:c r="AH177" s="110" t="n">
        <x:f>IF(COUNT(F177,O177,X177)=0,"",AVERAGE(F177,O177,X177))</x:f>
        <x:v>5.866666666666667</x:v>
      </x:c>
      <x:c r="AI177" s="112" t="n">
        <x:f>IF(COUNT(G177,P177,Y177)=0,"",AVERAGE(G177,P177,Y177))</x:f>
        <x:v>0</x:v>
      </x:c>
      <x:c r="AJ177" s="112" t="n">
        <x:f>IF(COUNT(H177,Q177,Z177)=0,"",AVERAGE(H177,Q177,Z177))</x:f>
        <x:v>0</x:v>
      </x:c>
      <x:c r="AK177" s="112" t="n">
        <x:f>IF(COUNT(I177,R177,AA177)=0,"",AVERAGE(I177,R177,AA177))</x:f>
        <x:v>0</x:v>
      </x:c>
      <x:c r="AL177" s="112" t="n">
        <x:f>IF(COUNT(J177,S177,AB177)=0,"",AVERAGE(J177,S177,AB177))</x:f>
        <x:v>39.333333333333336</x:v>
      </x:c>
      <x:c r="AM177" s="112" t="n">
        <x:f>IF(COUNT(K177,T177,AC177)=0,"",AVERAGE(K177,T177,AC177))</x:f>
        <x:v>386</x:v>
      </x:c>
      <x:c r="AN177" s="112" t="n">
        <x:f>IF(COUNT(L177,U177,AD177)=0,"",AVERAGE(L177,U177,AD177))</x:f>
        <x:v>3.6666666666666665</x:v>
      </x:c>
      <x:c r="AO177" s="112" t="n">
        <x:f>IF(COUNT(M177,V177,AE177)=0,"",AVERAGE(M177,V177,AE177))</x:f>
        <x:v>0</x:v>
      </x:c>
    </x:row>
    <x:row r="178">
      <x:c r="A178" s="107" t="str">
        <x:v>Evan Engram</x:v>
      </x:c>
      <x:c r="B178" s="108" t="str">
        <x:v>TE</x:v>
      </x:c>
      <x:c r="C178" s="108" t="str">
        <x:v>DEN</x:v>
      </x:c>
      <x:c r="D178" s="109" t="n">
        <x:v>10</x:v>
      </x:c>
      <x:c r="E178" s="109" t="n">
        <x:f>IFERROR(VLOOKUP($A178,'Mike FLEX'!$A$6:$N$278,5,FALSE),"")</x:f>
        <x:v>162</x:v>
      </x:c>
      <x:c r="F178" s="110" t="n">
        <x:f>IFERROR(VLOOKUP($A178,'Mike FLEX'!$A$6:$N$278,6,FALSE),"")</x:f>
        <x:v>6</x:v>
      </x:c>
      <x:c r="G178" s="111" t="n">
        <x:f>IFERROR(VLOOKUP($A178,'Mike FLEX'!$A$6:$N$278,7,FALSE),"")</x:f>
        <x:v>0</x:v>
      </x:c>
      <x:c r="H178" s="111" t="n">
        <x:f>IFERROR(VLOOKUP($A178,'Mike FLEX'!$A$6:$N$278,8,FALSE),"")</x:f>
        <x:v>0</x:v>
      </x:c>
      <x:c r="I178" s="111" t="n">
        <x:f>IFERROR(VLOOKUP($A178,'Mike FLEX'!$A$6:$N$278,9,FALSE),"")</x:f>
        <x:v>0</x:v>
      </x:c>
      <x:c r="J178" s="111" t="n">
        <x:f>IFERROR(VLOOKUP($A178,'Mike FLEX'!$A$6:$N$278,10,FALSE),"")</x:f>
        <x:v>47</x:v>
      </x:c>
      <x:c r="K178" s="111" t="n">
        <x:f>IFERROR(VLOOKUP($A178,'Mike FLEX'!$A$6:$N$278,11,FALSE),"")</x:f>
        <x:v>432</x:v>
      </x:c>
      <x:c r="L178" s="111" t="n">
        <x:f>IFERROR(VLOOKUP($A178,'Mike FLEX'!$A$6:$N$278,12,FALSE),"")</x:f>
        <x:v>2</x:v>
      </x:c>
      <x:c r="M178" s="111" t="n">
        <x:f>IFERROR(VLOOKUP($A178,'Mike FLEX'!$A$6:$N$278,13,FALSE),"")</x:f>
        <x:v>1</x:v>
      </x:c>
      <x:c r="N178" s="109" t="n">
        <x:f>IFERROR(VLOOKUP($A178,'Andy FLEX'!$A$6:$N$278,5,FALSE),"")</x:f>
        <x:v>168</x:v>
      </x:c>
      <x:c r="O178" s="110" t="n">
        <x:f>IFERROR(VLOOKUP($A178,'Andy FLEX'!$A$6:$N$278,6,FALSE),"")</x:f>
        <x:v>5.9</x:v>
      </x:c>
      <x:c r="P178" s="111" t="n">
        <x:f>IFERROR(VLOOKUP($A178,'Andy FLEX'!$A$6:$N$278,7,FALSE),"")</x:f>
        <x:v>2</x:v>
      </x:c>
      <x:c r="Q178" s="111" t="n">
        <x:f>IFERROR(VLOOKUP($A178,'Andy FLEX'!$A$6:$N$278,8,FALSE),"")</x:f>
        <x:v>7</x:v>
      </x:c>
      <x:c r="R178" s="111" t="n">
        <x:f>IFERROR(VLOOKUP($A178,'Andy FLEX'!$A$6:$N$278,9,FALSE),"")</x:f>
        <x:v>0</x:v>
      </x:c>
      <x:c r="S178" s="111" t="n">
        <x:f>IFERROR(VLOOKUP($A178,'Andy FLEX'!$A$6:$N$278,10,FALSE),"")</x:f>
        <x:v>43</x:v>
      </x:c>
      <x:c r="T178" s="111" t="n">
        <x:f>IFERROR(VLOOKUP($A178,'Andy FLEX'!$A$6:$N$278,11,FALSE),"")</x:f>
        <x:v>408</x:v>
      </x:c>
      <x:c r="U178" s="111" t="n">
        <x:f>IFERROR(VLOOKUP($A178,'Andy FLEX'!$A$6:$N$278,12,FALSE),"")</x:f>
        <x:v>3</x:v>
      </x:c>
      <x:c r="V178" s="111" t="n">
        <x:f>IFERROR(VLOOKUP($A178,'Andy FLEX'!$A$6:$N$278,13,FALSE),"")</x:f>
        <x:v>0</x:v>
      </x:c>
      <x:c r="W178" s="109" t="n">
        <x:f>IFERROR(VLOOKUP($A178,'Jason FLEX'!$A$6:$N$268,5,FALSE),"")</x:f>
        <x:v>198</x:v>
      </x:c>
      <x:c r="X178" s="110" t="n">
        <x:f>IFERROR(VLOOKUP($A178,'Jason FLEX'!$A$6:$N$268,6,FALSE),"")</x:f>
        <x:v>4.8</x:v>
      </x:c>
      <x:c r="Y178" s="111" t="n">
        <x:f>IFERROR(VLOOKUP($A178,'Jason FLEX'!$A$6:$N$268,7,FALSE),"")</x:f>
        <x:v>0</x:v>
      </x:c>
      <x:c r="Z178" s="111" t="n">
        <x:f>IFERROR(VLOOKUP($A178,'Jason FLEX'!$A$6:$N$268,8,FALSE),"")</x:f>
        <x:v>0</x:v>
      </x:c>
      <x:c r="AA178" s="111" t="n">
        <x:f>IFERROR(VLOOKUP($A178,'Jason FLEX'!$A$6:$N$268,9,FALSE),"")</x:f>
        <x:v>0</x:v>
      </x:c>
      <x:c r="AB178" s="111" t="n">
        <x:f>IFERROR(VLOOKUP($A178,'Jason FLEX'!$A$6:$N$268,10,FALSE),"")</x:f>
        <x:v>36</x:v>
      </x:c>
      <x:c r="AC178" s="111" t="n">
        <x:f>IFERROR(VLOOKUP($A178,'Jason FLEX'!$A$6:$N$268,11,FALSE),"")</x:f>
        <x:v>333</x:v>
      </x:c>
      <x:c r="AD178" s="111" t="n">
        <x:f>IFERROR(VLOOKUP($A178,'Jason FLEX'!$A$6:$N$268,12,FALSE),"")</x:f>
        <x:v>2</x:v>
      </x:c>
      <x:c r="AE178" s="111" t="n">
        <x:f>IFERROR(VLOOKUP($A178,'Jason FLEX'!$A$6:$N$268,13,FALSE),"")</x:f>
        <x:v>0</x:v>
      </x:c>
      <x:c r="AF178" s="110" t="n">
        <x:f>IF(COUNT(E178,N178,W178)=0,"",AVERAGE(E178,N178,W178))</x:f>
        <x:v>176</x:v>
      </x:c>
      <x:c r="AG178" s="110" t="n">
        <x:f>IF(COUNT(E178,N178,W178)=0,"",MAX(E178,N178,W178)-MIN(E178,N178,W178))</x:f>
        <x:v>36</x:v>
      </x:c>
      <x:c r="AH178" s="110" t="n">
        <x:f>IF(COUNT(F178,O178,X178)=0,"",AVERAGE(F178,O178,X178))</x:f>
        <x:v>5.566666666666666</x:v>
      </x:c>
      <x:c r="AI178" s="112" t="n">
        <x:f>IF(COUNT(G178,P178,Y178)=0,"",AVERAGE(G178,P178,Y178))</x:f>
        <x:v>0.6666666666666666</x:v>
      </x:c>
      <x:c r="AJ178" s="112" t="n">
        <x:f>IF(COUNT(H178,Q178,Z178)=0,"",AVERAGE(H178,Q178,Z178))</x:f>
        <x:v>2.3333333333333335</x:v>
      </x:c>
      <x:c r="AK178" s="112" t="n">
        <x:f>IF(COUNT(I178,R178,AA178)=0,"",AVERAGE(I178,R178,AA178))</x:f>
        <x:v>0</x:v>
      </x:c>
      <x:c r="AL178" s="112" t="n">
        <x:f>IF(COUNT(J178,S178,AB178)=0,"",AVERAGE(J178,S178,AB178))</x:f>
        <x:v>42</x:v>
      </x:c>
      <x:c r="AM178" s="112" t="n">
        <x:f>IF(COUNT(K178,T178,AC178)=0,"",AVERAGE(K178,T178,AC178))</x:f>
        <x:v>391</x:v>
      </x:c>
      <x:c r="AN178" s="112" t="n">
        <x:f>IF(COUNT(L178,U178,AD178)=0,"",AVERAGE(L178,U178,AD178))</x:f>
        <x:v>2.3333333333333335</x:v>
      </x:c>
      <x:c r="AO178" s="112" t="n">
        <x:f>IF(COUNT(M178,V178,AE178)=0,"",AVERAGE(M178,V178,AE178))</x:f>
        <x:v>0.3333333333333333</x:v>
      </x:c>
    </x:row>
    <x:row r="179">
      <x:c r="A179" s="107" t="str">
        <x:v>Darius Slayton</x:v>
      </x:c>
      <x:c r="B179" s="108" t="str">
        <x:v>WR</x:v>
      </x:c>
      <x:c r="C179" s="108" t="str">
        <x:v>NYG</x:v>
      </x:c>
      <x:c r="D179" s="109" t="n">
        <x:v>8</x:v>
      </x:c>
      <x:c r="E179" s="109" t="n">
        <x:f>IFERROR(VLOOKUP($A179,'Mike FLEX'!$A$6:$N$278,5,FALSE),"")</x:f>
        <x:v>157</x:v>
      </x:c>
      <x:c r="F179" s="110" t="n">
        <x:f>IFERROR(VLOOKUP($A179,'Mike FLEX'!$A$6:$N$278,6,FALSE),"")</x:f>
        <x:v>6.2</x:v>
      </x:c>
      <x:c r="G179" s="111" t="n">
        <x:f>IFERROR(VLOOKUP($A179,'Mike FLEX'!$A$6:$N$278,7,FALSE),"")</x:f>
        <x:v>0</x:v>
      </x:c>
      <x:c r="H179" s="111" t="n">
        <x:f>IFERROR(VLOOKUP($A179,'Mike FLEX'!$A$6:$N$278,8,FALSE),"")</x:f>
        <x:v>0</x:v>
      </x:c>
      <x:c r="I179" s="111" t="n">
        <x:f>IFERROR(VLOOKUP($A179,'Mike FLEX'!$A$6:$N$278,9,FALSE),"")</x:f>
        <x:v>0</x:v>
      </x:c>
      <x:c r="J179" s="111" t="n">
        <x:f>IFERROR(VLOOKUP($A179,'Mike FLEX'!$A$6:$N$278,10,FALSE),"")</x:f>
        <x:v>36</x:v>
      </x:c>
      <x:c r="K179" s="111" t="n">
        <x:f>IFERROR(VLOOKUP($A179,'Mike FLEX'!$A$6:$N$278,11,FALSE),"")</x:f>
        <x:v>543</x:v>
      </x:c>
      <x:c r="L179" s="111" t="n">
        <x:f>IFERROR(VLOOKUP($A179,'Mike FLEX'!$A$6:$N$278,12,FALSE),"")</x:f>
        <x:v>3</x:v>
      </x:c>
      <x:c r="M179" s="111" t="n">
        <x:f>IFERROR(VLOOKUP($A179,'Mike FLEX'!$A$6:$N$278,13,FALSE),"")</x:f>
        <x:v>1</x:v>
      </x:c>
      <x:c r="N179" s="109" t="n">
        <x:f>IFERROR(VLOOKUP($A179,'Andy FLEX'!$A$6:$N$278,5,FALSE),"")</x:f>
        <x:v>166</x:v>
      </x:c>
      <x:c r="O179" s="110" t="n">
        <x:f>IFERROR(VLOOKUP($A179,'Andy FLEX'!$A$6:$N$278,6,FALSE),"")</x:f>
        <x:v>5.9</x:v>
      </x:c>
      <x:c r="P179" s="111" t="n">
        <x:f>IFERROR(VLOOKUP($A179,'Andy FLEX'!$A$6:$N$278,7,FALSE),"")</x:f>
        <x:v>1</x:v>
      </x:c>
      <x:c r="Q179" s="111" t="n">
        <x:f>IFERROR(VLOOKUP($A179,'Andy FLEX'!$A$6:$N$278,8,FALSE),"")</x:f>
        <x:v>5</x:v>
      </x:c>
      <x:c r="R179" s="111" t="n">
        <x:f>IFERROR(VLOOKUP($A179,'Andy FLEX'!$A$6:$N$278,9,FALSE),"")</x:f>
        <x:v>0</x:v>
      </x:c>
      <x:c r="S179" s="111" t="n">
        <x:f>IFERROR(VLOOKUP($A179,'Andy FLEX'!$A$6:$N$278,10,FALSE),"")</x:f>
        <x:v>35</x:v>
      </x:c>
      <x:c r="T179" s="111" t="n">
        <x:f>IFERROR(VLOOKUP($A179,'Andy FLEX'!$A$6:$N$278,11,FALSE),"")</x:f>
        <x:v>483</x:v>
      </x:c>
      <x:c r="U179" s="111" t="n">
        <x:f>IFERROR(VLOOKUP($A179,'Andy FLEX'!$A$6:$N$278,12,FALSE),"")</x:f>
        <x:v>3</x:v>
      </x:c>
      <x:c r="V179" s="111" t="n">
        <x:f>IFERROR(VLOOKUP($A179,'Andy FLEX'!$A$6:$N$278,13,FALSE),"")</x:f>
        <x:v>0</x:v>
      </x:c>
      <x:c r="W179" s="109" t="n">
        <x:f>IFERROR(VLOOKUP($A179,'Jason FLEX'!$A$6:$N$268,5,FALSE),"")</x:f>
        <x:v>210</x:v>
      </x:c>
      <x:c r="X179" s="110" t="n">
        <x:f>IFERROR(VLOOKUP($A179,'Jason FLEX'!$A$6:$N$268,6,FALSE),"")</x:f>
        <x:v>4.1</x:v>
      </x:c>
      <x:c r="Y179" s="111" t="n">
        <x:f>IFERROR(VLOOKUP($A179,'Jason FLEX'!$A$6:$N$268,7,FALSE),"")</x:f>
        <x:v>0</x:v>
      </x:c>
      <x:c r="Z179" s="111" t="n">
        <x:f>IFERROR(VLOOKUP($A179,'Jason FLEX'!$A$6:$N$268,8,FALSE),"")</x:f>
        <x:v>0</x:v>
      </x:c>
      <x:c r="AA179" s="111" t="n">
        <x:f>IFERROR(VLOOKUP($A179,'Jason FLEX'!$A$6:$N$268,9,FALSE),"")</x:f>
        <x:v>0</x:v>
      </x:c>
      <x:c r="AB179" s="111" t="n">
        <x:f>IFERROR(VLOOKUP($A179,'Jason FLEX'!$A$6:$N$268,10,FALSE),"")</x:f>
        <x:v>23</x:v>
      </x:c>
      <x:c r="AC179" s="111" t="n">
        <x:f>IFERROR(VLOOKUP($A179,'Jason FLEX'!$A$6:$N$268,11,FALSE),"")</x:f>
        <x:v>345</x:v>
      </x:c>
      <x:c r="AD179" s="111" t="n">
        <x:f>IFERROR(VLOOKUP($A179,'Jason FLEX'!$A$6:$N$268,12,FALSE),"")</x:f>
        <x:v>2</x:v>
      </x:c>
      <x:c r="AE179" s="111" t="n">
        <x:f>IFERROR(VLOOKUP($A179,'Jason FLEX'!$A$6:$N$268,13,FALSE),"")</x:f>
        <x:v>0</x:v>
      </x:c>
      <x:c r="AF179" s="110" t="n">
        <x:f>IF(COUNT(E179,N179,W179)=0,"",AVERAGE(E179,N179,W179))</x:f>
        <x:v>177.66666666666666</x:v>
      </x:c>
      <x:c r="AG179" s="110" t="n">
        <x:f>IF(COUNT(E179,N179,W179)=0,"",MAX(E179,N179,W179)-MIN(E179,N179,W179))</x:f>
        <x:v>53</x:v>
      </x:c>
      <x:c r="AH179" s="110" t="n">
        <x:f>IF(COUNT(F179,O179,X179)=0,"",AVERAGE(F179,O179,X179))</x:f>
        <x:v>5.400000000000001</x:v>
      </x:c>
      <x:c r="AI179" s="112" t="n">
        <x:f>IF(COUNT(G179,P179,Y179)=0,"",AVERAGE(G179,P179,Y179))</x:f>
        <x:v>0.3333333333333333</x:v>
      </x:c>
      <x:c r="AJ179" s="112" t="n">
        <x:f>IF(COUNT(H179,Q179,Z179)=0,"",AVERAGE(H179,Q179,Z179))</x:f>
        <x:v>1.6666666666666667</x:v>
      </x:c>
      <x:c r="AK179" s="112" t="n">
        <x:f>IF(COUNT(I179,R179,AA179)=0,"",AVERAGE(I179,R179,AA179))</x:f>
        <x:v>0</x:v>
      </x:c>
      <x:c r="AL179" s="112" t="n">
        <x:f>IF(COUNT(J179,S179,AB179)=0,"",AVERAGE(J179,S179,AB179))</x:f>
        <x:v>31.333333333333332</x:v>
      </x:c>
      <x:c r="AM179" s="112" t="n">
        <x:f>IF(COUNT(K179,T179,AC179)=0,"",AVERAGE(K179,T179,AC179))</x:f>
        <x:v>457</x:v>
      </x:c>
      <x:c r="AN179" s="112" t="n">
        <x:f>IF(COUNT(L179,U179,AD179)=0,"",AVERAGE(L179,U179,AD179))</x:f>
        <x:v>2.6666666666666665</x:v>
      </x:c>
      <x:c r="AO179" s="112" t="n">
        <x:f>IF(COUNT(M179,V179,AE179)=0,"",AVERAGE(M179,V179,AE179))</x:f>
        <x:v>0.3333333333333333</x:v>
      </x:c>
    </x:row>
    <x:row r="180">
      <x:c r="A180" s="107" t="str">
        <x:v>Tory Horton</x:v>
      </x:c>
      <x:c r="B180" s="108" t="str">
        <x:v>WR</x:v>
      </x:c>
      <x:c r="C180" s="108" t="str">
        <x:v>SEA</x:v>
      </x:c>
      <x:c r="D180" s="109" t="n">
        <x:v>11</x:v>
      </x:c>
      <x:c r="E180" s="109" t="n">
        <x:f>IFERROR(VLOOKUP($A180,'Mike FLEX'!$A$6:$N$278,5,FALSE),"")</x:f>
        <x:v>190</x:v>
      </x:c>
      <x:c r="F180" s="110" t="n">
        <x:f>IFERROR(VLOOKUP($A180,'Mike FLEX'!$A$6:$N$278,6,FALSE),"")</x:f>
        <x:v>4.4</x:v>
      </x:c>
      <x:c r="G180" s="111" t="n">
        <x:f>IFERROR(VLOOKUP($A180,'Mike FLEX'!$A$6:$N$278,7,FALSE),"")</x:f>
        <x:v>0</x:v>
      </x:c>
      <x:c r="H180" s="111" t="n">
        <x:f>IFERROR(VLOOKUP($A180,'Mike FLEX'!$A$6:$N$278,8,FALSE),"")</x:f>
        <x:v>0</x:v>
      </x:c>
      <x:c r="I180" s="111" t="n">
        <x:f>IFERROR(VLOOKUP($A180,'Mike FLEX'!$A$6:$N$278,9,FALSE),"")</x:f>
        <x:v>0</x:v>
      </x:c>
      <x:c r="J180" s="111" t="n">
        <x:f>IFERROR(VLOOKUP($A180,'Mike FLEX'!$A$6:$N$278,10,FALSE),"")</x:f>
        <x:v>28</x:v>
      </x:c>
      <x:c r="K180" s="111" t="n">
        <x:f>IFERROR(VLOOKUP($A180,'Mike FLEX'!$A$6:$N$278,11,FALSE),"")</x:f>
        <x:v>340</x:v>
      </x:c>
      <x:c r="L180" s="111" t="n">
        <x:f>IFERROR(VLOOKUP($A180,'Mike FLEX'!$A$6:$N$278,12,FALSE),"")</x:f>
        <x:v>2</x:v>
      </x:c>
      <x:c r="M180" s="111" t="n">
        <x:f>IFERROR(VLOOKUP($A180,'Mike FLEX'!$A$6:$N$278,13,FALSE),"")</x:f>
        <x:v>0</x:v>
      </x:c>
      <x:c r="N180" s="109" t="n">
        <x:f>IFERROR(VLOOKUP($A180,'Andy FLEX'!$A$6:$N$278,5,FALSE),"")</x:f>
        <x:v>149</x:v>
      </x:c>
      <x:c r="O180" s="110" t="n">
        <x:f>IFERROR(VLOOKUP($A180,'Andy FLEX'!$A$6:$N$278,6,FALSE),"")</x:f>
        <x:v>6.6</x:v>
      </x:c>
      <x:c r="P180" s="111" t="n">
        <x:f>IFERROR(VLOOKUP($A180,'Andy FLEX'!$A$6:$N$278,7,FALSE),"")</x:f>
        <x:v>4</x:v>
      </x:c>
      <x:c r="Q180" s="111" t="n">
        <x:f>IFERROR(VLOOKUP($A180,'Andy FLEX'!$A$6:$N$278,8,FALSE),"")</x:f>
        <x:v>31</x:v>
      </x:c>
      <x:c r="R180" s="111" t="n">
        <x:f>IFERROR(VLOOKUP($A180,'Andy FLEX'!$A$6:$N$278,9,FALSE),"")</x:f>
        <x:v>0</x:v>
      </x:c>
      <x:c r="S180" s="111" t="n">
        <x:f>IFERROR(VLOOKUP($A180,'Andy FLEX'!$A$6:$N$278,10,FALSE),"")</x:f>
        <x:v>40</x:v>
      </x:c>
      <x:c r="T180" s="111" t="n">
        <x:f>IFERROR(VLOOKUP($A180,'Andy FLEX'!$A$6:$N$278,11,FALSE),"")</x:f>
        <x:v>452</x:v>
      </x:c>
      <x:c r="U180" s="111" t="n">
        <x:f>IFERROR(VLOOKUP($A180,'Andy FLEX'!$A$6:$N$278,12,FALSE),"")</x:f>
        <x:v>4</x:v>
      </x:c>
      <x:c r="V180" s="111" t="n">
        <x:f>IFERROR(VLOOKUP($A180,'Andy FLEX'!$A$6:$N$278,13,FALSE),"")</x:f>
        <x:v>0</x:v>
      </x:c>
      <x:c r="W180" s="109" t="n">
        <x:f>IFERROR(VLOOKUP($A180,'Jason FLEX'!$A$6:$N$268,5,FALSE),"")</x:f>
        <x:v>195</x:v>
      </x:c>
      <x:c r="X180" s="110" t="n">
        <x:f>IFERROR(VLOOKUP($A180,'Jason FLEX'!$A$6:$N$268,6,FALSE),"")</x:f>
        <x:v>4.9</x:v>
      </x:c>
      <x:c r="Y180" s="111" t="n">
        <x:f>IFERROR(VLOOKUP($A180,'Jason FLEX'!$A$6:$N$268,7,FALSE),"")</x:f>
        <x:v>8</x:v>
      </x:c>
      <x:c r="Z180" s="111" t="n">
        <x:f>IFERROR(VLOOKUP($A180,'Jason FLEX'!$A$6:$N$268,8,FALSE),"")</x:f>
        <x:v>35</x:v>
      </x:c>
      <x:c r="AA180" s="111" t="n">
        <x:f>IFERROR(VLOOKUP($A180,'Jason FLEX'!$A$6:$N$268,9,FALSE),"")</x:f>
        <x:v>0</x:v>
      </x:c>
      <x:c r="AB180" s="111" t="n">
        <x:f>IFERROR(VLOOKUP($A180,'Jason FLEX'!$A$6:$N$268,10,FALSE),"")</x:f>
        <x:v>29</x:v>
      </x:c>
      <x:c r="AC180" s="111" t="n">
        <x:f>IFERROR(VLOOKUP($A180,'Jason FLEX'!$A$6:$N$268,11,FALSE),"")</x:f>
        <x:v>377</x:v>
      </x:c>
      <x:c r="AD180" s="111" t="n">
        <x:f>IFERROR(VLOOKUP($A180,'Jason FLEX'!$A$6:$N$268,12,FALSE),"")</x:f>
        <x:v>2</x:v>
      </x:c>
      <x:c r="AE180" s="111" t="n">
        <x:f>IFERROR(VLOOKUP($A180,'Jason FLEX'!$A$6:$N$268,13,FALSE),"")</x:f>
        <x:v>0</x:v>
      </x:c>
      <x:c r="AF180" s="110" t="n">
        <x:f>IF(COUNT(E180,N180,W180)=0,"",AVERAGE(E180,N180,W180))</x:f>
        <x:v>178</x:v>
      </x:c>
      <x:c r="AG180" s="110" t="n">
        <x:f>IF(COUNT(E180,N180,W180)=0,"",MAX(E180,N180,W180)-MIN(E180,N180,W180))</x:f>
        <x:v>46</x:v>
      </x:c>
      <x:c r="AH180" s="110" t="n">
        <x:f>IF(COUNT(F180,O180,X180)=0,"",AVERAGE(F180,O180,X180))</x:f>
        <x:v>5.3</x:v>
      </x:c>
      <x:c r="AI180" s="112" t="n">
        <x:f>IF(COUNT(G180,P180,Y180)=0,"",AVERAGE(G180,P180,Y180))</x:f>
        <x:v>4</x:v>
      </x:c>
      <x:c r="AJ180" s="112" t="n">
        <x:f>IF(COUNT(H180,Q180,Z180)=0,"",AVERAGE(H180,Q180,Z180))</x:f>
        <x:v>22</x:v>
      </x:c>
      <x:c r="AK180" s="112" t="n">
        <x:f>IF(COUNT(I180,R180,AA180)=0,"",AVERAGE(I180,R180,AA180))</x:f>
        <x:v>0</x:v>
      </x:c>
      <x:c r="AL180" s="112" t="n">
        <x:f>IF(COUNT(J180,S180,AB180)=0,"",AVERAGE(J180,S180,AB180))</x:f>
        <x:v>32.333333333333336</x:v>
      </x:c>
      <x:c r="AM180" s="112" t="n">
        <x:f>IF(COUNT(K180,T180,AC180)=0,"",AVERAGE(K180,T180,AC180))</x:f>
        <x:v>389.6666666666667</x:v>
      </x:c>
      <x:c r="AN180" s="112" t="n">
        <x:f>IF(COUNT(L180,U180,AD180)=0,"",AVERAGE(L180,U180,AD180))</x:f>
        <x:v>2.6666666666666665</x:v>
      </x:c>
      <x:c r="AO180" s="112" t="n">
        <x:f>IF(COUNT(M180,V180,AE180)=0,"",AVERAGE(M180,V180,AE180))</x:f>
        <x:v>0</x:v>
      </x:c>
    </x:row>
    <x:row r="181">
      <x:c r="A181" s="107" t="str">
        <x:v>Isaac TeSlaa</x:v>
      </x:c>
      <x:c r="B181" s="108" t="str">
        <x:v>WR</x:v>
      </x:c>
      <x:c r="C181" s="108" t="str">
        <x:v>DET</x:v>
      </x:c>
      <x:c r="D181" s="109" t="n">
        <x:v>6</x:v>
      </x:c>
      <x:c r="E181" s="109" t="n">
        <x:f>IFERROR(VLOOKUP($A181,'Mike FLEX'!$A$6:$N$278,5,FALSE),"")</x:f>
        <x:v>182</x:v>
      </x:c>
      <x:c r="F181" s="110" t="n">
        <x:f>IFERROR(VLOOKUP($A181,'Mike FLEX'!$A$6:$N$278,6,FALSE),"")</x:f>
        <x:v>4.7</x:v>
      </x:c>
      <x:c r="G181" s="111" t="n">
        <x:f>IFERROR(VLOOKUP($A181,'Mike FLEX'!$A$6:$N$278,7,FALSE),"")</x:f>
        <x:v>0</x:v>
      </x:c>
      <x:c r="H181" s="111" t="n">
        <x:f>IFERROR(VLOOKUP($A181,'Mike FLEX'!$A$6:$N$278,8,FALSE),"")</x:f>
        <x:v>0</x:v>
      </x:c>
      <x:c r="I181" s="111" t="n">
        <x:f>IFERROR(VLOOKUP($A181,'Mike FLEX'!$A$6:$N$278,9,FALSE),"")</x:f>
        <x:v>0</x:v>
      </x:c>
      <x:c r="J181" s="111" t="n">
        <x:f>IFERROR(VLOOKUP($A181,'Mike FLEX'!$A$6:$N$278,10,FALSE),"")</x:f>
        <x:v>25</x:v>
      </x:c>
      <x:c r="K181" s="111" t="n">
        <x:f>IFERROR(VLOOKUP($A181,'Mike FLEX'!$A$6:$N$278,11,FALSE),"")</x:f>
        <x:v>355</x:v>
      </x:c>
      <x:c r="L181" s="111" t="n">
        <x:f>IFERROR(VLOOKUP($A181,'Mike FLEX'!$A$6:$N$278,12,FALSE),"")</x:f>
        <x:v>3</x:v>
      </x:c>
      <x:c r="M181" s="111" t="n">
        <x:f>IFERROR(VLOOKUP($A181,'Mike FLEX'!$A$6:$N$278,13,FALSE),"")</x:f>
        <x:v>0</x:v>
      </x:c>
      <x:c r="N181" s="109" t="n">
        <x:f>IFERROR(VLOOKUP($A181,'Andy FLEX'!$A$6:$N$278,5,FALSE),"")</x:f>
        <x:v>167</x:v>
      </x:c>
      <x:c r="O181" s="110" t="n">
        <x:f>IFERROR(VLOOKUP($A181,'Andy FLEX'!$A$6:$N$278,6,FALSE),"")</x:f>
        <x:v>5.9</x:v>
      </x:c>
      <x:c r="P181" s="111" t="n">
        <x:f>IFERROR(VLOOKUP($A181,'Andy FLEX'!$A$6:$N$278,7,FALSE),"")</x:f>
        <x:v>3</x:v>
      </x:c>
      <x:c r="Q181" s="111" t="n">
        <x:f>IFERROR(VLOOKUP($A181,'Andy FLEX'!$A$6:$N$278,8,FALSE),"")</x:f>
        <x:v>15</x:v>
      </x:c>
      <x:c r="R181" s="111" t="n">
        <x:f>IFERROR(VLOOKUP($A181,'Andy FLEX'!$A$6:$N$278,9,FALSE),"")</x:f>
        <x:v>0</x:v>
      </x:c>
      <x:c r="S181" s="111" t="n">
        <x:f>IFERROR(VLOOKUP($A181,'Andy FLEX'!$A$6:$N$278,10,FALSE),"")</x:f>
        <x:v>30</x:v>
      </x:c>
      <x:c r="T181" s="111" t="n">
        <x:f>IFERROR(VLOOKUP($A181,'Andy FLEX'!$A$6:$N$278,11,FALSE),"")</x:f>
        <x:v>408</x:v>
      </x:c>
      <x:c r="U181" s="111" t="n">
        <x:f>IFERROR(VLOOKUP($A181,'Andy FLEX'!$A$6:$N$278,12,FALSE),"")</x:f>
        <x:v>5</x:v>
      </x:c>
      <x:c r="V181" s="111" t="n">
        <x:f>IFERROR(VLOOKUP($A181,'Andy FLEX'!$A$6:$N$278,13,FALSE),"")</x:f>
        <x:v>0</x:v>
      </x:c>
      <x:c r="W181" s="109" t="n">
        <x:f>IFERROR(VLOOKUP($A181,'Jason FLEX'!$A$6:$N$268,5,FALSE),"")</x:f>
        <x:v>188</x:v>
      </x:c>
      <x:c r="X181" s="110" t="n">
        <x:f>IFERROR(VLOOKUP($A181,'Jason FLEX'!$A$6:$N$268,6,FALSE),"")</x:f>
        <x:v>5.1</x:v>
      </x:c>
      <x:c r="Y181" s="111" t="n">
        <x:f>IFERROR(VLOOKUP($A181,'Jason FLEX'!$A$6:$N$268,7,FALSE),"")</x:f>
        <x:v>0</x:v>
      </x:c>
      <x:c r="Z181" s="111" t="n">
        <x:f>IFERROR(VLOOKUP($A181,'Jason FLEX'!$A$6:$N$268,8,FALSE),"")</x:f>
        <x:v>0</x:v>
      </x:c>
      <x:c r="AA181" s="111" t="n">
        <x:f>IFERROR(VLOOKUP($A181,'Jason FLEX'!$A$6:$N$268,9,FALSE),"")</x:f>
        <x:v>0</x:v>
      </x:c>
      <x:c r="AB181" s="111" t="n">
        <x:f>IFERROR(VLOOKUP($A181,'Jason FLEX'!$A$6:$N$268,10,FALSE),"")</x:f>
        <x:v>23</x:v>
      </x:c>
      <x:c r="AC181" s="111" t="n">
        <x:f>IFERROR(VLOOKUP($A181,'Jason FLEX'!$A$6:$N$268,11,FALSE),"")</x:f>
        <x:v>345</x:v>
      </x:c>
      <x:c r="AD181" s="111" t="n">
        <x:f>IFERROR(VLOOKUP($A181,'Jason FLEX'!$A$6:$N$268,12,FALSE),"")</x:f>
        <x:v>5</x:v>
      </x:c>
      <x:c r="AE181" s="111" t="n">
        <x:f>IFERROR(VLOOKUP($A181,'Jason FLEX'!$A$6:$N$268,13,FALSE),"")</x:f>
        <x:v>0</x:v>
      </x:c>
      <x:c r="AF181" s="110" t="n">
        <x:f>IF(COUNT(E181,N181,W181)=0,"",AVERAGE(E181,N181,W181))</x:f>
        <x:v>179</x:v>
      </x:c>
      <x:c r="AG181" s="110" t="n">
        <x:f>IF(COUNT(E181,N181,W181)=0,"",MAX(E181,N181,W181)-MIN(E181,N181,W181))</x:f>
        <x:v>21</x:v>
      </x:c>
      <x:c r="AH181" s="110" t="n">
        <x:f>IF(COUNT(F181,O181,X181)=0,"",AVERAGE(F181,O181,X181))</x:f>
        <x:v>5.233333333333333</x:v>
      </x:c>
      <x:c r="AI181" s="112" t="n">
        <x:f>IF(COUNT(G181,P181,Y181)=0,"",AVERAGE(G181,P181,Y181))</x:f>
        <x:v>1</x:v>
      </x:c>
      <x:c r="AJ181" s="112" t="n">
        <x:f>IF(COUNT(H181,Q181,Z181)=0,"",AVERAGE(H181,Q181,Z181))</x:f>
        <x:v>5</x:v>
      </x:c>
      <x:c r="AK181" s="112" t="n">
        <x:f>IF(COUNT(I181,R181,AA181)=0,"",AVERAGE(I181,R181,AA181))</x:f>
        <x:v>0</x:v>
      </x:c>
      <x:c r="AL181" s="112" t="n">
        <x:f>IF(COUNT(J181,S181,AB181)=0,"",AVERAGE(J181,S181,AB181))</x:f>
        <x:v>26</x:v>
      </x:c>
      <x:c r="AM181" s="112" t="n">
        <x:f>IF(COUNT(K181,T181,AC181)=0,"",AVERAGE(K181,T181,AC181))</x:f>
        <x:v>369.3333333333333</x:v>
      </x:c>
      <x:c r="AN181" s="112" t="n">
        <x:f>IF(COUNT(L181,U181,AD181)=0,"",AVERAGE(L181,U181,AD181))</x:f>
        <x:v>4.333333333333333</x:v>
      </x:c>
      <x:c r="AO181" s="112" t="n">
        <x:f>IF(COUNT(M181,V181,AE181)=0,"",AVERAGE(M181,V181,AE181))</x:f>
        <x:v>0</x:v>
      </x:c>
    </x:row>
    <x:row r="182">
      <x:c r="A182" s="107" t="str">
        <x:v>Najee Harris</x:v>
      </x:c>
      <x:c r="B182" s="108" t="str">
        <x:v>RB</x:v>
      </x:c>
      <x:c r="C182" s="108" t="str">
        <x:v>NYG</x:v>
      </x:c>
      <x:c r="D182" s="109" t="n">
        <x:v>8</x:v>
      </x:c>
      <x:c r="E182" s="109" t="n">
        <x:f>IFERROR(VLOOKUP($A182,'Mike FLEX'!$A$6:$N$278,5,FALSE),"")</x:f>
        <x:v>137</x:v>
      </x:c>
      <x:c r="F182" s="110" t="n">
        <x:f>IFERROR(VLOOKUP($A182,'Mike FLEX'!$A$6:$N$278,6,FALSE),"")</x:f>
        <x:v>7</x:v>
      </x:c>
      <x:c r="G182" s="111" t="n">
        <x:f>IFERROR(VLOOKUP($A182,'Mike FLEX'!$A$6:$N$278,7,FALSE),"")</x:f>
        <x:v>162</x:v>
      </x:c>
      <x:c r="H182" s="111" t="n">
        <x:f>IFERROR(VLOOKUP($A182,'Mike FLEX'!$A$6:$N$278,8,FALSE),"")</x:f>
        <x:v>649</x:v>
      </x:c>
      <x:c r="I182" s="111" t="n">
        <x:f>IFERROR(VLOOKUP($A182,'Mike FLEX'!$A$6:$N$278,9,FALSE),"")</x:f>
        <x:v>5</x:v>
      </x:c>
      <x:c r="J182" s="111" t="n">
        <x:f>IFERROR(VLOOKUP($A182,'Mike FLEX'!$A$6:$N$278,10,FALSE),"")</x:f>
        <x:v>14</x:v>
      </x:c>
      <x:c r="K182" s="111" t="n">
        <x:f>IFERROR(VLOOKUP($A182,'Mike FLEX'!$A$6:$N$278,11,FALSE),"")</x:f>
        <x:v>104</x:v>
      </x:c>
      <x:c r="L182" s="111" t="n">
        <x:f>IFERROR(VLOOKUP($A182,'Mike FLEX'!$A$6:$N$278,12,FALSE),"")</x:f>
        <x:v>1</x:v>
      </x:c>
      <x:c r="M182" s="111" t="n">
        <x:f>IFERROR(VLOOKUP($A182,'Mike FLEX'!$A$6:$N$278,13,FALSE),"")</x:f>
        <x:v>0</x:v>
      </x:c>
      <x:c r="N182" s="109" t="n">
        <x:f>IFERROR(VLOOKUP($A182,'Andy FLEX'!$A$6:$N$278,5,FALSE),"")</x:f>
        <x:v>241</x:v>
      </x:c>
      <x:c r="O182" s="110" t="n">
        <x:f>IFERROR(VLOOKUP($A182,'Andy FLEX'!$A$6:$N$278,6,FALSE),"")</x:f>
        <x:v>3.4</x:v>
      </x:c>
      <x:c r="P182" s="111" t="n">
        <x:f>IFERROR(VLOOKUP($A182,'Andy FLEX'!$A$6:$N$278,7,FALSE),"")</x:f>
        <x:v>60</x:v>
      </x:c>
      <x:c r="Q182" s="111" t="n">
        <x:f>IFERROR(VLOOKUP($A182,'Andy FLEX'!$A$6:$N$278,8,FALSE),"")</x:f>
        <x:v>223</x:v>
      </x:c>
      <x:c r="R182" s="111" t="n">
        <x:f>IFERROR(VLOOKUP($A182,'Andy FLEX'!$A$6:$N$278,9,FALSE),"")</x:f>
        <x:v>1</x:v>
      </x:c>
      <x:c r="S182" s="111" t="n">
        <x:f>IFERROR(VLOOKUP($A182,'Andy FLEX'!$A$6:$N$278,10,FALSE),"")</x:f>
        <x:v>18</x:v>
      </x:c>
      <x:c r="T182" s="111" t="n">
        <x:f>IFERROR(VLOOKUP($A182,'Andy FLEX'!$A$6:$N$278,11,FALSE),"")</x:f>
        <x:v>126</x:v>
      </x:c>
      <x:c r="U182" s="111" t="n">
        <x:f>IFERROR(VLOOKUP($A182,'Andy FLEX'!$A$6:$N$278,12,FALSE),"")</x:f>
        <x:v>0</x:v>
      </x:c>
      <x:c r="V182" s="111" t="n">
        <x:f>IFERROR(VLOOKUP($A182,'Andy FLEX'!$A$6:$N$278,13,FALSE),"")</x:f>
        <x:v>1</x:v>
      </x:c>
      <x:c r="W182" s="109" t="n">
        <x:f>IFERROR(VLOOKUP($A182,'Jason FLEX'!$A$6:$N$268,5,FALSE),"")</x:f>
        <x:v>160</x:v>
      </x:c>
      <x:c r="X182" s="110" t="n">
        <x:f>IFERROR(VLOOKUP($A182,'Jason FLEX'!$A$6:$N$268,6,FALSE),"")</x:f>
        <x:v>6.4</x:v>
      </x:c>
      <x:c r="Y182" s="111" t="n">
        <x:f>IFERROR(VLOOKUP($A182,'Jason FLEX'!$A$6:$N$268,7,FALSE),"")</x:f>
        <x:v>114</x:v>
      </x:c>
      <x:c r="Z182" s="111" t="n">
        <x:f>IFERROR(VLOOKUP($A182,'Jason FLEX'!$A$6:$N$268,8,FALSE),"")</x:f>
        <x:v>456</x:v>
      </x:c>
      <x:c r="AA182" s="111" t="n">
        <x:f>IFERROR(VLOOKUP($A182,'Jason FLEX'!$A$6:$N$268,9,FALSE),"")</x:f>
        <x:v>4</x:v>
      </x:c>
      <x:c r="AB182" s="111" t="n">
        <x:f>IFERROR(VLOOKUP($A182,'Jason FLEX'!$A$6:$N$268,10,FALSE),"")</x:f>
        <x:v>23</x:v>
      </x:c>
      <x:c r="AC182" s="111" t="n">
        <x:f>IFERROR(VLOOKUP($A182,'Jason FLEX'!$A$6:$N$268,11,FALSE),"")</x:f>
        <x:v>166</x:v>
      </x:c>
      <x:c r="AD182" s="111" t="n">
        <x:f>IFERROR(VLOOKUP($A182,'Jason FLEX'!$A$6:$N$268,12,FALSE),"")</x:f>
        <x:v>0</x:v>
      </x:c>
      <x:c r="AE182" s="111" t="n">
        <x:f>IFERROR(VLOOKUP($A182,'Jason FLEX'!$A$6:$N$268,13,FALSE),"")</x:f>
        <x:v>0</x:v>
      </x:c>
      <x:c r="AF182" s="110" t="n">
        <x:f>IF(COUNT(E182,N182,W182)=0,"",AVERAGE(E182,N182,W182))</x:f>
        <x:v>179.33333333333334</x:v>
      </x:c>
      <x:c r="AG182" s="110" t="n">
        <x:f>IF(COUNT(E182,N182,W182)=0,"",MAX(E182,N182,W182)-MIN(E182,N182,W182))</x:f>
        <x:v>104</x:v>
      </x:c>
      <x:c r="AH182" s="110" t="n">
        <x:f>IF(COUNT(F182,O182,X182)=0,"",AVERAGE(F182,O182,X182))</x:f>
        <x:v>5.6000000000000005</x:v>
      </x:c>
      <x:c r="AI182" s="112" t="n">
        <x:f>IF(COUNT(G182,P182,Y182)=0,"",AVERAGE(G182,P182,Y182))</x:f>
        <x:v>112</x:v>
      </x:c>
      <x:c r="AJ182" s="112" t="n">
        <x:f>IF(COUNT(H182,Q182,Z182)=0,"",AVERAGE(H182,Q182,Z182))</x:f>
        <x:v>442.6666666666667</x:v>
      </x:c>
      <x:c r="AK182" s="112" t="n">
        <x:f>IF(COUNT(I182,R182,AA182)=0,"",AVERAGE(I182,R182,AA182))</x:f>
        <x:v>3.3333333333333335</x:v>
      </x:c>
      <x:c r="AL182" s="112" t="n">
        <x:f>IF(COUNT(J182,S182,AB182)=0,"",AVERAGE(J182,S182,AB182))</x:f>
        <x:v>18.333333333333332</x:v>
      </x:c>
      <x:c r="AM182" s="112" t="n">
        <x:f>IF(COUNT(K182,T182,AC182)=0,"",AVERAGE(K182,T182,AC182))</x:f>
        <x:v>132</x:v>
      </x:c>
      <x:c r="AN182" s="112" t="n">
        <x:f>IF(COUNT(L182,U182,AD182)=0,"",AVERAGE(L182,U182,AD182))</x:f>
        <x:v>0.3333333333333333</x:v>
      </x:c>
      <x:c r="AO182" s="112" t="n">
        <x:f>IF(COUNT(M182,V182,AE182)=0,"",AVERAGE(M182,V182,AE182))</x:f>
        <x:v>0.3333333333333333</x:v>
      </x:c>
    </x:row>
    <x:row r="183">
      <x:c r="A183" s="107" t="str">
        <x:v>Brian Robinson</x:v>
      </x:c>
      <x:c r="B183" s="108" t="str">
        <x:v>RB</x:v>
      </x:c>
      <x:c r="C183" s="108" t="str">
        <x:v>ATL</x:v>
      </x:c>
      <x:c r="D183" s="109" t="n">
        <x:v>11</x:v>
      </x:c>
      <x:c r="E183" s="109" t="n">
        <x:f>IFERROR(VLOOKUP($A183,'Mike FLEX'!$A$6:$N$278,5,FALSE),"")</x:f>
        <x:v>178</x:v>
      </x:c>
      <x:c r="F183" s="110" t="n">
        <x:f>IFERROR(VLOOKUP($A183,'Mike FLEX'!$A$6:$N$278,6,FALSE),"")</x:f>
        <x:v>4.8</x:v>
      </x:c>
      <x:c r="G183" s="111" t="n">
        <x:f>IFERROR(VLOOKUP($A183,'Mike FLEX'!$A$6:$N$278,7,FALSE),"")</x:f>
        <x:v>95</x:v>
      </x:c>
      <x:c r="H183" s="111" t="n">
        <x:f>IFERROR(VLOOKUP($A183,'Mike FLEX'!$A$6:$N$278,8,FALSE),"")</x:f>
        <x:v>397</x:v>
      </x:c>
      <x:c r="I183" s="111" t="n">
        <x:f>IFERROR(VLOOKUP($A183,'Mike FLEX'!$A$6:$N$278,9,FALSE),"")</x:f>
        <x:v>3</x:v>
      </x:c>
      <x:c r="J183" s="111" t="n">
        <x:f>IFERROR(VLOOKUP($A183,'Mike FLEX'!$A$6:$N$278,10,FALSE),"")</x:f>
        <x:v>14</x:v>
      </x:c>
      <x:c r="K183" s="111" t="n">
        <x:f>IFERROR(VLOOKUP($A183,'Mike FLEX'!$A$6:$N$278,11,FALSE),"")</x:f>
        <x:v>112</x:v>
      </x:c>
      <x:c r="L183" s="111" t="n">
        <x:f>IFERROR(VLOOKUP($A183,'Mike FLEX'!$A$6:$N$278,12,FALSE),"")</x:f>
        <x:v>1</x:v>
      </x:c>
      <x:c r="M183" s="111" t="n">
        <x:f>IFERROR(VLOOKUP($A183,'Mike FLEX'!$A$6:$N$278,13,FALSE),"")</x:f>
        <x:v>1</x:v>
      </x:c>
      <x:c r="N183" s="109" t="n">
        <x:f>IFERROR(VLOOKUP($A183,'Andy FLEX'!$A$6:$N$278,5,FALSE),"")</x:f>
        <x:v>206</x:v>
      </x:c>
      <x:c r="O183" s="110" t="n">
        <x:f>IFERROR(VLOOKUP($A183,'Andy FLEX'!$A$6:$N$278,6,FALSE),"")</x:f>
        <x:v>4.6</x:v>
      </x:c>
      <x:c r="P183" s="111" t="n">
        <x:f>IFERROR(VLOOKUP($A183,'Andy FLEX'!$A$6:$N$278,7,FALSE),"")</x:f>
        <x:v>110</x:v>
      </x:c>
      <x:c r="Q183" s="111" t="n">
        <x:f>IFERROR(VLOOKUP($A183,'Andy FLEX'!$A$6:$N$278,8,FALSE),"")</x:f>
        <x:v>425</x:v>
      </x:c>
      <x:c r="R183" s="111" t="n">
        <x:f>IFERROR(VLOOKUP($A183,'Andy FLEX'!$A$6:$N$278,9,FALSE),"")</x:f>
        <x:v>3</x:v>
      </x:c>
      <x:c r="S183" s="111" t="n">
        <x:f>IFERROR(VLOOKUP($A183,'Andy FLEX'!$A$6:$N$278,10,FALSE),"")</x:f>
        <x:v>12</x:v>
      </x:c>
      <x:c r="T183" s="111" t="n">
        <x:f>IFERROR(VLOOKUP($A183,'Andy FLEX'!$A$6:$N$278,11,FALSE),"")</x:f>
        <x:v>57</x:v>
      </x:c>
      <x:c r="U183" s="111" t="n">
        <x:f>IFERROR(VLOOKUP($A183,'Andy FLEX'!$A$6:$N$278,12,FALSE),"")</x:f>
        <x:v>0</x:v>
      </x:c>
      <x:c r="V183" s="111" t="n">
        <x:f>IFERROR(VLOOKUP($A183,'Andy FLEX'!$A$6:$N$278,13,FALSE),"")</x:f>
        <x:v>0</x:v>
      </x:c>
      <x:c r="W183" s="109" t="n">
        <x:f>IFERROR(VLOOKUP($A183,'Jason FLEX'!$A$6:$N$268,5,FALSE),"")</x:f>
        <x:v>155</x:v>
      </x:c>
      <x:c r="X183" s="110" t="n">
        <x:f>IFERROR(VLOOKUP($A183,'Jason FLEX'!$A$6:$N$268,6,FALSE),"")</x:f>
        <x:v>6.7</x:v>
      </x:c>
      <x:c r="Y183" s="111" t="n">
        <x:f>IFERROR(VLOOKUP($A183,'Jason FLEX'!$A$6:$N$268,7,FALSE),"")</x:f>
        <x:v>119</x:v>
      </x:c>
      <x:c r="Z183" s="111" t="n">
        <x:f>IFERROR(VLOOKUP($A183,'Jason FLEX'!$A$6:$N$268,8,FALSE),"")</x:f>
        <x:v>494</x:v>
      </x:c>
      <x:c r="AA183" s="111" t="n">
        <x:f>IFERROR(VLOOKUP($A183,'Jason FLEX'!$A$6:$N$268,9,FALSE),"")</x:f>
        <x:v>7</x:v>
      </x:c>
      <x:c r="AB183" s="111" t="n">
        <x:f>IFERROR(VLOOKUP($A183,'Jason FLEX'!$A$6:$N$268,10,FALSE),"")</x:f>
        <x:v>14</x:v>
      </x:c>
      <x:c r="AC183" s="111" t="n">
        <x:f>IFERROR(VLOOKUP($A183,'Jason FLEX'!$A$6:$N$268,11,FALSE),"")</x:f>
        <x:v>76</x:v>
      </x:c>
      <x:c r="AD183" s="111" t="n">
        <x:f>IFERROR(VLOOKUP($A183,'Jason FLEX'!$A$6:$N$268,12,FALSE),"")</x:f>
        <x:v>1</x:v>
      </x:c>
      <x:c r="AE183" s="111" t="n">
        <x:f>IFERROR(VLOOKUP($A183,'Jason FLEX'!$A$6:$N$268,13,FALSE),"")</x:f>
        <x:v>1</x:v>
      </x:c>
      <x:c r="AF183" s="110" t="n">
        <x:f>IF(COUNT(E183,N183,W183)=0,"",AVERAGE(E183,N183,W183))</x:f>
        <x:v>179.66666666666666</x:v>
      </x:c>
      <x:c r="AG183" s="110" t="n">
        <x:f>IF(COUNT(E183,N183,W183)=0,"",MAX(E183,N183,W183)-MIN(E183,N183,W183))</x:f>
        <x:v>51</x:v>
      </x:c>
      <x:c r="AH183" s="110" t="n">
        <x:f>IF(COUNT(F183,O183,X183)=0,"",AVERAGE(F183,O183,X183))</x:f>
        <x:v>5.366666666666666</x:v>
      </x:c>
      <x:c r="AI183" s="112" t="n">
        <x:f>IF(COUNT(G183,P183,Y183)=0,"",AVERAGE(G183,P183,Y183))</x:f>
        <x:v>108</x:v>
      </x:c>
      <x:c r="AJ183" s="112" t="n">
        <x:f>IF(COUNT(H183,Q183,Z183)=0,"",AVERAGE(H183,Q183,Z183))</x:f>
        <x:v>438.6666666666667</x:v>
      </x:c>
      <x:c r="AK183" s="112" t="n">
        <x:f>IF(COUNT(I183,R183,AA183)=0,"",AVERAGE(I183,R183,AA183))</x:f>
        <x:v>4.333333333333333</x:v>
      </x:c>
      <x:c r="AL183" s="112" t="n">
        <x:f>IF(COUNT(J183,S183,AB183)=0,"",AVERAGE(J183,S183,AB183))</x:f>
        <x:v>13.333333333333334</x:v>
      </x:c>
      <x:c r="AM183" s="112" t="n">
        <x:f>IF(COUNT(K183,T183,AC183)=0,"",AVERAGE(K183,T183,AC183))</x:f>
        <x:v>81.66666666666667</x:v>
      </x:c>
      <x:c r="AN183" s="112" t="n">
        <x:f>IF(COUNT(L183,U183,AD183)=0,"",AVERAGE(L183,U183,AD183))</x:f>
        <x:v>0.6666666666666666</x:v>
      </x:c>
      <x:c r="AO183" s="112" t="n">
        <x:f>IF(COUNT(M183,V183,AE183)=0,"",AVERAGE(M183,V183,AE183))</x:f>
        <x:v>0.6666666666666666</x:v>
      </x:c>
    </x:row>
    <x:row r="184">
      <x:c r="A184" s="107" t="str">
        <x:v>Chris Brooks</x:v>
      </x:c>
      <x:c r="B184" s="108" t="str">
        <x:v>RB</x:v>
      </x:c>
      <x:c r="C184" s="108" t="str">
        <x:v>GB</x:v>
      </x:c>
      <x:c r="D184" s="109" t="n">
        <x:v>11</x:v>
      </x:c>
      <x:c r="E184" s="109" t="n">
        <x:f>IFERROR(VLOOKUP($A184,'Mike FLEX'!$A$6:$N$278,5,FALSE),"")</x:f>
        <x:v>191</x:v>
      </x:c>
      <x:c r="F184" s="110" t="n">
        <x:f>IFERROR(VLOOKUP($A184,'Mike FLEX'!$A$6:$N$278,6,FALSE),"")</x:f>
        <x:v>4.4</x:v>
      </x:c>
      <x:c r="G184" s="111" t="n">
        <x:f>IFERROR(VLOOKUP($A184,'Mike FLEX'!$A$6:$N$278,7,FALSE),"")</x:f>
        <x:v>96</x:v>
      </x:c>
      <x:c r="H184" s="111" t="n">
        <x:f>IFERROR(VLOOKUP($A184,'Mike FLEX'!$A$6:$N$278,8,FALSE),"")</x:f>
        <x:v>411</x:v>
      </x:c>
      <x:c r="I184" s="111" t="n">
        <x:f>IFERROR(VLOOKUP($A184,'Mike FLEX'!$A$6:$N$278,9,FALSE),"")</x:f>
        <x:v>3</x:v>
      </x:c>
      <x:c r="J184" s="111" t="n">
        <x:f>IFERROR(VLOOKUP($A184,'Mike FLEX'!$A$6:$N$278,10,FALSE),"")</x:f>
        <x:v>8</x:v>
      </x:c>
      <x:c r="K184" s="111" t="n">
        <x:f>IFERROR(VLOOKUP($A184,'Mike FLEX'!$A$6:$N$278,11,FALSE),"")</x:f>
        <x:v>57</x:v>
      </x:c>
      <x:c r="L184" s="111" t="n">
        <x:f>IFERROR(VLOOKUP($A184,'Mike FLEX'!$A$6:$N$278,12,FALSE),"")</x:f>
        <x:v>0</x:v>
      </x:c>
      <x:c r="M184" s="111" t="n">
        <x:f>IFERROR(VLOOKUP($A184,'Mike FLEX'!$A$6:$N$278,13,FALSE),"")</x:f>
        <x:v>0</x:v>
      </x:c>
      <x:c r="N184" s="109" t="n">
        <x:f>IFERROR(VLOOKUP($A184,'Andy FLEX'!$A$6:$N$278,5,FALSE),"")</x:f>
        <x:v>150</x:v>
      </x:c>
      <x:c r="O184" s="110" t="n">
        <x:f>IFERROR(VLOOKUP($A184,'Andy FLEX'!$A$6:$N$278,6,FALSE),"")</x:f>
        <x:v>6.6</x:v>
      </x:c>
      <x:c r="P184" s="111" t="n">
        <x:f>IFERROR(VLOOKUP($A184,'Andy FLEX'!$A$6:$N$278,7,FALSE),"")</x:f>
        <x:v>105</x:v>
      </x:c>
      <x:c r="Q184" s="111" t="n">
        <x:f>IFERROR(VLOOKUP($A184,'Andy FLEX'!$A$6:$N$278,8,FALSE),"")</x:f>
        <x:v>440</x:v>
      </x:c>
      <x:c r="R184" s="111" t="n">
        <x:f>IFERROR(VLOOKUP($A184,'Andy FLEX'!$A$6:$N$278,9,FALSE),"")</x:f>
        <x:v>3</x:v>
      </x:c>
      <x:c r="S184" s="111" t="n">
        <x:f>IFERROR(VLOOKUP($A184,'Andy FLEX'!$A$6:$N$278,10,FALSE),"")</x:f>
        <x:v>31</x:v>
      </x:c>
      <x:c r="T184" s="111" t="n">
        <x:f>IFERROR(VLOOKUP($A184,'Andy FLEX'!$A$6:$N$278,11,FALSE),"")</x:f>
        <x:v>230</x:v>
      </x:c>
      <x:c r="U184" s="111" t="n">
        <x:f>IFERROR(VLOOKUP($A184,'Andy FLEX'!$A$6:$N$278,12,FALSE),"")</x:f>
        <x:v>0</x:v>
      </x:c>
      <x:c r="V184" s="111" t="n">
        <x:f>IFERROR(VLOOKUP($A184,'Andy FLEX'!$A$6:$N$278,13,FALSE),"")</x:f>
        <x:v>2</x:v>
      </x:c>
      <x:c r="W184" s="109" t="n">
        <x:f>IFERROR(VLOOKUP($A184,'Jason FLEX'!$A$6:$N$268,5,FALSE),"")</x:f>
        <x:v>200</x:v>
      </x:c>
      <x:c r="X184" s="110" t="n">
        <x:f>IFERROR(VLOOKUP($A184,'Jason FLEX'!$A$6:$N$268,6,FALSE),"")</x:f>
        <x:v>4.7</x:v>
      </x:c>
      <x:c r="Y184" s="111" t="n">
        <x:f>IFERROR(VLOOKUP($A184,'Jason FLEX'!$A$6:$N$268,7,FALSE),"")</x:f>
        <x:v>80</x:v>
      </x:c>
      <x:c r="Z184" s="111" t="n">
        <x:f>IFERROR(VLOOKUP($A184,'Jason FLEX'!$A$6:$N$268,8,FALSE),"")</x:f>
        <x:v>320</x:v>
      </x:c>
      <x:c r="AA184" s="111" t="n">
        <x:f>IFERROR(VLOOKUP($A184,'Jason FLEX'!$A$6:$N$268,9,FALSE),"")</x:f>
        <x:v>3</x:v>
      </x:c>
      <x:c r="AB184" s="111" t="n">
        <x:f>IFERROR(VLOOKUP($A184,'Jason FLEX'!$A$6:$N$268,10,FALSE),"")</x:f>
        <x:v>17</x:v>
      </x:c>
      <x:c r="AC184" s="111" t="n">
        <x:f>IFERROR(VLOOKUP($A184,'Jason FLEX'!$A$6:$N$268,11,FALSE),"")</x:f>
        <x:v>125</x:v>
      </x:c>
      <x:c r="AD184" s="111" t="n">
        <x:f>IFERROR(VLOOKUP($A184,'Jason FLEX'!$A$6:$N$268,12,FALSE),"")</x:f>
        <x:v>1</x:v>
      </x:c>
      <x:c r="AE184" s="111" t="n">
        <x:f>IFERROR(VLOOKUP($A184,'Jason FLEX'!$A$6:$N$268,13,FALSE),"")</x:f>
        <x:v>1</x:v>
      </x:c>
      <x:c r="AF184" s="110" t="n">
        <x:f>IF(COUNT(E184,N184,W184)=0,"",AVERAGE(E184,N184,W184))</x:f>
        <x:v>180.33333333333334</x:v>
      </x:c>
      <x:c r="AG184" s="110" t="n">
        <x:f>IF(COUNT(E184,N184,W184)=0,"",MAX(E184,N184,W184)-MIN(E184,N184,W184))</x:f>
        <x:v>50</x:v>
      </x:c>
      <x:c r="AH184" s="110" t="n">
        <x:f>IF(COUNT(F184,O184,X184)=0,"",AVERAGE(F184,O184,X184))</x:f>
        <x:v>5.233333333333333</x:v>
      </x:c>
      <x:c r="AI184" s="112" t="n">
        <x:f>IF(COUNT(G184,P184,Y184)=0,"",AVERAGE(G184,P184,Y184))</x:f>
        <x:v>93.66666666666667</x:v>
      </x:c>
      <x:c r="AJ184" s="112" t="n">
        <x:f>IF(COUNT(H184,Q184,Z184)=0,"",AVERAGE(H184,Q184,Z184))</x:f>
        <x:v>390.3333333333333</x:v>
      </x:c>
      <x:c r="AK184" s="112" t="n">
        <x:f>IF(COUNT(I184,R184,AA184)=0,"",AVERAGE(I184,R184,AA184))</x:f>
        <x:v>3</x:v>
      </x:c>
      <x:c r="AL184" s="112" t="n">
        <x:f>IF(COUNT(J184,S184,AB184)=0,"",AVERAGE(J184,S184,AB184))</x:f>
        <x:v>18.666666666666668</x:v>
      </x:c>
      <x:c r="AM184" s="112" t="n">
        <x:f>IF(COUNT(K184,T184,AC184)=0,"",AVERAGE(K184,T184,AC184))</x:f>
        <x:v>137.33333333333334</x:v>
      </x:c>
      <x:c r="AN184" s="112" t="n">
        <x:f>IF(COUNT(L184,U184,AD184)=0,"",AVERAGE(L184,U184,AD184))</x:f>
        <x:v>0.3333333333333333</x:v>
      </x:c>
      <x:c r="AO184" s="112" t="n">
        <x:f>IF(COUNT(M184,V184,AE184)=0,"",AVERAGE(M184,V184,AE184))</x:f>
        <x:v>1</x:v>
      </x:c>
    </x:row>
    <x:row r="185">
      <x:c r="A185" s="107" t="str">
        <x:v>Jaylin Noel</x:v>
      </x:c>
      <x:c r="B185" s="108" t="str">
        <x:v>WR</x:v>
      </x:c>
      <x:c r="C185" s="108" t="str">
        <x:v>HOU</x:v>
      </x:c>
      <x:c r="D185" s="109" t="n">
        <x:v>8</x:v>
      </x:c>
      <x:c r="E185" s="109" t="n">
        <x:f>IFERROR(VLOOKUP($A185,'Mike FLEX'!$A$6:$N$278,5,FALSE),"")</x:f>
        <x:v>166</x:v>
      </x:c>
      <x:c r="F185" s="110" t="n">
        <x:f>IFERROR(VLOOKUP($A185,'Mike FLEX'!$A$6:$N$278,6,FALSE),"")</x:f>
        <x:v>5.5</x:v>
      </x:c>
      <x:c r="G185" s="111" t="n">
        <x:f>IFERROR(VLOOKUP($A185,'Mike FLEX'!$A$6:$N$278,7,FALSE),"")</x:f>
        <x:v>6</x:v>
      </x:c>
      <x:c r="H185" s="111" t="n">
        <x:f>IFERROR(VLOOKUP($A185,'Mike FLEX'!$A$6:$N$278,8,FALSE),"")</x:f>
        <x:v>12</x:v>
      </x:c>
      <x:c r="I185" s="111" t="n">
        <x:f>IFERROR(VLOOKUP($A185,'Mike FLEX'!$A$6:$N$278,9,FALSE),"")</x:f>
        <x:v>0</x:v>
      </x:c>
      <x:c r="J185" s="111" t="n">
        <x:f>IFERROR(VLOOKUP($A185,'Mike FLEX'!$A$6:$N$278,10,FALSE),"")</x:f>
        <x:v>36</x:v>
      </x:c>
      <x:c r="K185" s="111" t="n">
        <x:f>IFERROR(VLOOKUP($A185,'Mike FLEX'!$A$6:$N$278,11,FALSE),"")</x:f>
        <x:v>411</x:v>
      </x:c>
      <x:c r="L185" s="111" t="n">
        <x:f>IFERROR(VLOOKUP($A185,'Mike FLEX'!$A$6:$N$278,12,FALSE),"")</x:f>
        <x:v>3</x:v>
      </x:c>
      <x:c r="M185" s="111" t="n">
        <x:f>IFERROR(VLOOKUP($A185,'Mike FLEX'!$A$6:$N$278,13,FALSE),"")</x:f>
        <x:v>0</x:v>
      </x:c>
      <x:c r="N185" s="109" t="n">
        <x:f>IFERROR(VLOOKUP($A185,'Andy FLEX'!$A$6:$N$278,5,FALSE),"")</x:f>
        <x:v>214</x:v>
      </x:c>
      <x:c r="O185" s="110" t="n">
        <x:f>IFERROR(VLOOKUP($A185,'Andy FLEX'!$A$6:$N$278,6,FALSE),"")</x:f>
        <x:v>4.2</x:v>
      </x:c>
      <x:c r="P185" s="111" t="n">
        <x:f>IFERROR(VLOOKUP($A185,'Andy FLEX'!$A$6:$N$278,7,FALSE),"")</x:f>
        <x:v>8</x:v>
      </x:c>
      <x:c r="Q185" s="111" t="n">
        <x:f>IFERROR(VLOOKUP($A185,'Andy FLEX'!$A$6:$N$278,8,FALSE),"")</x:f>
        <x:v>18</x:v>
      </x:c>
      <x:c r="R185" s="111" t="n">
        <x:f>IFERROR(VLOOKUP($A185,'Andy FLEX'!$A$6:$N$278,9,FALSE),"")</x:f>
        <x:v>0</x:v>
      </x:c>
      <x:c r="S185" s="111" t="n">
        <x:f>IFERROR(VLOOKUP($A185,'Andy FLEX'!$A$6:$N$278,10,FALSE),"")</x:f>
        <x:v>27</x:v>
      </x:c>
      <x:c r="T185" s="111" t="n">
        <x:f>IFERROR(VLOOKUP($A185,'Andy FLEX'!$A$6:$N$278,11,FALSE),"")</x:f>
        <x:v>311</x:v>
      </x:c>
      <x:c r="U185" s="111" t="n">
        <x:f>IFERROR(VLOOKUP($A185,'Andy FLEX'!$A$6:$N$278,12,FALSE),"")</x:f>
        <x:v>2</x:v>
      </x:c>
      <x:c r="V185" s="111" t="n">
        <x:f>IFERROR(VLOOKUP($A185,'Andy FLEX'!$A$6:$N$278,13,FALSE),"")</x:f>
        <x:v>0</x:v>
      </x:c>
      <x:c r="W185" s="109" t="n">
        <x:f>IFERROR(VLOOKUP($A185,'Jason FLEX'!$A$6:$N$268,5,FALSE),"")</x:f>
        <x:v>162</x:v>
      </x:c>
      <x:c r="X185" s="110" t="n">
        <x:f>IFERROR(VLOOKUP($A185,'Jason FLEX'!$A$6:$N$268,6,FALSE),"")</x:f>
        <x:v>6.4</x:v>
      </x:c>
      <x:c r="Y185" s="111" t="n">
        <x:f>IFERROR(VLOOKUP($A185,'Jason FLEX'!$A$6:$N$268,7,FALSE),"")</x:f>
        <x:v>6</x:v>
      </x:c>
      <x:c r="Z185" s="111" t="n">
        <x:f>IFERROR(VLOOKUP($A185,'Jason FLEX'!$A$6:$N$268,8,FALSE),"")</x:f>
        <x:v>35</x:v>
      </x:c>
      <x:c r="AA185" s="111" t="n">
        <x:f>IFERROR(VLOOKUP($A185,'Jason FLEX'!$A$6:$N$268,9,FALSE),"")</x:f>
        <x:v>0</x:v>
      </x:c>
      <x:c r="AB185" s="111" t="n">
        <x:f>IFERROR(VLOOKUP($A185,'Jason FLEX'!$A$6:$N$268,10,FALSE),"")</x:f>
        <x:v>44</x:v>
      </x:c>
      <x:c r="AC185" s="111" t="n">
        <x:f>IFERROR(VLOOKUP($A185,'Jason FLEX'!$A$6:$N$268,11,FALSE),"")</x:f>
        <x:v>426</x:v>
      </x:c>
      <x:c r="AD185" s="111" t="n">
        <x:f>IFERROR(VLOOKUP($A185,'Jason FLEX'!$A$6:$N$268,12,FALSE),"")</x:f>
        <x:v>3</x:v>
      </x:c>
      <x:c r="AE185" s="111" t="n">
        <x:f>IFERROR(VLOOKUP($A185,'Jason FLEX'!$A$6:$N$268,13,FALSE),"")</x:f>
        <x:v>0</x:v>
      </x:c>
      <x:c r="AF185" s="110" t="n">
        <x:f>IF(COUNT(E185,N185,W185)=0,"",AVERAGE(E185,N185,W185))</x:f>
        <x:v>180.66666666666666</x:v>
      </x:c>
      <x:c r="AG185" s="110" t="n">
        <x:f>IF(COUNT(E185,N185,W185)=0,"",MAX(E185,N185,W185)-MIN(E185,N185,W185))</x:f>
        <x:v>52</x:v>
      </x:c>
      <x:c r="AH185" s="110" t="n">
        <x:f>IF(COUNT(F185,O185,X185)=0,"",AVERAGE(F185,O185,X185))</x:f>
        <x:v>5.366666666666667</x:v>
      </x:c>
      <x:c r="AI185" s="112" t="n">
        <x:f>IF(COUNT(G185,P185,Y185)=0,"",AVERAGE(G185,P185,Y185))</x:f>
        <x:v>6.666666666666667</x:v>
      </x:c>
      <x:c r="AJ185" s="112" t="n">
        <x:f>IF(COUNT(H185,Q185,Z185)=0,"",AVERAGE(H185,Q185,Z185))</x:f>
        <x:v>21.666666666666668</x:v>
      </x:c>
      <x:c r="AK185" s="112" t="n">
        <x:f>IF(COUNT(I185,R185,AA185)=0,"",AVERAGE(I185,R185,AA185))</x:f>
        <x:v>0</x:v>
      </x:c>
      <x:c r="AL185" s="112" t="n">
        <x:f>IF(COUNT(J185,S185,AB185)=0,"",AVERAGE(J185,S185,AB185))</x:f>
        <x:v>35.666666666666664</x:v>
      </x:c>
      <x:c r="AM185" s="112" t="n">
        <x:f>IF(COUNT(K185,T185,AC185)=0,"",AVERAGE(K185,T185,AC185))</x:f>
        <x:v>382.6666666666667</x:v>
      </x:c>
      <x:c r="AN185" s="112" t="n">
        <x:f>IF(COUNT(L185,U185,AD185)=0,"",AVERAGE(L185,U185,AD185))</x:f>
        <x:v>2.6666666666666665</x:v>
      </x:c>
      <x:c r="AO185" s="112" t="n">
        <x:f>IF(COUNT(M185,V185,AE185)=0,"",AVERAGE(M185,V185,AE185))</x:f>
        <x:v>0</x:v>
      </x:c>
    </x:row>
    <x:row r="186">
      <x:c r="A186" s="107" t="str">
        <x:v>Rashod Bateman</x:v>
      </x:c>
      <x:c r="B186" s="108" t="str">
        <x:v>WR</x:v>
      </x:c>
      <x:c r="C186" s="108" t="str">
        <x:v>BAL</x:v>
      </x:c>
      <x:c r="D186" s="109" t="n">
        <x:v>13</x:v>
      </x:c>
      <x:c r="E186" s="109" t="n">
        <x:f>IFERROR(VLOOKUP($A186,'Mike FLEX'!$A$6:$N$278,5,FALSE),"")</x:f>
        <x:v>204</x:v>
      </x:c>
      <x:c r="F186" s="110" t="n">
        <x:f>IFERROR(VLOOKUP($A186,'Mike FLEX'!$A$6:$N$278,6,FALSE),"")</x:f>
        <x:v>4</x:v>
      </x:c>
      <x:c r="G186" s="111" t="n">
        <x:f>IFERROR(VLOOKUP($A186,'Mike FLEX'!$A$6:$N$278,7,FALSE),"")</x:f>
        <x:v>0</x:v>
      </x:c>
      <x:c r="H186" s="111" t="n">
        <x:f>IFERROR(VLOOKUP($A186,'Mike FLEX'!$A$6:$N$278,8,FALSE),"")</x:f>
        <x:v>0</x:v>
      </x:c>
      <x:c r="I186" s="111" t="n">
        <x:f>IFERROR(VLOOKUP($A186,'Mike FLEX'!$A$6:$N$278,9,FALSE),"")</x:f>
        <x:v>0</x:v>
      </x:c>
      <x:c r="J186" s="111" t="n">
        <x:f>IFERROR(VLOOKUP($A186,'Mike FLEX'!$A$6:$N$278,10,FALSE),"")</x:f>
        <x:v>23</x:v>
      </x:c>
      <x:c r="K186" s="111" t="n">
        <x:f>IFERROR(VLOOKUP($A186,'Mike FLEX'!$A$6:$N$278,11,FALSE),"")</x:f>
        <x:v>319</x:v>
      </x:c>
      <x:c r="L186" s="111" t="n">
        <x:f>IFERROR(VLOOKUP($A186,'Mike FLEX'!$A$6:$N$278,12,FALSE),"")</x:f>
        <x:v>2</x:v>
      </x:c>
      <x:c r="M186" s="111" t="n">
        <x:f>IFERROR(VLOOKUP($A186,'Mike FLEX'!$A$6:$N$278,13,FALSE),"")</x:f>
        <x:v>0</x:v>
      </x:c>
      <x:c r="N186" s="109" t="n">
        <x:f>IFERROR(VLOOKUP($A186,'Andy FLEX'!$A$6:$N$278,5,FALSE),"")</x:f>
        <x:v>179</x:v>
      </x:c>
      <x:c r="O186" s="110" t="n">
        <x:f>IFERROR(VLOOKUP($A186,'Andy FLEX'!$A$6:$N$278,6,FALSE),"")</x:f>
        <x:v>5.6</x:v>
      </x:c>
      <x:c r="P186" s="111" t="n">
        <x:f>IFERROR(VLOOKUP($A186,'Andy FLEX'!$A$6:$N$278,7,FALSE),"")</x:f>
        <x:v>2</x:v>
      </x:c>
      <x:c r="Q186" s="111" t="n">
        <x:f>IFERROR(VLOOKUP($A186,'Andy FLEX'!$A$6:$N$278,8,FALSE),"")</x:f>
        <x:v>14</x:v>
      </x:c>
      <x:c r="R186" s="111" t="n">
        <x:f>IFERROR(VLOOKUP($A186,'Andy FLEX'!$A$6:$N$278,9,FALSE),"")</x:f>
        <x:v>0</x:v>
      </x:c>
      <x:c r="S186" s="111" t="n">
        <x:f>IFERROR(VLOOKUP($A186,'Andy FLEX'!$A$6:$N$278,10,FALSE),"")</x:f>
        <x:v>34</x:v>
      </x:c>
      <x:c r="T186" s="111" t="n">
        <x:f>IFERROR(VLOOKUP($A186,'Andy FLEX'!$A$6:$N$278,11,FALSE),"")</x:f>
        <x:v>418</x:v>
      </x:c>
      <x:c r="U186" s="111" t="n">
        <x:f>IFERROR(VLOOKUP($A186,'Andy FLEX'!$A$6:$N$278,12,FALSE),"")</x:f>
        <x:v>3</x:v>
      </x:c>
      <x:c r="V186" s="111" t="n">
        <x:f>IFERROR(VLOOKUP($A186,'Andy FLEX'!$A$6:$N$278,13,FALSE),"")</x:f>
        <x:v>0</x:v>
      </x:c>
      <x:c r="W186" s="109" t="n">
        <x:f>IFERROR(VLOOKUP($A186,'Jason FLEX'!$A$6:$N$268,5,FALSE),"")</x:f>
        <x:v>165</x:v>
      </x:c>
      <x:c r="X186" s="110" t="n">
        <x:f>IFERROR(VLOOKUP($A186,'Jason FLEX'!$A$6:$N$268,6,FALSE),"")</x:f>
        <x:v>6.2</x:v>
      </x:c>
      <x:c r="Y186" s="111" t="n">
        <x:f>IFERROR(VLOOKUP($A186,'Jason FLEX'!$A$6:$N$268,7,FALSE),"")</x:f>
        <x:v>0</x:v>
      </x:c>
      <x:c r="Z186" s="111" t="n">
        <x:f>IFERROR(VLOOKUP($A186,'Jason FLEX'!$A$6:$N$268,8,FALSE),"")</x:f>
        <x:v>0</x:v>
      </x:c>
      <x:c r="AA186" s="111" t="n">
        <x:f>IFERROR(VLOOKUP($A186,'Jason FLEX'!$A$6:$N$268,9,FALSE),"")</x:f>
        <x:v>0</x:v>
      </x:c>
      <x:c r="AB186" s="111" t="n">
        <x:f>IFERROR(VLOOKUP($A186,'Jason FLEX'!$A$6:$N$268,10,FALSE),"")</x:f>
        <x:v>35</x:v>
      </x:c>
      <x:c r="AC186" s="111" t="n">
        <x:f>IFERROR(VLOOKUP($A186,'Jason FLEX'!$A$6:$N$268,11,FALSE),"")</x:f>
        <x:v>473</x:v>
      </x:c>
      <x:c r="AD186" s="111" t="n">
        <x:f>IFERROR(VLOOKUP($A186,'Jason FLEX'!$A$6:$N$268,12,FALSE),"")</x:f>
        <x:v>4</x:v>
      </x:c>
      <x:c r="AE186" s="111" t="n">
        <x:f>IFERROR(VLOOKUP($A186,'Jason FLEX'!$A$6:$N$268,13,FALSE),"")</x:f>
        <x:v>0</x:v>
      </x:c>
      <x:c r="AF186" s="110" t="n">
        <x:f>IF(COUNT(E186,N186,W186)=0,"",AVERAGE(E186,N186,W186))</x:f>
        <x:v>182.66666666666666</x:v>
      </x:c>
      <x:c r="AG186" s="110" t="n">
        <x:f>IF(COUNT(E186,N186,W186)=0,"",MAX(E186,N186,W186)-MIN(E186,N186,W186))</x:f>
        <x:v>39</x:v>
      </x:c>
      <x:c r="AH186" s="110" t="n">
        <x:f>IF(COUNT(F186,O186,X186)=0,"",AVERAGE(F186,O186,X186))</x:f>
        <x:v>5.266666666666667</x:v>
      </x:c>
      <x:c r="AI186" s="112" t="n">
        <x:f>IF(COUNT(G186,P186,Y186)=0,"",AVERAGE(G186,P186,Y186))</x:f>
        <x:v>0.6666666666666666</x:v>
      </x:c>
      <x:c r="AJ186" s="112" t="n">
        <x:f>IF(COUNT(H186,Q186,Z186)=0,"",AVERAGE(H186,Q186,Z186))</x:f>
        <x:v>4.666666666666667</x:v>
      </x:c>
      <x:c r="AK186" s="112" t="n">
        <x:f>IF(COUNT(I186,R186,AA186)=0,"",AVERAGE(I186,R186,AA186))</x:f>
        <x:v>0</x:v>
      </x:c>
      <x:c r="AL186" s="112" t="n">
        <x:f>IF(COUNT(J186,S186,AB186)=0,"",AVERAGE(J186,S186,AB186))</x:f>
        <x:v>30.666666666666668</x:v>
      </x:c>
      <x:c r="AM186" s="112" t="n">
        <x:f>IF(COUNT(K186,T186,AC186)=0,"",AVERAGE(K186,T186,AC186))</x:f>
        <x:v>403.3333333333333</x:v>
      </x:c>
      <x:c r="AN186" s="112" t="n">
        <x:f>IF(COUNT(L186,U186,AD186)=0,"",AVERAGE(L186,U186,AD186))</x:f>
        <x:v>3</x:v>
      </x:c>
      <x:c r="AO186" s="112" t="n">
        <x:f>IF(COUNT(M186,V186,AE186)=0,"",AVERAGE(M186,V186,AE186))</x:f>
        <x:v>0</x:v>
      </x:c>
    </x:row>
    <x:row r="187">
      <x:c r="A187" s="107" t="str">
        <x:v>Jalen McMillan</x:v>
      </x:c>
      <x:c r="B187" s="108" t="str">
        <x:v>WR</x:v>
      </x:c>
      <x:c r="C187" s="108" t="str">
        <x:v>TB</x:v>
      </x:c>
      <x:c r="D187" s="109" t="n">
        <x:v>10</x:v>
      </x:c>
      <x:c r="E187" s="109" t="n">
        <x:f>IFERROR(VLOOKUP($A187,'Mike FLEX'!$A$6:$N$278,5,FALSE),"")</x:f>
        <x:v>155</x:v>
      </x:c>
      <x:c r="F187" s="110" t="n">
        <x:f>IFERROR(VLOOKUP($A187,'Mike FLEX'!$A$6:$N$278,6,FALSE),"")</x:f>
        <x:v>6.2</x:v>
      </x:c>
      <x:c r="G187" s="111" t="n">
        <x:f>IFERROR(VLOOKUP($A187,'Mike FLEX'!$A$6:$N$278,7,FALSE),"")</x:f>
        <x:v>2</x:v>
      </x:c>
      <x:c r="H187" s="111" t="n">
        <x:f>IFERROR(VLOOKUP($A187,'Mike FLEX'!$A$6:$N$278,8,FALSE),"")</x:f>
        <x:v>17</x:v>
      </x:c>
      <x:c r="I187" s="111" t="n">
        <x:f>IFERROR(VLOOKUP($A187,'Mike FLEX'!$A$6:$N$278,9,FALSE),"")</x:f>
        <x:v>0</x:v>
      </x:c>
      <x:c r="J187" s="111" t="n">
        <x:f>IFERROR(VLOOKUP($A187,'Mike FLEX'!$A$6:$N$278,10,FALSE),"")</x:f>
        <x:v>35</x:v>
      </x:c>
      <x:c r="K187" s="111" t="n">
        <x:f>IFERROR(VLOOKUP($A187,'Mike FLEX'!$A$6:$N$278,11,FALSE),"")</x:f>
        <x:v>453</x:v>
      </x:c>
      <x:c r="L187" s="111" t="n">
        <x:f>IFERROR(VLOOKUP($A187,'Mike FLEX'!$A$6:$N$278,12,FALSE),"")</x:f>
        <x:v>4</x:v>
      </x:c>
      <x:c r="M187" s="111" t="n">
        <x:f>IFERROR(VLOOKUP($A187,'Mike FLEX'!$A$6:$N$278,13,FALSE),"")</x:f>
        <x:v>0</x:v>
      </x:c>
      <x:c r="N187" s="109" t="n">
        <x:f>IFERROR(VLOOKUP($A187,'Andy FLEX'!$A$6:$N$278,5,FALSE),"")</x:f>
        <x:v>178</x:v>
      </x:c>
      <x:c r="O187" s="110" t="n">
        <x:f>IFERROR(VLOOKUP($A187,'Andy FLEX'!$A$6:$N$278,6,FALSE),"")</x:f>
        <x:v>5.6</x:v>
      </x:c>
      <x:c r="P187" s="111" t="n">
        <x:f>IFERROR(VLOOKUP($A187,'Andy FLEX'!$A$6:$N$278,7,FALSE),"")</x:f>
        <x:v>4</x:v>
      </x:c>
      <x:c r="Q187" s="111" t="n">
        <x:f>IFERROR(VLOOKUP($A187,'Andy FLEX'!$A$6:$N$278,8,FALSE),"")</x:f>
        <x:v>21</x:v>
      </x:c>
      <x:c r="R187" s="111" t="n">
        <x:f>IFERROR(VLOOKUP($A187,'Andy FLEX'!$A$6:$N$278,9,FALSE),"")</x:f>
        <x:v>0</x:v>
      </x:c>
      <x:c r="S187" s="111" t="n">
        <x:f>IFERROR(VLOOKUP($A187,'Andy FLEX'!$A$6:$N$278,10,FALSE),"")</x:f>
        <x:v>34</x:v>
      </x:c>
      <x:c r="T187" s="111" t="n">
        <x:f>IFERROR(VLOOKUP($A187,'Andy FLEX'!$A$6:$N$278,11,FALSE),"")</x:f>
        <x:v>421</x:v>
      </x:c>
      <x:c r="U187" s="111" t="n">
        <x:f>IFERROR(VLOOKUP($A187,'Andy FLEX'!$A$6:$N$278,12,FALSE),"")</x:f>
        <x:v>3</x:v>
      </x:c>
      <x:c r="V187" s="111" t="n">
        <x:f>IFERROR(VLOOKUP($A187,'Andy FLEX'!$A$6:$N$278,13,FALSE),"")</x:f>
        <x:v>0</x:v>
      </x:c>
      <x:c r="W187" s="109" t="n">
        <x:f>IFERROR(VLOOKUP($A187,'Jason FLEX'!$A$6:$N$268,5,FALSE),"")</x:f>
        <x:v>216</x:v>
      </x:c>
      <x:c r="X187" s="110" t="n">
        <x:f>IFERROR(VLOOKUP($A187,'Jason FLEX'!$A$6:$N$268,6,FALSE),"")</x:f>
        <x:v>3.9</x:v>
      </x:c>
      <x:c r="Y187" s="111" t="n">
        <x:f>IFERROR(VLOOKUP($A187,'Jason FLEX'!$A$6:$N$268,7,FALSE),"")</x:f>
        <x:v>2</x:v>
      </x:c>
      <x:c r="Z187" s="111" t="n">
        <x:f>IFERROR(VLOOKUP($A187,'Jason FLEX'!$A$6:$N$268,8,FALSE),"")</x:f>
        <x:v>15</x:v>
      </x:c>
      <x:c r="AA187" s="111" t="n">
        <x:f>IFERROR(VLOOKUP($A187,'Jason FLEX'!$A$6:$N$268,9,FALSE),"")</x:f>
        <x:v>0</x:v>
      </x:c>
      <x:c r="AB187" s="111" t="n">
        <x:f>IFERROR(VLOOKUP($A187,'Jason FLEX'!$A$6:$N$268,10,FALSE),"")</x:f>
        <x:v>20</x:v>
      </x:c>
      <x:c r="AC187" s="111" t="n">
        <x:f>IFERROR(VLOOKUP($A187,'Jason FLEX'!$A$6:$N$268,11,FALSE),"")</x:f>
        <x:v>270</x:v>
      </x:c>
      <x:c r="AD187" s="111" t="n">
        <x:f>IFERROR(VLOOKUP($A187,'Jason FLEX'!$A$6:$N$268,12,FALSE),"")</x:f>
        <x:v>3</x:v>
      </x:c>
      <x:c r="AE187" s="111" t="n">
        <x:f>IFERROR(VLOOKUP($A187,'Jason FLEX'!$A$6:$N$268,13,FALSE),"")</x:f>
        <x:v>0</x:v>
      </x:c>
      <x:c r="AF187" s="110" t="n">
        <x:f>IF(COUNT(E187,N187,W187)=0,"",AVERAGE(E187,N187,W187))</x:f>
        <x:v>183</x:v>
      </x:c>
      <x:c r="AG187" s="110" t="n">
        <x:f>IF(COUNT(E187,N187,W187)=0,"",MAX(E187,N187,W187)-MIN(E187,N187,W187))</x:f>
        <x:v>61</x:v>
      </x:c>
      <x:c r="AH187" s="110" t="n">
        <x:f>IF(COUNT(F187,O187,X187)=0,"",AVERAGE(F187,O187,X187))</x:f>
        <x:v>5.233333333333333</x:v>
      </x:c>
      <x:c r="AI187" s="112" t="n">
        <x:f>IF(COUNT(G187,P187,Y187)=0,"",AVERAGE(G187,P187,Y187))</x:f>
        <x:v>2.6666666666666665</x:v>
      </x:c>
      <x:c r="AJ187" s="112" t="n">
        <x:f>IF(COUNT(H187,Q187,Z187)=0,"",AVERAGE(H187,Q187,Z187))</x:f>
        <x:v>17.666666666666668</x:v>
      </x:c>
      <x:c r="AK187" s="112" t="n">
        <x:f>IF(COUNT(I187,R187,AA187)=0,"",AVERAGE(I187,R187,AA187))</x:f>
        <x:v>0</x:v>
      </x:c>
      <x:c r="AL187" s="112" t="n">
        <x:f>IF(COUNT(J187,S187,AB187)=0,"",AVERAGE(J187,S187,AB187))</x:f>
        <x:v>29.666666666666668</x:v>
      </x:c>
      <x:c r="AM187" s="112" t="n">
        <x:f>IF(COUNT(K187,T187,AC187)=0,"",AVERAGE(K187,T187,AC187))</x:f>
        <x:v>381.3333333333333</x:v>
      </x:c>
      <x:c r="AN187" s="112" t="n">
        <x:f>IF(COUNT(L187,U187,AD187)=0,"",AVERAGE(L187,U187,AD187))</x:f>
        <x:v>3.3333333333333335</x:v>
      </x:c>
      <x:c r="AO187" s="112" t="n">
        <x:f>IF(COUNT(M187,V187,AE187)=0,"",AVERAGE(M187,V187,AE187))</x:f>
        <x:v>0</x:v>
      </x:c>
    </x:row>
    <x:row r="188">
      <x:c r="A188" s="107" t="str">
        <x:v>Jalen Tolbert</x:v>
      </x:c>
      <x:c r="B188" s="108" t="str">
        <x:v>WR</x:v>
      </x:c>
      <x:c r="C188" s="108" t="str">
        <x:v>MIA</x:v>
      </x:c>
      <x:c r="D188" s="109" t="n">
        <x:v>6</x:v>
      </x:c>
      <x:c r="E188" s="109" t="n">
        <x:f>IFERROR(VLOOKUP($A188,'Mike FLEX'!$A$6:$N$278,5,FALSE),"")</x:f>
        <x:v>134</x:v>
      </x:c>
      <x:c r="F188" s="110" t="n">
        <x:f>IFERROR(VLOOKUP($A188,'Mike FLEX'!$A$6:$N$278,6,FALSE),"")</x:f>
        <x:v>7.1</x:v>
      </x:c>
      <x:c r="G188" s="111" t="n">
        <x:f>IFERROR(VLOOKUP($A188,'Mike FLEX'!$A$6:$N$278,7,FALSE),"")</x:f>
        <x:v>0</x:v>
      </x:c>
      <x:c r="H188" s="111" t="n">
        <x:f>IFERROR(VLOOKUP($A188,'Mike FLEX'!$A$6:$N$278,8,FALSE),"")</x:f>
        <x:v>0</x:v>
      </x:c>
      <x:c r="I188" s="111" t="n">
        <x:f>IFERROR(VLOOKUP($A188,'Mike FLEX'!$A$6:$N$278,9,FALSE),"")</x:f>
        <x:v>0</x:v>
      </x:c>
      <x:c r="J188" s="111" t="n">
        <x:f>IFERROR(VLOOKUP($A188,'Mike FLEX'!$A$6:$N$278,10,FALSE),"")</x:f>
        <x:v>44</x:v>
      </x:c>
      <x:c r="K188" s="111" t="n">
        <x:f>IFERROR(VLOOKUP($A188,'Mike FLEX'!$A$6:$N$278,11,FALSE),"")</x:f>
        <x:v>529</x:v>
      </x:c>
      <x:c r="L188" s="111" t="n">
        <x:f>IFERROR(VLOOKUP($A188,'Mike FLEX'!$A$6:$N$278,12,FALSE),"")</x:f>
        <x:v>4</x:v>
      </x:c>
      <x:c r="M188" s="111" t="n">
        <x:f>IFERROR(VLOOKUP($A188,'Mike FLEX'!$A$6:$N$278,13,FALSE),"")</x:f>
        <x:v>0</x:v>
      </x:c>
      <x:c r="N188" s="109" t="n">
        <x:f>IFERROR(VLOOKUP($A188,'Andy FLEX'!$A$6:$N$278,5,FALSE),"")</x:f>
        <x:v>199</x:v>
      </x:c>
      <x:c r="O188" s="110" t="n">
        <x:f>IFERROR(VLOOKUP($A188,'Andy FLEX'!$A$6:$N$278,6,FALSE),"")</x:f>
        <x:v>4.9</x:v>
      </x:c>
      <x:c r="P188" s="111" t="n">
        <x:f>IFERROR(VLOOKUP($A188,'Andy FLEX'!$A$6:$N$278,7,FALSE),"")</x:f>
        <x:v>2</x:v>
      </x:c>
      <x:c r="Q188" s="111" t="n">
        <x:f>IFERROR(VLOOKUP($A188,'Andy FLEX'!$A$6:$N$278,8,FALSE),"")</x:f>
        <x:v>9</x:v>
      </x:c>
      <x:c r="R188" s="111" t="n">
        <x:f>IFERROR(VLOOKUP($A188,'Andy FLEX'!$A$6:$N$278,9,FALSE),"")</x:f>
        <x:v>0</x:v>
      </x:c>
      <x:c r="S188" s="111" t="n">
        <x:f>IFERROR(VLOOKUP($A188,'Andy FLEX'!$A$6:$N$278,10,FALSE),"")</x:f>
        <x:v>32</x:v>
      </x:c>
      <x:c r="T188" s="111" t="n">
        <x:f>IFERROR(VLOOKUP($A188,'Andy FLEX'!$A$6:$N$278,11,FALSE),"")</x:f>
        <x:v>367</x:v>
      </x:c>
      <x:c r="U188" s="111" t="n">
        <x:f>IFERROR(VLOOKUP($A188,'Andy FLEX'!$A$6:$N$278,12,FALSE),"")</x:f>
        <x:v>2</x:v>
      </x:c>
      <x:c r="V188" s="111" t="n">
        <x:f>IFERROR(VLOOKUP($A188,'Andy FLEX'!$A$6:$N$278,13,FALSE),"")</x:f>
        <x:v>0</x:v>
      </x:c>
      <x:c r="W188" s="109" t="n">
        <x:f>IFERROR(VLOOKUP($A188,'Jason FLEX'!$A$6:$N$268,5,FALSE),"")</x:f>
        <x:v>217</x:v>
      </x:c>
      <x:c r="X188" s="110" t="n">
        <x:f>IFERROR(VLOOKUP($A188,'Jason FLEX'!$A$6:$N$268,6,FALSE),"")</x:f>
        <x:v>3.8</x:v>
      </x:c>
      <x:c r="Y188" s="111" t="n">
        <x:f>IFERROR(VLOOKUP($A188,'Jason FLEX'!$A$6:$N$268,7,FALSE),"")</x:f>
        <x:v>0</x:v>
      </x:c>
      <x:c r="Z188" s="111" t="n">
        <x:f>IFERROR(VLOOKUP($A188,'Jason FLEX'!$A$6:$N$268,8,FALSE),"")</x:f>
        <x:v>0</x:v>
      </x:c>
      <x:c r="AA188" s="111" t="n">
        <x:f>IFERROR(VLOOKUP($A188,'Jason FLEX'!$A$6:$N$268,9,FALSE),"")</x:f>
        <x:v>0</x:v>
      </x:c>
      <x:c r="AB188" s="111" t="n">
        <x:f>IFERROR(VLOOKUP($A188,'Jason FLEX'!$A$6:$N$268,10,FALSE),"")</x:f>
        <x:v>24</x:v>
      </x:c>
      <x:c r="AC188" s="111" t="n">
        <x:f>IFERROR(VLOOKUP($A188,'Jason FLEX'!$A$6:$N$268,11,FALSE),"")</x:f>
        <x:v>296</x:v>
      </x:c>
      <x:c r="AD188" s="111" t="n">
        <x:f>IFERROR(VLOOKUP($A188,'Jason FLEX'!$A$6:$N$268,12,FALSE),"")</x:f>
        <x:v>2</x:v>
      </x:c>
      <x:c r="AE188" s="111" t="n">
        <x:f>IFERROR(VLOOKUP($A188,'Jason FLEX'!$A$6:$N$268,13,FALSE),"")</x:f>
        <x:v>0</x:v>
      </x:c>
      <x:c r="AF188" s="110" t="n">
        <x:f>IF(COUNT(E188,N188,W188)=0,"",AVERAGE(E188,N188,W188))</x:f>
        <x:v>183.33333333333334</x:v>
      </x:c>
      <x:c r="AG188" s="110" t="n">
        <x:f>IF(COUNT(E188,N188,W188)=0,"",MAX(E188,N188,W188)-MIN(E188,N188,W188))</x:f>
        <x:v>83</x:v>
      </x:c>
      <x:c r="AH188" s="110" t="n">
        <x:f>IF(COUNT(F188,O188,X188)=0,"",AVERAGE(F188,O188,X188))</x:f>
        <x:v>5.266666666666667</x:v>
      </x:c>
      <x:c r="AI188" s="112" t="n">
        <x:f>IF(COUNT(G188,P188,Y188)=0,"",AVERAGE(G188,P188,Y188))</x:f>
        <x:v>0.6666666666666666</x:v>
      </x:c>
      <x:c r="AJ188" s="112" t="n">
        <x:f>IF(COUNT(H188,Q188,Z188)=0,"",AVERAGE(H188,Q188,Z188))</x:f>
        <x:v>3</x:v>
      </x:c>
      <x:c r="AK188" s="112" t="n">
        <x:f>IF(COUNT(I188,R188,AA188)=0,"",AVERAGE(I188,R188,AA188))</x:f>
        <x:v>0</x:v>
      </x:c>
      <x:c r="AL188" s="112" t="n">
        <x:f>IF(COUNT(J188,S188,AB188)=0,"",AVERAGE(J188,S188,AB188))</x:f>
        <x:v>33.333333333333336</x:v>
      </x:c>
      <x:c r="AM188" s="112" t="n">
        <x:f>IF(COUNT(K188,T188,AC188)=0,"",AVERAGE(K188,T188,AC188))</x:f>
        <x:v>397.3333333333333</x:v>
      </x:c>
      <x:c r="AN188" s="112" t="n">
        <x:f>IF(COUNT(L188,U188,AD188)=0,"",AVERAGE(L188,U188,AD188))</x:f>
        <x:v>2.6666666666666665</x:v>
      </x:c>
      <x:c r="AO188" s="112" t="n">
        <x:f>IF(COUNT(M188,V188,AE188)=0,"",AVERAGE(M188,V188,AE188))</x:f>
        <x:v>0</x:v>
      </x:c>
    </x:row>
    <x:row r="189">
      <x:c r="A189" s="107" t="str">
        <x:v>Devaughn Vele</x:v>
      </x:c>
      <x:c r="B189" s="108" t="str">
        <x:v>WR</x:v>
      </x:c>
      <x:c r="C189" s="108" t="str">
        <x:v>NO</x:v>
      </x:c>
      <x:c r="D189" s="109" t="n">
        <x:v>8</x:v>
      </x:c>
      <x:c r="E189" s="109" t="n">
        <x:f>IFERROR(VLOOKUP($A189,'Mike FLEX'!$A$6:$N$278,5,FALSE),"")</x:f>
        <x:v>138</x:v>
      </x:c>
      <x:c r="F189" s="110" t="n">
        <x:f>IFERROR(VLOOKUP($A189,'Mike FLEX'!$A$6:$N$278,6,FALSE),"")</x:f>
        <x:v>7</x:v>
      </x:c>
      <x:c r="G189" s="111" t="n">
        <x:f>IFERROR(VLOOKUP($A189,'Mike FLEX'!$A$6:$N$278,7,FALSE),"")</x:f>
        <x:v>0</x:v>
      </x:c>
      <x:c r="H189" s="111" t="n">
        <x:f>IFERROR(VLOOKUP($A189,'Mike FLEX'!$A$6:$N$278,8,FALSE),"")</x:f>
        <x:v>0</x:v>
      </x:c>
      <x:c r="I189" s="111" t="n">
        <x:f>IFERROR(VLOOKUP($A189,'Mike FLEX'!$A$6:$N$278,9,FALSE),"")</x:f>
        <x:v>0</x:v>
      </x:c>
      <x:c r="J189" s="111" t="n">
        <x:f>IFERROR(VLOOKUP($A189,'Mike FLEX'!$A$6:$N$278,10,FALSE),"")</x:f>
        <x:v>46</x:v>
      </x:c>
      <x:c r="K189" s="111" t="n">
        <x:f>IFERROR(VLOOKUP($A189,'Mike FLEX'!$A$6:$N$278,11,FALSE),"")</x:f>
        <x:v>532</x:v>
      </x:c>
      <x:c r="L189" s="111" t="n">
        <x:f>IFERROR(VLOOKUP($A189,'Mike FLEX'!$A$6:$N$278,12,FALSE),"")</x:f>
        <x:v>3</x:v>
      </x:c>
      <x:c r="M189" s="111" t="n">
        <x:f>IFERROR(VLOOKUP($A189,'Mike FLEX'!$A$6:$N$278,13,FALSE),"")</x:f>
        <x:v>0</x:v>
      </x:c>
      <x:c r="N189" s="109" t="n">
        <x:f>IFERROR(VLOOKUP($A189,'Andy FLEX'!$A$6:$N$278,5,FALSE),"")</x:f>
        <x:v>231</x:v>
      </x:c>
      <x:c r="O189" s="110" t="n">
        <x:f>IFERROR(VLOOKUP($A189,'Andy FLEX'!$A$6:$N$278,6,FALSE),"")</x:f>
        <x:v>3.7</x:v>
      </x:c>
      <x:c r="P189" s="111" t="n">
        <x:f>IFERROR(VLOOKUP($A189,'Andy FLEX'!$A$6:$N$278,7,FALSE),"")</x:f>
        <x:v>2</x:v>
      </x:c>
      <x:c r="Q189" s="111" t="n">
        <x:f>IFERROR(VLOOKUP($A189,'Andy FLEX'!$A$6:$N$278,8,FALSE),"")</x:f>
        <x:v>9</x:v>
      </x:c>
      <x:c r="R189" s="111" t="n">
        <x:f>IFERROR(VLOOKUP($A189,'Andy FLEX'!$A$6:$N$278,9,FALSE),"")</x:f>
        <x:v>0</x:v>
      </x:c>
      <x:c r="S189" s="111" t="n">
        <x:f>IFERROR(VLOOKUP($A189,'Andy FLEX'!$A$6:$N$278,10,FALSE),"")</x:f>
        <x:v>26</x:v>
      </x:c>
      <x:c r="T189" s="111" t="n">
        <x:f>IFERROR(VLOOKUP($A189,'Andy FLEX'!$A$6:$N$278,11,FALSE),"")</x:f>
        <x:v>315</x:v>
      </x:c>
      <x:c r="U189" s="111" t="n">
        <x:f>IFERROR(VLOOKUP($A189,'Andy FLEX'!$A$6:$N$278,12,FALSE),"")</x:f>
        <x:v>1</x:v>
      </x:c>
      <x:c r="V189" s="111" t="n">
        <x:f>IFERROR(VLOOKUP($A189,'Andy FLEX'!$A$6:$N$278,13,FALSE),"")</x:f>
        <x:v>0</x:v>
      </x:c>
      <x:c r="W189" s="109" t="n">
        <x:f>IFERROR(VLOOKUP($A189,'Jason FLEX'!$A$6:$N$268,5,FALSE),"")</x:f>
        <x:v>183</x:v>
      </x:c>
      <x:c r="X189" s="110" t="n">
        <x:f>IFERROR(VLOOKUP($A189,'Jason FLEX'!$A$6:$N$268,6,FALSE),"")</x:f>
        <x:v>5.5</x:v>
      </x:c>
      <x:c r="Y189" s="111" t="n">
        <x:f>IFERROR(VLOOKUP($A189,'Jason FLEX'!$A$6:$N$268,7,FALSE),"")</x:f>
        <x:v>0</x:v>
      </x:c>
      <x:c r="Z189" s="111" t="n">
        <x:f>IFERROR(VLOOKUP($A189,'Jason FLEX'!$A$6:$N$268,8,FALSE),"")</x:f>
        <x:v>0</x:v>
      </x:c>
      <x:c r="AA189" s="111" t="n">
        <x:f>IFERROR(VLOOKUP($A189,'Jason FLEX'!$A$6:$N$268,9,FALSE),"")</x:f>
        <x:v>0</x:v>
      </x:c>
      <x:c r="AB189" s="111" t="n">
        <x:f>IFERROR(VLOOKUP($A189,'Jason FLEX'!$A$6:$N$268,10,FALSE),"")</x:f>
        <x:v>36</x:v>
      </x:c>
      <x:c r="AC189" s="111" t="n">
        <x:f>IFERROR(VLOOKUP($A189,'Jason FLEX'!$A$6:$N$268,11,FALSE),"")</x:f>
        <x:v>389</x:v>
      </x:c>
      <x:c r="AD189" s="111" t="n">
        <x:f>IFERROR(VLOOKUP($A189,'Jason FLEX'!$A$6:$N$268,12,FALSE),"")</x:f>
        <x:v>3</x:v>
      </x:c>
      <x:c r="AE189" s="111" t="n">
        <x:f>IFERROR(VLOOKUP($A189,'Jason FLEX'!$A$6:$N$268,13,FALSE),"")</x:f>
        <x:v>0</x:v>
      </x:c>
      <x:c r="AF189" s="110" t="n">
        <x:f>IF(COUNT(E189,N189,W189)=0,"",AVERAGE(E189,N189,W189))</x:f>
        <x:v>184</x:v>
      </x:c>
      <x:c r="AG189" s="110" t="n">
        <x:f>IF(COUNT(E189,N189,W189)=0,"",MAX(E189,N189,W189)-MIN(E189,N189,W189))</x:f>
        <x:v>93</x:v>
      </x:c>
      <x:c r="AH189" s="110" t="n">
        <x:f>IF(COUNT(F189,O189,X189)=0,"",AVERAGE(F189,O189,X189))</x:f>
        <x:v>5.3999999999999995</x:v>
      </x:c>
      <x:c r="AI189" s="112" t="n">
        <x:f>IF(COUNT(G189,P189,Y189)=0,"",AVERAGE(G189,P189,Y189))</x:f>
        <x:v>0.6666666666666666</x:v>
      </x:c>
      <x:c r="AJ189" s="112" t="n">
        <x:f>IF(COUNT(H189,Q189,Z189)=0,"",AVERAGE(H189,Q189,Z189))</x:f>
        <x:v>3</x:v>
      </x:c>
      <x:c r="AK189" s="112" t="n">
        <x:f>IF(COUNT(I189,R189,AA189)=0,"",AVERAGE(I189,R189,AA189))</x:f>
        <x:v>0</x:v>
      </x:c>
      <x:c r="AL189" s="112" t="n">
        <x:f>IF(COUNT(J189,S189,AB189)=0,"",AVERAGE(J189,S189,AB189))</x:f>
        <x:v>36</x:v>
      </x:c>
      <x:c r="AM189" s="112" t="n">
        <x:f>IF(COUNT(K189,T189,AC189)=0,"",AVERAGE(K189,T189,AC189))</x:f>
        <x:v>412</x:v>
      </x:c>
      <x:c r="AN189" s="112" t="n">
        <x:f>IF(COUNT(L189,U189,AD189)=0,"",AVERAGE(L189,U189,AD189))</x:f>
        <x:v>2.3333333333333335</x:v>
      </x:c>
      <x:c r="AO189" s="112" t="n">
        <x:f>IF(COUNT(M189,V189,AE189)=0,"",AVERAGE(M189,V189,AE189))</x:f>
        <x:v>0</x:v>
      </x:c>
    </x:row>
    <x:row r="190">
      <x:c r="A190" s="107" t="str">
        <x:v>Antonio Williams</x:v>
      </x:c>
      <x:c r="B190" s="108" t="str">
        <x:v>WR</x:v>
      </x:c>
      <x:c r="C190" s="108" t="str">
        <x:v>WAS</x:v>
      </x:c>
      <x:c r="D190" s="109" t="n">
        <x:v>7</x:v>
      </x:c>
      <x:c r="E190" s="109" t="n">
        <x:f>IFERROR(VLOOKUP($A190,'Mike FLEX'!$A$6:$N$278,5,FALSE),"")</x:f>
        <x:v>197</x:v>
      </x:c>
      <x:c r="F190" s="110" t="n">
        <x:f>IFERROR(VLOOKUP($A190,'Mike FLEX'!$A$6:$N$278,6,FALSE),"")</x:f>
        <x:v>4.3</x:v>
      </x:c>
      <x:c r="G190" s="111" t="n">
        <x:f>IFERROR(VLOOKUP($A190,'Mike FLEX'!$A$6:$N$278,7,FALSE),"")</x:f>
        <x:v>0</x:v>
      </x:c>
      <x:c r="H190" s="111" t="n">
        <x:f>IFERROR(VLOOKUP($A190,'Mike FLEX'!$A$6:$N$278,8,FALSE),"")</x:f>
        <x:v>0</x:v>
      </x:c>
      <x:c r="I190" s="111" t="n">
        <x:f>IFERROR(VLOOKUP($A190,'Mike FLEX'!$A$6:$N$278,9,FALSE),"")</x:f>
        <x:v>0</x:v>
      </x:c>
      <x:c r="J190" s="111" t="n">
        <x:f>IFERROR(VLOOKUP($A190,'Mike FLEX'!$A$6:$N$278,10,FALSE),"")</x:f>
        <x:v>27</x:v>
      </x:c>
      <x:c r="K190" s="111" t="n">
        <x:f>IFERROR(VLOOKUP($A190,'Mike FLEX'!$A$6:$N$278,11,FALSE),"")</x:f>
        <x:v>334</x:v>
      </x:c>
      <x:c r="L190" s="111" t="n">
        <x:f>IFERROR(VLOOKUP($A190,'Mike FLEX'!$A$6:$N$278,12,FALSE),"")</x:f>
        <x:v>2</x:v>
      </x:c>
      <x:c r="M190" s="111" t="n">
        <x:f>IFERROR(VLOOKUP($A190,'Mike FLEX'!$A$6:$N$278,13,FALSE),"")</x:f>
        <x:v>0</x:v>
      </x:c>
      <x:c r="N190" s="109" t="n">
        <x:f>IFERROR(VLOOKUP($A190,'Andy FLEX'!$A$6:$N$278,5,FALSE),"")</x:f>
        <x:v>182</x:v>
      </x:c>
      <x:c r="O190" s="110" t="n">
        <x:f>IFERROR(VLOOKUP($A190,'Andy FLEX'!$A$6:$N$278,6,FALSE),"")</x:f>
        <x:v>5.5</x:v>
      </x:c>
      <x:c r="P190" s="111" t="n">
        <x:f>IFERROR(VLOOKUP($A190,'Andy FLEX'!$A$6:$N$278,7,FALSE),"")</x:f>
        <x:v>8</x:v>
      </x:c>
      <x:c r="Q190" s="111" t="n">
        <x:f>IFERROR(VLOOKUP($A190,'Andy FLEX'!$A$6:$N$278,8,FALSE),"")</x:f>
        <x:v>48</x:v>
      </x:c>
      <x:c r="R190" s="111" t="n">
        <x:f>IFERROR(VLOOKUP($A190,'Andy FLEX'!$A$6:$N$278,9,FALSE),"")</x:f>
        <x:v>0</x:v>
      </x:c>
      <x:c r="S190" s="111" t="n">
        <x:f>IFERROR(VLOOKUP($A190,'Andy FLEX'!$A$6:$N$278,10,FALSE),"")</x:f>
        <x:v>33</x:v>
      </x:c>
      <x:c r="T190" s="111" t="n">
        <x:f>IFERROR(VLOOKUP($A190,'Andy FLEX'!$A$6:$N$278,11,FALSE),"")</x:f>
        <x:v>406</x:v>
      </x:c>
      <x:c r="U190" s="111" t="n">
        <x:f>IFERROR(VLOOKUP($A190,'Andy FLEX'!$A$6:$N$278,12,FALSE),"")</x:f>
        <x:v>3</x:v>
      </x:c>
      <x:c r="V190" s="111" t="n">
        <x:f>IFERROR(VLOOKUP($A190,'Andy FLEX'!$A$6:$N$278,13,FALSE),"")</x:f>
        <x:v>1</x:v>
      </x:c>
      <x:c r="W190" s="109" t="n">
        <x:f>IFERROR(VLOOKUP($A190,'Jason FLEX'!$A$6:$N$268,5,FALSE),"")</x:f>
        <x:v>176</x:v>
      </x:c>
      <x:c r="X190" s="110" t="n">
        <x:f>IFERROR(VLOOKUP($A190,'Jason FLEX'!$A$6:$N$268,6,FALSE),"")</x:f>
        <x:v>5.8</x:v>
      </x:c>
      <x:c r="Y190" s="111" t="n">
        <x:f>IFERROR(VLOOKUP($A190,'Jason FLEX'!$A$6:$N$268,7,FALSE),"")</x:f>
        <x:v>4</x:v>
      </x:c>
      <x:c r="Z190" s="111" t="n">
        <x:f>IFERROR(VLOOKUP($A190,'Jason FLEX'!$A$6:$N$268,8,FALSE),"")</x:f>
        <x:v>25</x:v>
      </x:c>
      <x:c r="AA190" s="111" t="n">
        <x:f>IFERROR(VLOOKUP($A190,'Jason FLEX'!$A$6:$N$268,9,FALSE),"")</x:f>
        <x:v>0</x:v>
      </x:c>
      <x:c r="AB190" s="111" t="n">
        <x:f>IFERROR(VLOOKUP($A190,'Jason FLEX'!$A$6:$N$268,10,FALSE),"")</x:f>
        <x:v>31</x:v>
      </x:c>
      <x:c r="AC190" s="111" t="n">
        <x:f>IFERROR(VLOOKUP($A190,'Jason FLEX'!$A$6:$N$268,11,FALSE),"")</x:f>
        <x:v>377</x:v>
      </x:c>
      <x:c r="AD190" s="111" t="n">
        <x:f>IFERROR(VLOOKUP($A190,'Jason FLEX'!$A$6:$N$268,12,FALSE),"")</x:f>
        <x:v>5</x:v>
      </x:c>
      <x:c r="AE190" s="111" t="n">
        <x:f>IFERROR(VLOOKUP($A190,'Jason FLEX'!$A$6:$N$268,13,FALSE),"")</x:f>
        <x:v>0</x:v>
      </x:c>
      <x:c r="AF190" s="110" t="n">
        <x:f>IF(COUNT(E190,N190,W190)=0,"",AVERAGE(E190,N190,W190))</x:f>
        <x:v>185</x:v>
      </x:c>
      <x:c r="AG190" s="110" t="n">
        <x:f>IF(COUNT(E190,N190,W190)=0,"",MAX(E190,N190,W190)-MIN(E190,N190,W190))</x:f>
        <x:v>21</x:v>
      </x:c>
      <x:c r="AH190" s="110" t="n">
        <x:f>IF(COUNT(F190,O190,X190)=0,"",AVERAGE(F190,O190,X190))</x:f>
        <x:v>5.2</x:v>
      </x:c>
      <x:c r="AI190" s="112" t="n">
        <x:f>IF(COUNT(G190,P190,Y190)=0,"",AVERAGE(G190,P190,Y190))</x:f>
        <x:v>4</x:v>
      </x:c>
      <x:c r="AJ190" s="112" t="n">
        <x:f>IF(COUNT(H190,Q190,Z190)=0,"",AVERAGE(H190,Q190,Z190))</x:f>
        <x:v>24.333333333333332</x:v>
      </x:c>
      <x:c r="AK190" s="112" t="n">
        <x:f>IF(COUNT(I190,R190,AA190)=0,"",AVERAGE(I190,R190,AA190))</x:f>
        <x:v>0</x:v>
      </x:c>
      <x:c r="AL190" s="112" t="n">
        <x:f>IF(COUNT(J190,S190,AB190)=0,"",AVERAGE(J190,S190,AB190))</x:f>
        <x:v>30.333333333333332</x:v>
      </x:c>
      <x:c r="AM190" s="112" t="n">
        <x:f>IF(COUNT(K190,T190,AC190)=0,"",AVERAGE(K190,T190,AC190))</x:f>
        <x:v>372.3333333333333</x:v>
      </x:c>
      <x:c r="AN190" s="112" t="n">
        <x:f>IF(COUNT(L190,U190,AD190)=0,"",AVERAGE(L190,U190,AD190))</x:f>
        <x:v>3.3333333333333335</x:v>
      </x:c>
      <x:c r="AO190" s="112" t="n">
        <x:f>IF(COUNT(M190,V190,AE190)=0,"",AVERAGE(M190,V190,AE190))</x:f>
        <x:v>0.3333333333333333</x:v>
      </x:c>
    </x:row>
    <x:row r="191">
      <x:c r="A191" s="107" t="str">
        <x:v>Troy Franklin</x:v>
      </x:c>
      <x:c r="B191" s="108" t="str">
        <x:v>WR</x:v>
      </x:c>
      <x:c r="C191" s="108" t="str">
        <x:v>DEN</x:v>
      </x:c>
      <x:c r="D191" s="109" t="n">
        <x:v>10</x:v>
      </x:c>
      <x:c r="E191" s="109" t="n">
        <x:f>IFERROR(VLOOKUP($A191,'Mike FLEX'!$A$6:$N$278,5,FALSE),"")</x:f>
        <x:v>212</x:v>
      </x:c>
      <x:c r="F191" s="110" t="n">
        <x:f>IFERROR(VLOOKUP($A191,'Mike FLEX'!$A$6:$N$278,6,FALSE),"")</x:f>
        <x:v>3.7</x:v>
      </x:c>
      <x:c r="G191" s="111" t="n">
        <x:f>IFERROR(VLOOKUP($A191,'Mike FLEX'!$A$6:$N$278,7,FALSE),"")</x:f>
        <x:v>4</x:v>
      </x:c>
      <x:c r="H191" s="111" t="n">
        <x:f>IFERROR(VLOOKUP($A191,'Mike FLEX'!$A$6:$N$278,8,FALSE),"")</x:f>
        <x:v>10</x:v>
      </x:c>
      <x:c r="I191" s="111" t="n">
        <x:f>IFERROR(VLOOKUP($A191,'Mike FLEX'!$A$6:$N$278,9,FALSE),"")</x:f>
        <x:v>0</x:v>
      </x:c>
      <x:c r="J191" s="111" t="n">
        <x:f>IFERROR(VLOOKUP($A191,'Mike FLEX'!$A$6:$N$278,10,FALSE),"")</x:f>
        <x:v>25</x:v>
      </x:c>
      <x:c r="K191" s="111" t="n">
        <x:f>IFERROR(VLOOKUP($A191,'Mike FLEX'!$A$6:$N$278,11,FALSE),"")</x:f>
        <x:v>270</x:v>
      </x:c>
      <x:c r="L191" s="111" t="n">
        <x:f>IFERROR(VLOOKUP($A191,'Mike FLEX'!$A$6:$N$278,12,FALSE),"")</x:f>
        <x:v>2</x:v>
      </x:c>
      <x:c r="M191" s="111" t="n">
        <x:f>IFERROR(VLOOKUP($A191,'Mike FLEX'!$A$6:$N$278,13,FALSE),"")</x:f>
        <x:v>1</x:v>
      </x:c>
      <x:c r="N191" s="109" t="n">
        <x:f>IFERROR(VLOOKUP($A191,'Andy FLEX'!$A$6:$N$278,5,FALSE),"")</x:f>
        <x:v>153</x:v>
      </x:c>
      <x:c r="O191" s="110" t="n">
        <x:f>IFERROR(VLOOKUP($A191,'Andy FLEX'!$A$6:$N$278,6,FALSE),"")</x:f>
        <x:v>6.5</x:v>
      </x:c>
      <x:c r="P191" s="111" t="n">
        <x:f>IFERROR(VLOOKUP($A191,'Andy FLEX'!$A$6:$N$278,7,FALSE),"")</x:f>
        <x:v>3</x:v>
      </x:c>
      <x:c r="Q191" s="111" t="n">
        <x:f>IFERROR(VLOOKUP($A191,'Andy FLEX'!$A$6:$N$278,8,FALSE),"")</x:f>
        <x:v>14</x:v>
      </x:c>
      <x:c r="R191" s="111" t="n">
        <x:f>IFERROR(VLOOKUP($A191,'Andy FLEX'!$A$6:$N$278,9,FALSE),"")</x:f>
        <x:v>0</x:v>
      </x:c>
      <x:c r="S191" s="111" t="n">
        <x:f>IFERROR(VLOOKUP($A191,'Andy FLEX'!$A$6:$N$278,10,FALSE),"")</x:f>
        <x:v>40</x:v>
      </x:c>
      <x:c r="T191" s="111" t="n">
        <x:f>IFERROR(VLOOKUP($A191,'Andy FLEX'!$A$6:$N$278,11,FALSE),"")</x:f>
        <x:v>543</x:v>
      </x:c>
      <x:c r="U191" s="111" t="n">
        <x:f>IFERROR(VLOOKUP($A191,'Andy FLEX'!$A$6:$N$278,12,FALSE),"")</x:f>
        <x:v>3</x:v>
      </x:c>
      <x:c r="V191" s="111" t="n">
        <x:f>IFERROR(VLOOKUP($A191,'Andy FLEX'!$A$6:$N$278,13,FALSE),"")</x:f>
        <x:v>1</x:v>
      </x:c>
      <x:c r="W191" s="109" t="n">
        <x:f>IFERROR(VLOOKUP($A191,'Jason FLEX'!$A$6:$N$268,5,FALSE),"")</x:f>
        <x:v>190</x:v>
      </x:c>
      <x:c r="X191" s="110" t="n">
        <x:f>IFERROR(VLOOKUP($A191,'Jason FLEX'!$A$6:$N$268,6,FALSE),"")</x:f>
        <x:v>5</x:v>
      </x:c>
      <x:c r="Y191" s="111" t="n">
        <x:f>IFERROR(VLOOKUP($A191,'Jason FLEX'!$A$6:$N$268,7,FALSE),"")</x:f>
        <x:v>0</x:v>
      </x:c>
      <x:c r="Z191" s="111" t="n">
        <x:f>IFERROR(VLOOKUP($A191,'Jason FLEX'!$A$6:$N$268,8,FALSE),"")</x:f>
        <x:v>0</x:v>
      </x:c>
      <x:c r="AA191" s="111" t="n">
        <x:f>IFERROR(VLOOKUP($A191,'Jason FLEX'!$A$6:$N$268,9,FALSE),"")</x:f>
        <x:v>0</x:v>
      </x:c>
      <x:c r="AB191" s="111" t="n">
        <x:f>IFERROR(VLOOKUP($A191,'Jason FLEX'!$A$6:$N$268,10,FALSE),"")</x:f>
        <x:v>32</x:v>
      </x:c>
      <x:c r="AC191" s="111" t="n">
        <x:f>IFERROR(VLOOKUP($A191,'Jason FLEX'!$A$6:$N$268,11,FALSE),"")</x:f>
        <x:v>380</x:v>
      </x:c>
      <x:c r="AD191" s="111" t="n">
        <x:f>IFERROR(VLOOKUP($A191,'Jason FLEX'!$A$6:$N$268,12,FALSE),"")</x:f>
        <x:v>3</x:v>
      </x:c>
      <x:c r="AE191" s="111" t="n">
        <x:f>IFERROR(VLOOKUP($A191,'Jason FLEX'!$A$6:$N$268,13,FALSE),"")</x:f>
        <x:v>0</x:v>
      </x:c>
      <x:c r="AF191" s="110" t="n">
        <x:f>IF(COUNT(E191,N191,W191)=0,"",AVERAGE(E191,N191,W191))</x:f>
        <x:v>185</x:v>
      </x:c>
      <x:c r="AG191" s="110" t="n">
        <x:f>IF(COUNT(E191,N191,W191)=0,"",MAX(E191,N191,W191)-MIN(E191,N191,W191))</x:f>
        <x:v>59</x:v>
      </x:c>
      <x:c r="AH191" s="110" t="n">
        <x:f>IF(COUNT(F191,O191,X191)=0,"",AVERAGE(F191,O191,X191))</x:f>
        <x:v>5.066666666666666</x:v>
      </x:c>
      <x:c r="AI191" s="112" t="n">
        <x:f>IF(COUNT(G191,P191,Y191)=0,"",AVERAGE(G191,P191,Y191))</x:f>
        <x:v>2.3333333333333335</x:v>
      </x:c>
      <x:c r="AJ191" s="112" t="n">
        <x:f>IF(COUNT(H191,Q191,Z191)=0,"",AVERAGE(H191,Q191,Z191))</x:f>
        <x:v>8</x:v>
      </x:c>
      <x:c r="AK191" s="112" t="n">
        <x:f>IF(COUNT(I191,R191,AA191)=0,"",AVERAGE(I191,R191,AA191))</x:f>
        <x:v>0</x:v>
      </x:c>
      <x:c r="AL191" s="112" t="n">
        <x:f>IF(COUNT(J191,S191,AB191)=0,"",AVERAGE(J191,S191,AB191))</x:f>
        <x:v>32.333333333333336</x:v>
      </x:c>
      <x:c r="AM191" s="112" t="n">
        <x:f>IF(COUNT(K191,T191,AC191)=0,"",AVERAGE(K191,T191,AC191))</x:f>
        <x:v>397.6666666666667</x:v>
      </x:c>
      <x:c r="AN191" s="112" t="n">
        <x:f>IF(COUNT(L191,U191,AD191)=0,"",AVERAGE(L191,U191,AD191))</x:f>
        <x:v>2.6666666666666665</x:v>
      </x:c>
      <x:c r="AO191" s="112" t="n">
        <x:f>IF(COUNT(M191,V191,AE191)=0,"",AVERAGE(M191,V191,AE191))</x:f>
        <x:v>0.6666666666666666</x:v>
      </x:c>
    </x:row>
    <x:row r="192">
      <x:c r="A192" s="107" t="str">
        <x:v>Jack Bech</x:v>
      </x:c>
      <x:c r="B192" s="108" t="str">
        <x:v>WR</x:v>
      </x:c>
      <x:c r="C192" s="108" t="str">
        <x:v>LV</x:v>
      </x:c>
      <x:c r="D192" s="109" t="n">
        <x:v>13</x:v>
      </x:c>
      <x:c r="E192" s="109" t="n">
        <x:f>IFERROR(VLOOKUP($A192,'Mike FLEX'!$A$6:$N$278,5,FALSE),"")</x:f>
        <x:v>183</x:v>
      </x:c>
      <x:c r="F192" s="110" t="n">
        <x:f>IFERROR(VLOOKUP($A192,'Mike FLEX'!$A$6:$N$278,6,FALSE),"")</x:f>
        <x:v>4.6</x:v>
      </x:c>
      <x:c r="G192" s="111" t="n">
        <x:f>IFERROR(VLOOKUP($A192,'Mike FLEX'!$A$6:$N$278,7,FALSE),"")</x:f>
        <x:v>0</x:v>
      </x:c>
      <x:c r="H192" s="111" t="n">
        <x:f>IFERROR(VLOOKUP($A192,'Mike FLEX'!$A$6:$N$278,8,FALSE),"")</x:f>
        <x:v>0</x:v>
      </x:c>
      <x:c r="I192" s="111" t="n">
        <x:f>IFERROR(VLOOKUP($A192,'Mike FLEX'!$A$6:$N$278,9,FALSE),"")</x:f>
        <x:v>0</x:v>
      </x:c>
      <x:c r="J192" s="111" t="n">
        <x:f>IFERROR(VLOOKUP($A192,'Mike FLEX'!$A$6:$N$278,10,FALSE),"")</x:f>
        <x:v>31</x:v>
      </x:c>
      <x:c r="K192" s="111" t="n">
        <x:f>IFERROR(VLOOKUP($A192,'Mike FLEX'!$A$6:$N$278,11,FALSE),"")</x:f>
        <x:v>351</x:v>
      </x:c>
      <x:c r="L192" s="111" t="n">
        <x:f>IFERROR(VLOOKUP($A192,'Mike FLEX'!$A$6:$N$278,12,FALSE),"")</x:f>
        <x:v>2</x:v>
      </x:c>
      <x:c r="M192" s="111" t="n">
        <x:f>IFERROR(VLOOKUP($A192,'Mike FLEX'!$A$6:$N$278,13,FALSE),"")</x:f>
        <x:v>0</x:v>
      </x:c>
      <x:c r="N192" s="109" t="n">
        <x:f>IFERROR(VLOOKUP($A192,'Andy FLEX'!$A$6:$N$278,5,FALSE),"")</x:f>
        <x:v>197</x:v>
      </x:c>
      <x:c r="O192" s="110" t="n">
        <x:f>IFERROR(VLOOKUP($A192,'Andy FLEX'!$A$6:$N$278,6,FALSE),"")</x:f>
        <x:v>5</x:v>
      </x:c>
      <x:c r="P192" s="111" t="n">
        <x:f>IFERROR(VLOOKUP($A192,'Andy FLEX'!$A$6:$N$278,7,FALSE),"")</x:f>
        <x:v>4</x:v>
      </x:c>
      <x:c r="Q192" s="111" t="n">
        <x:f>IFERROR(VLOOKUP($A192,'Andy FLEX'!$A$6:$N$278,8,FALSE),"")</x:f>
        <x:v>21</x:v>
      </x:c>
      <x:c r="R192" s="111" t="n">
        <x:f>IFERROR(VLOOKUP($A192,'Andy FLEX'!$A$6:$N$278,9,FALSE),"")</x:f>
        <x:v>0</x:v>
      </x:c>
      <x:c r="S192" s="111" t="n">
        <x:f>IFERROR(VLOOKUP($A192,'Andy FLEX'!$A$6:$N$278,10,FALSE),"")</x:f>
        <x:v>33</x:v>
      </x:c>
      <x:c r="T192" s="111" t="n">
        <x:f>IFERROR(VLOOKUP($A192,'Andy FLEX'!$A$6:$N$278,11,FALSE),"")</x:f>
        <x:v>399</x:v>
      </x:c>
      <x:c r="U192" s="111" t="n">
        <x:f>IFERROR(VLOOKUP($A192,'Andy FLEX'!$A$6:$N$278,12,FALSE),"")</x:f>
        <x:v>2</x:v>
      </x:c>
      <x:c r="V192" s="111" t="n">
        <x:f>IFERROR(VLOOKUP($A192,'Andy FLEX'!$A$6:$N$278,13,FALSE),"")</x:f>
        <x:v>1</x:v>
      </x:c>
      <x:c r="W192" s="109" t="n">
        <x:f>IFERROR(VLOOKUP($A192,'Jason FLEX'!$A$6:$N$268,5,FALSE),"")</x:f>
        <x:v>177</x:v>
      </x:c>
      <x:c r="X192" s="110" t="n">
        <x:f>IFERROR(VLOOKUP($A192,'Jason FLEX'!$A$6:$N$268,6,FALSE),"")</x:f>
        <x:v>5.8</x:v>
      </x:c>
      <x:c r="Y192" s="111" t="n">
        <x:f>IFERROR(VLOOKUP($A192,'Jason FLEX'!$A$6:$N$268,7,FALSE),"")</x:f>
        <x:v>3</x:v>
      </x:c>
      <x:c r="Z192" s="111" t="n">
        <x:f>IFERROR(VLOOKUP($A192,'Jason FLEX'!$A$6:$N$268,8,FALSE),"")</x:f>
        <x:v>15</x:v>
      </x:c>
      <x:c r="AA192" s="111" t="n">
        <x:f>IFERROR(VLOOKUP($A192,'Jason FLEX'!$A$6:$N$268,9,FALSE),"")</x:f>
        <x:v>0</x:v>
      </x:c>
      <x:c r="AB192" s="111" t="n">
        <x:f>IFERROR(VLOOKUP($A192,'Jason FLEX'!$A$6:$N$268,10,FALSE),"")</x:f>
        <x:v>35</x:v>
      </x:c>
      <x:c r="AC192" s="111" t="n">
        <x:f>IFERROR(VLOOKUP($A192,'Jason FLEX'!$A$6:$N$268,11,FALSE),"")</x:f>
        <x:v>418</x:v>
      </x:c>
      <x:c r="AD192" s="111" t="n">
        <x:f>IFERROR(VLOOKUP($A192,'Jason FLEX'!$A$6:$N$268,12,FALSE),"")</x:f>
        <x:v>3</x:v>
      </x:c>
      <x:c r="AE192" s="111" t="n">
        <x:f>IFERROR(VLOOKUP($A192,'Jason FLEX'!$A$6:$N$268,13,FALSE),"")</x:f>
        <x:v>0</x:v>
      </x:c>
      <x:c r="AF192" s="110" t="n">
        <x:f>IF(COUNT(E192,N192,W192)=0,"",AVERAGE(E192,N192,W192))</x:f>
        <x:v>185.66666666666666</x:v>
      </x:c>
      <x:c r="AG192" s="110" t="n">
        <x:f>IF(COUNT(E192,N192,W192)=0,"",MAX(E192,N192,W192)-MIN(E192,N192,W192))</x:f>
        <x:v>20</x:v>
      </x:c>
      <x:c r="AH192" s="110" t="n">
        <x:f>IF(COUNT(F192,O192,X192)=0,"",AVERAGE(F192,O192,X192))</x:f>
        <x:v>5.133333333333333</x:v>
      </x:c>
      <x:c r="AI192" s="112" t="n">
        <x:f>IF(COUNT(G192,P192,Y192)=0,"",AVERAGE(G192,P192,Y192))</x:f>
        <x:v>2.3333333333333335</x:v>
      </x:c>
      <x:c r="AJ192" s="112" t="n">
        <x:f>IF(COUNT(H192,Q192,Z192)=0,"",AVERAGE(H192,Q192,Z192))</x:f>
        <x:v>12</x:v>
      </x:c>
      <x:c r="AK192" s="112" t="n">
        <x:f>IF(COUNT(I192,R192,AA192)=0,"",AVERAGE(I192,R192,AA192))</x:f>
        <x:v>0</x:v>
      </x:c>
      <x:c r="AL192" s="112" t="n">
        <x:f>IF(COUNT(J192,S192,AB192)=0,"",AVERAGE(J192,S192,AB192))</x:f>
        <x:v>33</x:v>
      </x:c>
      <x:c r="AM192" s="112" t="n">
        <x:f>IF(COUNT(K192,T192,AC192)=0,"",AVERAGE(K192,T192,AC192))</x:f>
        <x:v>389.3333333333333</x:v>
      </x:c>
      <x:c r="AN192" s="112" t="n">
        <x:f>IF(COUNT(L192,U192,AD192)=0,"",AVERAGE(L192,U192,AD192))</x:f>
        <x:v>2.3333333333333335</x:v>
      </x:c>
      <x:c r="AO192" s="112" t="n">
        <x:f>IF(COUNT(M192,V192,AE192)=0,"",AVERAGE(M192,V192,AE192))</x:f>
        <x:v>0.3333333333333333</x:v>
      </x:c>
    </x:row>
    <x:row r="193">
      <x:c r="A193" s="107" t="str">
        <x:v>Malik Davis</x:v>
      </x:c>
      <x:c r="B193" s="108" t="str">
        <x:v>RB</x:v>
      </x:c>
      <x:c r="C193" s="108" t="str">
        <x:v>DAL</x:v>
      </x:c>
      <x:c r="D193" s="109" t="n">
        <x:v>14</x:v>
      </x:c>
      <x:c r="E193" s="109" t="n">
        <x:f>IFERROR(VLOOKUP($A193,'Mike FLEX'!$A$6:$N$278,5,FALSE),"")</x:f>
        <x:v>227</x:v>
      </x:c>
      <x:c r="F193" s="110" t="n">
        <x:f>IFERROR(VLOOKUP($A193,'Mike FLEX'!$A$6:$N$278,6,FALSE),"")</x:f>
        <x:v>3.1</x:v>
      </x:c>
      <x:c r="G193" s="111" t="n">
        <x:f>IFERROR(VLOOKUP($A193,'Mike FLEX'!$A$6:$N$278,7,FALSE),"")</x:f>
        <x:v>79</x:v>
      </x:c>
      <x:c r="H193" s="111" t="n">
        <x:f>IFERROR(VLOOKUP($A193,'Mike FLEX'!$A$6:$N$278,8,FALSE),"")</x:f>
        <x:v>370</x:v>
      </x:c>
      <x:c r="I193" s="111" t="n">
        <x:f>IFERROR(VLOOKUP($A193,'Mike FLEX'!$A$6:$N$278,9,FALSE),"")</x:f>
        <x:v>3</x:v>
      </x:c>
      <x:c r="J193" s="111" t="n">
        <x:f>IFERROR(VLOOKUP($A193,'Mike FLEX'!$A$6:$N$278,10,FALSE),"")</x:f>
        <x:v>0</x:v>
      </x:c>
      <x:c r="K193" s="111" t="n">
        <x:f>IFERROR(VLOOKUP($A193,'Mike FLEX'!$A$6:$N$278,11,FALSE),"")</x:f>
        <x:v>0</x:v>
      </x:c>
      <x:c r="L193" s="111" t="n">
        <x:f>IFERROR(VLOOKUP($A193,'Mike FLEX'!$A$6:$N$278,12,FALSE),"")</x:f>
        <x:v>0</x:v>
      </x:c>
      <x:c r="M193" s="111" t="n">
        <x:f>IFERROR(VLOOKUP($A193,'Mike FLEX'!$A$6:$N$278,13,FALSE),"")</x:f>
        <x:v>0</x:v>
      </x:c>
      <x:c r="N193" s="109" t="n">
        <x:f>IFERROR(VLOOKUP($A193,'Andy FLEX'!$A$6:$N$278,5,FALSE),"")</x:f>
        <x:v>189</x:v>
      </x:c>
      <x:c r="O193" s="110" t="n">
        <x:f>IFERROR(VLOOKUP($A193,'Andy FLEX'!$A$6:$N$278,6,FALSE),"")</x:f>
        <x:v>5.2</x:v>
      </x:c>
      <x:c r="P193" s="111" t="n">
        <x:f>IFERROR(VLOOKUP($A193,'Andy FLEX'!$A$6:$N$278,7,FALSE),"")</x:f>
        <x:v>80</x:v>
      </x:c>
      <x:c r="Q193" s="111" t="n">
        <x:f>IFERROR(VLOOKUP($A193,'Andy FLEX'!$A$6:$N$278,8,FALSE),"")</x:f>
        <x:v>331</x:v>
      </x:c>
      <x:c r="R193" s="111" t="n">
        <x:f>IFERROR(VLOOKUP($A193,'Andy FLEX'!$A$6:$N$278,9,FALSE),"")</x:f>
        <x:v>3</x:v>
      </x:c>
      <x:c r="S193" s="111" t="n">
        <x:f>IFERROR(VLOOKUP($A193,'Andy FLEX'!$A$6:$N$278,10,FALSE),"")</x:f>
        <x:v>23</x:v>
      </x:c>
      <x:c r="T193" s="111" t="n">
        <x:f>IFERROR(VLOOKUP($A193,'Andy FLEX'!$A$6:$N$278,11,FALSE),"")</x:f>
        <x:v>159</x:v>
      </x:c>
      <x:c r="U193" s="111" t="n">
        <x:f>IFERROR(VLOOKUP($A193,'Andy FLEX'!$A$6:$N$278,12,FALSE),"")</x:f>
        <x:v>0</x:v>
      </x:c>
      <x:c r="V193" s="111" t="n">
        <x:f>IFERROR(VLOOKUP($A193,'Andy FLEX'!$A$6:$N$278,13,FALSE),"")</x:f>
        <x:v>2</x:v>
      </x:c>
      <x:c r="W193" s="109" t="n">
        <x:f>IFERROR(VLOOKUP($A193,'Jason FLEX'!$A$6:$N$268,5,FALSE),"")</x:f>
        <x:v>146</x:v>
      </x:c>
      <x:c r="X193" s="110" t="n">
        <x:f>IFERROR(VLOOKUP($A193,'Jason FLEX'!$A$6:$N$268,6,FALSE),"")</x:f>
        <x:v>7</x:v>
      </x:c>
      <x:c r="Y193" s="111" t="n">
        <x:f>IFERROR(VLOOKUP($A193,'Jason FLEX'!$A$6:$N$268,7,FALSE),"")</x:f>
        <x:v>145</x:v>
      </x:c>
      <x:c r="Z193" s="111" t="n">
        <x:f>IFERROR(VLOOKUP($A193,'Jason FLEX'!$A$6:$N$268,8,FALSE),"")</x:f>
        <x:v>696</x:v>
      </x:c>
      <x:c r="AA193" s="111" t="n">
        <x:f>IFERROR(VLOOKUP($A193,'Jason FLEX'!$A$6:$N$268,9,FALSE),"")</x:f>
        <x:v>3</x:v>
      </x:c>
      <x:c r="AB193" s="111" t="n">
        <x:f>IFERROR(VLOOKUP($A193,'Jason FLEX'!$A$6:$N$268,10,FALSE),"")</x:f>
        <x:v>20</x:v>
      </x:c>
      <x:c r="AC193" s="111" t="n">
        <x:f>IFERROR(VLOOKUP($A193,'Jason FLEX'!$A$6:$N$268,11,FALSE),"")</x:f>
        <x:v>135</x:v>
      </x:c>
      <x:c r="AD193" s="111" t="n">
        <x:f>IFERROR(VLOOKUP($A193,'Jason FLEX'!$A$6:$N$268,12,FALSE),"")</x:f>
        <x:v>0</x:v>
      </x:c>
      <x:c r="AE193" s="111" t="n">
        <x:f>IFERROR(VLOOKUP($A193,'Jason FLEX'!$A$6:$N$268,13,FALSE),"")</x:f>
        <x:v>1</x:v>
      </x:c>
      <x:c r="AF193" s="110" t="n">
        <x:f>IF(COUNT(E193,N193,W193)=0,"",AVERAGE(E193,N193,W193))</x:f>
        <x:v>187.33333333333334</x:v>
      </x:c>
      <x:c r="AG193" s="110" t="n">
        <x:f>IF(COUNT(E193,N193,W193)=0,"",MAX(E193,N193,W193)-MIN(E193,N193,W193))</x:f>
        <x:v>81</x:v>
      </x:c>
      <x:c r="AH193" s="110" t="n">
        <x:f>IF(COUNT(F193,O193,X193)=0,"",AVERAGE(F193,O193,X193))</x:f>
        <x:v>5.1000000000000005</x:v>
      </x:c>
      <x:c r="AI193" s="112" t="n">
        <x:f>IF(COUNT(G193,P193,Y193)=0,"",AVERAGE(G193,P193,Y193))</x:f>
        <x:v>101.33333333333333</x:v>
      </x:c>
      <x:c r="AJ193" s="112" t="n">
        <x:f>IF(COUNT(H193,Q193,Z193)=0,"",AVERAGE(H193,Q193,Z193))</x:f>
        <x:v>465.6666666666667</x:v>
      </x:c>
      <x:c r="AK193" s="112" t="n">
        <x:f>IF(COUNT(I193,R193,AA193)=0,"",AVERAGE(I193,R193,AA193))</x:f>
        <x:v>3</x:v>
      </x:c>
      <x:c r="AL193" s="112" t="n">
        <x:f>IF(COUNT(J193,S193,AB193)=0,"",AVERAGE(J193,S193,AB193))</x:f>
        <x:v>14.333333333333334</x:v>
      </x:c>
      <x:c r="AM193" s="112" t="n">
        <x:f>IF(COUNT(K193,T193,AC193)=0,"",AVERAGE(K193,T193,AC193))</x:f>
        <x:v>98</x:v>
      </x:c>
      <x:c r="AN193" s="112" t="n">
        <x:f>IF(COUNT(L193,U193,AD193)=0,"",AVERAGE(L193,U193,AD193))</x:f>
        <x:v>0</x:v>
      </x:c>
      <x:c r="AO193" s="112" t="n">
        <x:f>IF(COUNT(M193,V193,AE193)=0,"",AVERAGE(M193,V193,AE193))</x:f>
        <x:v>1</x:v>
      </x:c>
    </x:row>
    <x:row r="194">
      <x:c r="A194" s="107" t="str">
        <x:v>Jordan James</x:v>
      </x:c>
      <x:c r="B194" s="108" t="str">
        <x:v>RB</x:v>
      </x:c>
      <x:c r="C194" s="108" t="str">
        <x:v>SF</x:v>
      </x:c>
      <x:c r="D194" s="109" t="n">
        <x:v>8</x:v>
      </x:c>
      <x:c r="E194" s="109" t="n">
        <x:f>IFERROR(VLOOKUP($A194,'Mike FLEX'!$A$6:$N$278,5,FALSE),"")</x:f>
        <x:v>263</x:v>
      </x:c>
      <x:c r="F194" s="110" t="n">
        <x:f>IFERROR(VLOOKUP($A194,'Mike FLEX'!$A$6:$N$278,6,FALSE),"")</x:f>
        <x:v>1.3</x:v>
      </x:c>
      <x:c r="G194" s="111" t="n">
        <x:f>IFERROR(VLOOKUP($A194,'Mike FLEX'!$A$6:$N$278,7,FALSE),"")</x:f>
        <x:v>37</x:v>
      </x:c>
      <x:c r="H194" s="111" t="n">
        <x:f>IFERROR(VLOOKUP($A194,'Mike FLEX'!$A$6:$N$278,8,FALSE),"")</x:f>
        <x:v>160</x:v>
      </x:c>
      <x:c r="I194" s="111" t="n">
        <x:f>IFERROR(VLOOKUP($A194,'Mike FLEX'!$A$6:$N$278,9,FALSE),"")</x:f>
        <x:v>1</x:v>
      </x:c>
      <x:c r="J194" s="111" t="n">
        <x:f>IFERROR(VLOOKUP($A194,'Mike FLEX'!$A$6:$N$278,10,FALSE),"")</x:f>
        <x:v>0</x:v>
      </x:c>
      <x:c r="K194" s="111" t="n">
        <x:f>IFERROR(VLOOKUP($A194,'Mike FLEX'!$A$6:$N$278,11,FALSE),"")</x:f>
        <x:v>0</x:v>
      </x:c>
      <x:c r="L194" s="111" t="n">
        <x:f>IFERROR(VLOOKUP($A194,'Mike FLEX'!$A$6:$N$278,12,FALSE),"")</x:f>
        <x:v>0</x:v>
      </x:c>
      <x:c r="M194" s="111" t="n">
        <x:f>IFERROR(VLOOKUP($A194,'Mike FLEX'!$A$6:$N$278,13,FALSE),"")</x:f>
        <x:v>0</x:v>
      </x:c>
      <x:c r="N194" s="109" t="n">
        <x:f>IFERROR(VLOOKUP($A194,'Andy FLEX'!$A$6:$N$278,5,FALSE),"")</x:f>
        <x:v>122</x:v>
      </x:c>
      <x:c r="O194" s="110" t="n">
        <x:f>IFERROR(VLOOKUP($A194,'Andy FLEX'!$A$6:$N$278,6,FALSE),"")</x:f>
        <x:v>8.1</x:v>
      </x:c>
      <x:c r="P194" s="111" t="n">
        <x:f>IFERROR(VLOOKUP($A194,'Andy FLEX'!$A$6:$N$278,7,FALSE),"")</x:f>
        <x:v>132</x:v>
      </x:c>
      <x:c r="Q194" s="111" t="n">
        <x:f>IFERROR(VLOOKUP($A194,'Andy FLEX'!$A$6:$N$278,8,FALSE),"")</x:f>
        <x:v>523</x:v>
      </x:c>
      <x:c r="R194" s="111" t="n">
        <x:f>IFERROR(VLOOKUP($A194,'Andy FLEX'!$A$6:$N$278,9,FALSE),"")</x:f>
        <x:v>5</x:v>
      </x:c>
      <x:c r="S194" s="111" t="n">
        <x:f>IFERROR(VLOOKUP($A194,'Andy FLEX'!$A$6:$N$278,10,FALSE),"")</x:f>
        <x:v>30</x:v>
      </x:c>
      <x:c r="T194" s="111" t="n">
        <x:f>IFERROR(VLOOKUP($A194,'Andy FLEX'!$A$6:$N$278,11,FALSE),"")</x:f>
        <x:v>228</x:v>
      </x:c>
      <x:c r="U194" s="111" t="n">
        <x:f>IFERROR(VLOOKUP($A194,'Andy FLEX'!$A$6:$N$278,12,FALSE),"")</x:f>
        <x:v>2</x:v>
      </x:c>
      <x:c r="V194" s="111" t="n">
        <x:f>IFERROR(VLOOKUP($A194,'Andy FLEX'!$A$6:$N$278,13,FALSE),"")</x:f>
        <x:v>2</x:v>
      </x:c>
      <x:c r="W194" s="109" t="n">
        <x:f>IFERROR(VLOOKUP($A194,'Jason FLEX'!$A$6:$N$268,5,FALSE),"")</x:f>
        <x:v>180</x:v>
      </x:c>
      <x:c r="X194" s="110" t="n">
        <x:f>IFERROR(VLOOKUP($A194,'Jason FLEX'!$A$6:$N$268,6,FALSE),"")</x:f>
        <x:v>5.5</x:v>
      </x:c>
      <x:c r="Y194" s="111" t="n">
        <x:f>IFERROR(VLOOKUP($A194,'Jason FLEX'!$A$6:$N$268,7,FALSE),"")</x:f>
        <x:v>115</x:v>
      </x:c>
      <x:c r="Z194" s="111" t="n">
        <x:f>IFERROR(VLOOKUP($A194,'Jason FLEX'!$A$6:$N$268,8,FALSE),"")</x:f>
        <x:v>535</x:v>
      </x:c>
      <x:c r="AA194" s="111" t="n">
        <x:f>IFERROR(VLOOKUP($A194,'Jason FLEX'!$A$6:$N$268,9,FALSE),"")</x:f>
        <x:v>4</x:v>
      </x:c>
      <x:c r="AB194" s="111" t="n">
        <x:f>IFERROR(VLOOKUP($A194,'Jason FLEX'!$A$6:$N$268,10,FALSE),"")</x:f>
        <x:v>8</x:v>
      </x:c>
      <x:c r="AC194" s="111" t="n">
        <x:f>IFERROR(VLOOKUP($A194,'Jason FLEX'!$A$6:$N$268,11,FALSE),"")</x:f>
        <x:v>65</x:v>
      </x:c>
      <x:c r="AD194" s="111" t="n">
        <x:f>IFERROR(VLOOKUP($A194,'Jason FLEX'!$A$6:$N$268,12,FALSE),"")</x:f>
        <x:v>0</x:v>
      </x:c>
      <x:c r="AE194" s="111" t="n">
        <x:f>IFERROR(VLOOKUP($A194,'Jason FLEX'!$A$6:$N$268,13,FALSE),"")</x:f>
        <x:v>0</x:v>
      </x:c>
      <x:c r="AF194" s="110" t="n">
        <x:f>IF(COUNT(E194,N194,W194)=0,"",AVERAGE(E194,N194,W194))</x:f>
        <x:v>188.33333333333334</x:v>
      </x:c>
      <x:c r="AG194" s="110" t="n">
        <x:f>IF(COUNT(E194,N194,W194)=0,"",MAX(E194,N194,W194)-MIN(E194,N194,W194))</x:f>
        <x:v>141</x:v>
      </x:c>
      <x:c r="AH194" s="110" t="n">
        <x:f>IF(COUNT(F194,O194,X194)=0,"",AVERAGE(F194,O194,X194))</x:f>
        <x:v>4.966666666666667</x:v>
      </x:c>
      <x:c r="AI194" s="112" t="n">
        <x:f>IF(COUNT(G194,P194,Y194)=0,"",AVERAGE(G194,P194,Y194))</x:f>
        <x:v>94.66666666666667</x:v>
      </x:c>
      <x:c r="AJ194" s="112" t="n">
        <x:f>IF(COUNT(H194,Q194,Z194)=0,"",AVERAGE(H194,Q194,Z194))</x:f>
        <x:v>406</x:v>
      </x:c>
      <x:c r="AK194" s="112" t="n">
        <x:f>IF(COUNT(I194,R194,AA194)=0,"",AVERAGE(I194,R194,AA194))</x:f>
        <x:v>3.3333333333333335</x:v>
      </x:c>
      <x:c r="AL194" s="112" t="n">
        <x:f>IF(COUNT(J194,S194,AB194)=0,"",AVERAGE(J194,S194,AB194))</x:f>
        <x:v>12.666666666666666</x:v>
      </x:c>
      <x:c r="AM194" s="112" t="n">
        <x:f>IF(COUNT(K194,T194,AC194)=0,"",AVERAGE(K194,T194,AC194))</x:f>
        <x:v>97.66666666666667</x:v>
      </x:c>
      <x:c r="AN194" s="112" t="n">
        <x:f>IF(COUNT(L194,U194,AD194)=0,"",AVERAGE(L194,U194,AD194))</x:f>
        <x:v>0.6666666666666666</x:v>
      </x:c>
      <x:c r="AO194" s="112" t="n">
        <x:f>IF(COUNT(M194,V194,AE194)=0,"",AVERAGE(M194,V194,AE194))</x:f>
        <x:v>0.6666666666666666</x:v>
      </x:c>
    </x:row>
    <x:row r="195">
      <x:c r="A195" s="107" t="str">
        <x:v>Mason Taylor</x:v>
      </x:c>
      <x:c r="B195" s="108" t="str">
        <x:v>TE</x:v>
      </x:c>
      <x:c r="C195" s="108" t="str">
        <x:v>NYJ</x:v>
      </x:c>
      <x:c r="D195" s="109" t="n">
        <x:v>13</x:v>
      </x:c>
      <x:c r="E195" s="109" t="n">
        <x:f>IFERROR(VLOOKUP($A195,'Mike FLEX'!$A$6:$N$278,5,FALSE),"")</x:f>
        <x:v>168</x:v>
      </x:c>
      <x:c r="F195" s="110" t="n">
        <x:f>IFERROR(VLOOKUP($A195,'Mike FLEX'!$A$6:$N$278,6,FALSE),"")</x:f>
        <x:v>5.5</x:v>
      </x:c>
      <x:c r="G195" s="111" t="n">
        <x:f>IFERROR(VLOOKUP($A195,'Mike FLEX'!$A$6:$N$278,7,FALSE),"")</x:f>
        <x:v>0</x:v>
      </x:c>
      <x:c r="H195" s="111" t="n">
        <x:f>IFERROR(VLOOKUP($A195,'Mike FLEX'!$A$6:$N$278,8,FALSE),"")</x:f>
        <x:v>0</x:v>
      </x:c>
      <x:c r="I195" s="111" t="n">
        <x:f>IFERROR(VLOOKUP($A195,'Mike FLEX'!$A$6:$N$278,9,FALSE),"")</x:f>
        <x:v>0</x:v>
      </x:c>
      <x:c r="J195" s="111" t="n">
        <x:f>IFERROR(VLOOKUP($A195,'Mike FLEX'!$A$6:$N$278,10,FALSE),"")</x:f>
        <x:v>44</x:v>
      </x:c>
      <x:c r="K195" s="111" t="n">
        <x:f>IFERROR(VLOOKUP($A195,'Mike FLEX'!$A$6:$N$278,11,FALSE),"")</x:f>
        <x:v>370</x:v>
      </x:c>
      <x:c r="L195" s="111" t="n">
        <x:f>IFERROR(VLOOKUP($A195,'Mike FLEX'!$A$6:$N$278,12,FALSE),"")</x:f>
        <x:v>2</x:v>
      </x:c>
      <x:c r="M195" s="111" t="n">
        <x:f>IFERROR(VLOOKUP($A195,'Mike FLEX'!$A$6:$N$278,13,FALSE),"")</x:f>
        <x:v>0</x:v>
      </x:c>
      <x:c r="N195" s="109" t="n">
        <x:f>IFERROR(VLOOKUP($A195,'Andy FLEX'!$A$6:$N$278,5,FALSE),"")</x:f>
        <x:v>184</x:v>
      </x:c>
      <x:c r="O195" s="110" t="n">
        <x:f>IFERROR(VLOOKUP($A195,'Andy FLEX'!$A$6:$N$278,6,FALSE),"")</x:f>
        <x:v>5.4</x:v>
      </x:c>
      <x:c r="P195" s="111" t="n">
        <x:f>IFERROR(VLOOKUP($A195,'Andy FLEX'!$A$6:$N$278,7,FALSE),"")</x:f>
        <x:v>0</x:v>
      </x:c>
      <x:c r="Q195" s="111" t="n">
        <x:f>IFERROR(VLOOKUP($A195,'Andy FLEX'!$A$6:$N$278,8,FALSE),"")</x:f>
        <x:v>0</x:v>
      </x:c>
      <x:c r="R195" s="111" t="n">
        <x:f>IFERROR(VLOOKUP($A195,'Andy FLEX'!$A$6:$N$278,9,FALSE),"")</x:f>
        <x:v>0</x:v>
      </x:c>
      <x:c r="S195" s="111" t="n">
        <x:f>IFERROR(VLOOKUP($A195,'Andy FLEX'!$A$6:$N$278,10,FALSE),"")</x:f>
        <x:v>43</x:v>
      </x:c>
      <x:c r="T195" s="111" t="n">
        <x:f>IFERROR(VLOOKUP($A195,'Andy FLEX'!$A$6:$N$278,11,FALSE),"")</x:f>
        <x:v>365</x:v>
      </x:c>
      <x:c r="U195" s="111" t="n">
        <x:f>IFERROR(VLOOKUP($A195,'Andy FLEX'!$A$6:$N$278,12,FALSE),"")</x:f>
        <x:v>2</x:v>
      </x:c>
      <x:c r="V195" s="111" t="n">
        <x:f>IFERROR(VLOOKUP($A195,'Andy FLEX'!$A$6:$N$278,13,FALSE),"")</x:f>
        <x:v>0</x:v>
      </x:c>
      <x:c r="W195" s="109" t="n">
        <x:f>IFERROR(VLOOKUP($A195,'Jason FLEX'!$A$6:$N$268,5,FALSE),"")</x:f>
        <x:v>213</x:v>
      </x:c>
      <x:c r="X195" s="110" t="n">
        <x:f>IFERROR(VLOOKUP($A195,'Jason FLEX'!$A$6:$N$268,6,FALSE),"")</x:f>
        <x:v>4</x:v>
      </x:c>
      <x:c r="Y195" s="111" t="n">
        <x:f>IFERROR(VLOOKUP($A195,'Jason FLEX'!$A$6:$N$268,7,FALSE),"")</x:f>
        <x:v>0</x:v>
      </x:c>
      <x:c r="Z195" s="111" t="n">
        <x:f>IFERROR(VLOOKUP($A195,'Jason FLEX'!$A$6:$N$268,8,FALSE),"")</x:f>
        <x:v>0</x:v>
      </x:c>
      <x:c r="AA195" s="111" t="n">
        <x:f>IFERROR(VLOOKUP($A195,'Jason FLEX'!$A$6:$N$268,9,FALSE),"")</x:f>
        <x:v>0</x:v>
      </x:c>
      <x:c r="AB195" s="111" t="n">
        <x:f>IFERROR(VLOOKUP($A195,'Jason FLEX'!$A$6:$N$268,10,FALSE),"")</x:f>
        <x:v>29</x:v>
      </x:c>
      <x:c r="AC195" s="111" t="n">
        <x:f>IFERROR(VLOOKUP($A195,'Jason FLEX'!$A$6:$N$268,11,FALSE),"")</x:f>
        <x:v>244</x:v>
      </x:c>
      <x:c r="AD195" s="111" t="n">
        <x:f>IFERROR(VLOOKUP($A195,'Jason FLEX'!$A$6:$N$268,12,FALSE),"")</x:f>
        <x:v>2</x:v>
      </x:c>
      <x:c r="AE195" s="111" t="n">
        <x:f>IFERROR(VLOOKUP($A195,'Jason FLEX'!$A$6:$N$268,13,FALSE),"")</x:f>
        <x:v>0</x:v>
      </x:c>
      <x:c r="AF195" s="110" t="n">
        <x:f>IF(COUNT(E195,N195,W195)=0,"",AVERAGE(E195,N195,W195))</x:f>
        <x:v>188.33333333333334</x:v>
      </x:c>
      <x:c r="AG195" s="110" t="n">
        <x:f>IF(COUNT(E195,N195,W195)=0,"",MAX(E195,N195,W195)-MIN(E195,N195,W195))</x:f>
        <x:v>45</x:v>
      </x:c>
      <x:c r="AH195" s="110" t="n">
        <x:f>IF(COUNT(F195,O195,X195)=0,"",AVERAGE(F195,O195,X195))</x:f>
        <x:v>4.966666666666667</x:v>
      </x:c>
      <x:c r="AI195" s="112" t="n">
        <x:f>IF(COUNT(G195,P195,Y195)=0,"",AVERAGE(G195,P195,Y195))</x:f>
        <x:v>0</x:v>
      </x:c>
      <x:c r="AJ195" s="112" t="n">
        <x:f>IF(COUNT(H195,Q195,Z195)=0,"",AVERAGE(H195,Q195,Z195))</x:f>
        <x:v>0</x:v>
      </x:c>
      <x:c r="AK195" s="112" t="n">
        <x:f>IF(COUNT(I195,R195,AA195)=0,"",AVERAGE(I195,R195,AA195))</x:f>
        <x:v>0</x:v>
      </x:c>
      <x:c r="AL195" s="112" t="n">
        <x:f>IF(COUNT(J195,S195,AB195)=0,"",AVERAGE(J195,S195,AB195))</x:f>
        <x:v>38.666666666666664</x:v>
      </x:c>
      <x:c r="AM195" s="112" t="n">
        <x:f>IF(COUNT(K195,T195,AC195)=0,"",AVERAGE(K195,T195,AC195))</x:f>
        <x:v>326.3333333333333</x:v>
      </x:c>
      <x:c r="AN195" s="112" t="n">
        <x:f>IF(COUNT(L195,U195,AD195)=0,"",AVERAGE(L195,U195,AD195))</x:f>
        <x:v>2</x:v>
      </x:c>
      <x:c r="AO195" s="112" t="n">
        <x:f>IF(COUNT(M195,V195,AE195)=0,"",AVERAGE(M195,V195,AE195))</x:f>
        <x:v>0</x:v>
      </x:c>
    </x:row>
    <x:row r="196">
      <x:c r="A196" s="107" t="str">
        <x:v>Justice Hill</x:v>
      </x:c>
      <x:c r="B196" s="108" t="str">
        <x:v>RB</x:v>
      </x:c>
      <x:c r="C196" s="108" t="str">
        <x:v>BAL</x:v>
      </x:c>
      <x:c r="D196" s="109" t="n">
        <x:v>13</x:v>
      </x:c>
      <x:c r="E196" s="109" t="n">
        <x:f>IFERROR(VLOOKUP($A196,'Mike FLEX'!$A$6:$N$278,5,FALSE),"")</x:f>
        <x:v>179</x:v>
      </x:c>
      <x:c r="F196" s="110" t="n">
        <x:f>IFERROR(VLOOKUP($A196,'Mike FLEX'!$A$6:$N$278,6,FALSE),"")</x:f>
        <x:v>4.8</x:v>
      </x:c>
      <x:c r="G196" s="111" t="n">
        <x:f>IFERROR(VLOOKUP($A196,'Mike FLEX'!$A$6:$N$278,7,FALSE),"")</x:f>
        <x:v>20</x:v>
      </x:c>
      <x:c r="H196" s="111" t="n">
        <x:f>IFERROR(VLOOKUP($A196,'Mike FLEX'!$A$6:$N$278,8,FALSE),"")</x:f>
        <x:v>97</x:v>
      </x:c>
      <x:c r="I196" s="111" t="n">
        <x:f>IFERROR(VLOOKUP($A196,'Mike FLEX'!$A$6:$N$278,9,FALSE),"")</x:f>
        <x:v>1</x:v>
      </x:c>
      <x:c r="J196" s="111" t="n">
        <x:f>IFERROR(VLOOKUP($A196,'Mike FLEX'!$A$6:$N$278,10,FALSE),"")</x:f>
        <x:v>35</x:v>
      </x:c>
      <x:c r="K196" s="111" t="n">
        <x:f>IFERROR(VLOOKUP($A196,'Mike FLEX'!$A$6:$N$278,11,FALSE),"")</x:f>
        <x:v>274</x:v>
      </x:c>
      <x:c r="L196" s="111" t="n">
        <x:f>IFERROR(VLOOKUP($A196,'Mike FLEX'!$A$6:$N$278,12,FALSE),"")</x:f>
        <x:v>1</x:v>
      </x:c>
      <x:c r="M196" s="111" t="n">
        <x:f>IFERROR(VLOOKUP($A196,'Mike FLEX'!$A$6:$N$278,13,FALSE),"")</x:f>
        <x:v>1</x:v>
      </x:c>
      <x:c r="N196" s="109" t="n">
        <x:f>IFERROR(VLOOKUP($A196,'Andy FLEX'!$A$6:$N$278,5,FALSE),"")</x:f>
        <x:v>196</x:v>
      </x:c>
      <x:c r="O196" s="110" t="n">
        <x:f>IFERROR(VLOOKUP($A196,'Andy FLEX'!$A$6:$N$278,6,FALSE),"")</x:f>
        <x:v>5</x:v>
      </x:c>
      <x:c r="P196" s="111" t="n">
        <x:f>IFERROR(VLOOKUP($A196,'Andy FLEX'!$A$6:$N$278,7,FALSE),"")</x:f>
        <x:v>30</x:v>
      </x:c>
      <x:c r="Q196" s="111" t="n">
        <x:f>IFERROR(VLOOKUP($A196,'Andy FLEX'!$A$6:$N$278,8,FALSE),"")</x:f>
        <x:v>174</x:v>
      </x:c>
      <x:c r="R196" s="111" t="n">
        <x:f>IFERROR(VLOOKUP($A196,'Andy FLEX'!$A$6:$N$278,9,FALSE),"")</x:f>
        <x:v>3</x:v>
      </x:c>
      <x:c r="S196" s="111" t="n">
        <x:f>IFERROR(VLOOKUP($A196,'Andy FLEX'!$A$6:$N$278,10,FALSE),"")</x:f>
        <x:v>25</x:v>
      </x:c>
      <x:c r="T196" s="111" t="n">
        <x:f>IFERROR(VLOOKUP($A196,'Andy FLEX'!$A$6:$N$278,11,FALSE),"")</x:f>
        <x:v>150</x:v>
      </x:c>
      <x:c r="U196" s="111" t="n">
        <x:f>IFERROR(VLOOKUP($A196,'Andy FLEX'!$A$6:$N$278,12,FALSE),"")</x:f>
        <x:v>2</x:v>
      </x:c>
      <x:c r="V196" s="111" t="n">
        <x:f>IFERROR(VLOOKUP($A196,'Andy FLEX'!$A$6:$N$278,13,FALSE),"")</x:f>
        <x:v>0</x:v>
      </x:c>
      <x:c r="W196" s="109" t="n">
        <x:f>IFERROR(VLOOKUP($A196,'Jason FLEX'!$A$6:$N$268,5,FALSE),"")</x:f>
        <x:v>192</x:v>
      </x:c>
      <x:c r="X196" s="110" t="n">
        <x:f>IFERROR(VLOOKUP($A196,'Jason FLEX'!$A$6:$N$268,6,FALSE),"")</x:f>
        <x:v>4.9</x:v>
      </x:c>
      <x:c r="Y196" s="111" t="n">
        <x:f>IFERROR(VLOOKUP($A196,'Jason FLEX'!$A$6:$N$268,7,FALSE),"")</x:f>
        <x:v>35</x:v>
      </x:c>
      <x:c r="Z196" s="111" t="n">
        <x:f>IFERROR(VLOOKUP($A196,'Jason FLEX'!$A$6:$N$268,8,FALSE),"")</x:f>
        <x:v>180</x:v>
      </x:c>
      <x:c r="AA196" s="111" t="n">
        <x:f>IFERROR(VLOOKUP($A196,'Jason FLEX'!$A$6:$N$268,9,FALSE),"")</x:f>
        <x:v>1</x:v>
      </x:c>
      <x:c r="AB196" s="111" t="n">
        <x:f>IFERROR(VLOOKUP($A196,'Jason FLEX'!$A$6:$N$268,10,FALSE),"")</x:f>
        <x:v>27</x:v>
      </x:c>
      <x:c r="AC196" s="111" t="n">
        <x:f>IFERROR(VLOOKUP($A196,'Jason FLEX'!$A$6:$N$268,11,FALSE),"")</x:f>
        <x:v>219</x:v>
      </x:c>
      <x:c r="AD196" s="111" t="n">
        <x:f>IFERROR(VLOOKUP($A196,'Jason FLEX'!$A$6:$N$268,12,FALSE),"")</x:f>
        <x:v>2</x:v>
      </x:c>
      <x:c r="AE196" s="111" t="n">
        <x:f>IFERROR(VLOOKUP($A196,'Jason FLEX'!$A$6:$N$268,13,FALSE),"")</x:f>
        <x:v>0</x:v>
      </x:c>
      <x:c r="AF196" s="110" t="n">
        <x:f>IF(COUNT(E196,N196,W196)=0,"",AVERAGE(E196,N196,W196))</x:f>
        <x:v>189</x:v>
      </x:c>
      <x:c r="AG196" s="110" t="n">
        <x:f>IF(COUNT(E196,N196,W196)=0,"",MAX(E196,N196,W196)-MIN(E196,N196,W196))</x:f>
        <x:v>17</x:v>
      </x:c>
      <x:c r="AH196" s="110" t="n">
        <x:f>IF(COUNT(F196,O196,X196)=0,"",AVERAGE(F196,O196,X196))</x:f>
        <x:v>4.9</x:v>
      </x:c>
      <x:c r="AI196" s="112" t="n">
        <x:f>IF(COUNT(G196,P196,Y196)=0,"",AVERAGE(G196,P196,Y196))</x:f>
        <x:v>28.333333333333332</x:v>
      </x:c>
      <x:c r="AJ196" s="112" t="n">
        <x:f>IF(COUNT(H196,Q196,Z196)=0,"",AVERAGE(H196,Q196,Z196))</x:f>
        <x:v>150.33333333333334</x:v>
      </x:c>
      <x:c r="AK196" s="112" t="n">
        <x:f>IF(COUNT(I196,R196,AA196)=0,"",AVERAGE(I196,R196,AA196))</x:f>
        <x:v>1.6666666666666667</x:v>
      </x:c>
      <x:c r="AL196" s="112" t="n">
        <x:f>IF(COUNT(J196,S196,AB196)=0,"",AVERAGE(J196,S196,AB196))</x:f>
        <x:v>29</x:v>
      </x:c>
      <x:c r="AM196" s="112" t="n">
        <x:f>IF(COUNT(K196,T196,AC196)=0,"",AVERAGE(K196,T196,AC196))</x:f>
        <x:v>214.33333333333334</x:v>
      </x:c>
      <x:c r="AN196" s="112" t="n">
        <x:f>IF(COUNT(L196,U196,AD196)=0,"",AVERAGE(L196,U196,AD196))</x:f>
        <x:v>1.6666666666666667</x:v>
      </x:c>
      <x:c r="AO196" s="112" t="n">
        <x:f>IF(COUNT(M196,V196,AE196)=0,"",AVERAGE(M196,V196,AE196))</x:f>
        <x:v>0.3333333333333333</x:v>
      </x:c>
    </x:row>
    <x:row r="197">
      <x:c r="A197" s="107" t="str">
        <x:v>Terrance Ferguson</x:v>
      </x:c>
      <x:c r="B197" s="108" t="str">
        <x:v>TE</x:v>
      </x:c>
      <x:c r="C197" s="108" t="str">
        <x:v>LAR</x:v>
      </x:c>
      <x:c r="D197" s="109" t="n">
        <x:v>11</x:v>
      </x:c>
      <x:c r="E197" s="109" t="n">
        <x:f>IFERROR(VLOOKUP($A197,'Mike FLEX'!$A$6:$N$278,5,FALSE),"")</x:f>
        <x:v>176</x:v>
      </x:c>
      <x:c r="F197" s="110" t="n">
        <x:f>IFERROR(VLOOKUP($A197,'Mike FLEX'!$A$6:$N$278,6,FALSE),"")</x:f>
        <x:v>4.8</x:v>
      </x:c>
      <x:c r="G197" s="111" t="n">
        <x:f>IFERROR(VLOOKUP($A197,'Mike FLEX'!$A$6:$N$278,7,FALSE),"")</x:f>
        <x:v>0</x:v>
      </x:c>
      <x:c r="H197" s="111" t="n">
        <x:f>IFERROR(VLOOKUP($A197,'Mike FLEX'!$A$6:$N$278,8,FALSE),"")</x:f>
        <x:v>0</x:v>
      </x:c>
      <x:c r="I197" s="111" t="n">
        <x:f>IFERROR(VLOOKUP($A197,'Mike FLEX'!$A$6:$N$278,9,FALSE),"")</x:f>
        <x:v>0</x:v>
      </x:c>
      <x:c r="J197" s="111" t="n">
        <x:f>IFERROR(VLOOKUP($A197,'Mike FLEX'!$A$6:$N$278,10,FALSE),"")</x:f>
        <x:v>25</x:v>
      </x:c>
      <x:c r="K197" s="111" t="n">
        <x:f>IFERROR(VLOOKUP($A197,'Mike FLEX'!$A$6:$N$278,11,FALSE),"")</x:f>
        <x:v>388</x:v>
      </x:c>
      <x:c r="L197" s="111" t="n">
        <x:f>IFERROR(VLOOKUP($A197,'Mike FLEX'!$A$6:$N$278,12,FALSE),"")</x:f>
        <x:v>3</x:v>
      </x:c>
      <x:c r="M197" s="111" t="n">
        <x:f>IFERROR(VLOOKUP($A197,'Mike FLEX'!$A$6:$N$278,13,FALSE),"")</x:f>
        <x:v>0</x:v>
      </x:c>
      <x:c r="N197" s="109" t="n">
        <x:f>IFERROR(VLOOKUP($A197,'Andy FLEX'!$A$6:$N$278,5,FALSE),"")</x:f>
        <x:v>238</x:v>
      </x:c>
      <x:c r="O197" s="110" t="n">
        <x:f>IFERROR(VLOOKUP($A197,'Andy FLEX'!$A$6:$N$278,6,FALSE),"")</x:f>
        <x:v>3.5</x:v>
      </x:c>
      <x:c r="P197" s="111" t="n">
        <x:f>IFERROR(VLOOKUP($A197,'Andy FLEX'!$A$6:$N$278,7,FALSE),"")</x:f>
        <x:v>0</x:v>
      </x:c>
      <x:c r="Q197" s="111" t="n">
        <x:f>IFERROR(VLOOKUP($A197,'Andy FLEX'!$A$6:$N$278,8,FALSE),"")</x:f>
        <x:v>0</x:v>
      </x:c>
      <x:c r="R197" s="111" t="n">
        <x:f>IFERROR(VLOOKUP($A197,'Andy FLEX'!$A$6:$N$278,9,FALSE),"")</x:f>
        <x:v>0</x:v>
      </x:c>
      <x:c r="S197" s="111" t="n">
        <x:f>IFERROR(VLOOKUP($A197,'Andy FLEX'!$A$6:$N$278,10,FALSE),"")</x:f>
        <x:v>26</x:v>
      </x:c>
      <x:c r="T197" s="111" t="n">
        <x:f>IFERROR(VLOOKUP($A197,'Andy FLEX'!$A$6:$N$278,11,FALSE),"")</x:f>
        <x:v>257</x:v>
      </x:c>
      <x:c r="U197" s="111" t="n">
        <x:f>IFERROR(VLOOKUP($A197,'Andy FLEX'!$A$6:$N$278,12,FALSE),"")</x:f>
        <x:v>1</x:v>
      </x:c>
      <x:c r="V197" s="111" t="n">
        <x:f>IFERROR(VLOOKUP($A197,'Andy FLEX'!$A$6:$N$278,13,FALSE),"")</x:f>
        <x:v>0</x:v>
      </x:c>
      <x:c r="W197" s="109" t="n">
        <x:f>IFERROR(VLOOKUP($A197,'Jason FLEX'!$A$6:$N$268,5,FALSE),"")</x:f>
        <x:v>153</x:v>
      </x:c>
      <x:c r="X197" s="110" t="n">
        <x:f>IFERROR(VLOOKUP($A197,'Jason FLEX'!$A$6:$N$268,6,FALSE),"")</x:f>
        <x:v>6.8</x:v>
      </x:c>
      <x:c r="Y197" s="111" t="n">
        <x:f>IFERROR(VLOOKUP($A197,'Jason FLEX'!$A$6:$N$268,7,FALSE),"")</x:f>
        <x:v>0</x:v>
      </x:c>
      <x:c r="Z197" s="111" t="n">
        <x:f>IFERROR(VLOOKUP($A197,'Jason FLEX'!$A$6:$N$268,8,FALSE),"")</x:f>
        <x:v>0</x:v>
      </x:c>
      <x:c r="AA197" s="111" t="n">
        <x:f>IFERROR(VLOOKUP($A197,'Jason FLEX'!$A$6:$N$268,9,FALSE),"")</x:f>
        <x:v>0</x:v>
      </x:c>
      <x:c r="AB197" s="111" t="n">
        <x:f>IFERROR(VLOOKUP($A197,'Jason FLEX'!$A$6:$N$268,10,FALSE),"")</x:f>
        <x:v>34</x:v>
      </x:c>
      <x:c r="AC197" s="111" t="n">
        <x:f>IFERROR(VLOOKUP($A197,'Jason FLEX'!$A$6:$N$268,11,FALSE),"")</x:f>
        <x:v>519</x:v>
      </x:c>
      <x:c r="AD197" s="111" t="n">
        <x:f>IFERROR(VLOOKUP($A197,'Jason FLEX'!$A$6:$N$268,12,FALSE),"")</x:f>
        <x:v>5</x:v>
      </x:c>
      <x:c r="AE197" s="111" t="n">
        <x:f>IFERROR(VLOOKUP($A197,'Jason FLEX'!$A$6:$N$268,13,FALSE),"")</x:f>
        <x:v>0</x:v>
      </x:c>
      <x:c r="AF197" s="110" t="n">
        <x:f>IF(COUNT(E197,N197,W197)=0,"",AVERAGE(E197,N197,W197))</x:f>
        <x:v>189</x:v>
      </x:c>
      <x:c r="AG197" s="110" t="n">
        <x:f>IF(COUNT(E197,N197,W197)=0,"",MAX(E197,N197,W197)-MIN(E197,N197,W197))</x:f>
        <x:v>85</x:v>
      </x:c>
      <x:c r="AH197" s="110" t="n">
        <x:f>IF(COUNT(F197,O197,X197)=0,"",AVERAGE(F197,O197,X197))</x:f>
        <x:v>5.033333333333334</x:v>
      </x:c>
      <x:c r="AI197" s="112" t="n">
        <x:f>IF(COUNT(G197,P197,Y197)=0,"",AVERAGE(G197,P197,Y197))</x:f>
        <x:v>0</x:v>
      </x:c>
      <x:c r="AJ197" s="112" t="n">
        <x:f>IF(COUNT(H197,Q197,Z197)=0,"",AVERAGE(H197,Q197,Z197))</x:f>
        <x:v>0</x:v>
      </x:c>
      <x:c r="AK197" s="112" t="n">
        <x:f>IF(COUNT(I197,R197,AA197)=0,"",AVERAGE(I197,R197,AA197))</x:f>
        <x:v>0</x:v>
      </x:c>
      <x:c r="AL197" s="112" t="n">
        <x:f>IF(COUNT(J197,S197,AB197)=0,"",AVERAGE(J197,S197,AB197))</x:f>
        <x:v>28.333333333333332</x:v>
      </x:c>
      <x:c r="AM197" s="112" t="n">
        <x:f>IF(COUNT(K197,T197,AC197)=0,"",AVERAGE(K197,T197,AC197))</x:f>
        <x:v>388</x:v>
      </x:c>
      <x:c r="AN197" s="112" t="n">
        <x:f>IF(COUNT(L197,U197,AD197)=0,"",AVERAGE(L197,U197,AD197))</x:f>
        <x:v>3</x:v>
      </x:c>
      <x:c r="AO197" s="112" t="n">
        <x:f>IF(COUNT(M197,V197,AE197)=0,"",AVERAGE(M197,V197,AE197))</x:f>
        <x:v>0</x:v>
      </x:c>
    </x:row>
    <x:row r="198">
      <x:c r="A198" s="107" t="str">
        <x:v>Kimani Vidal</x:v>
      </x:c>
      <x:c r="B198" s="108" t="str">
        <x:v>RB</x:v>
      </x:c>
      <x:c r="C198" s="108" t="str">
        <x:v>LAC</x:v>
      </x:c>
      <x:c r="D198" s="109" t="n">
        <x:v>7</x:v>
      </x:c>
      <x:c r="E198" s="109" t="n">
        <x:f>IFERROR(VLOOKUP($A198,'Mike FLEX'!$A$6:$N$278,5,FALSE),"")</x:f>
        <x:v>198</x:v>
      </x:c>
      <x:c r="F198" s="110" t="n">
        <x:f>IFERROR(VLOOKUP($A198,'Mike FLEX'!$A$6:$N$278,6,FALSE),"")</x:f>
        <x:v>4.3</x:v>
      </x:c>
      <x:c r="G198" s="111" t="n">
        <x:f>IFERROR(VLOOKUP($A198,'Mike FLEX'!$A$6:$N$278,7,FALSE),"")</x:f>
        <x:v>32</x:v>
      </x:c>
      <x:c r="H198" s="111" t="n">
        <x:f>IFERROR(VLOOKUP($A198,'Mike FLEX'!$A$6:$N$278,8,FALSE),"")</x:f>
        <x:v>131</x:v>
      </x:c>
      <x:c r="I198" s="111" t="n">
        <x:f>IFERROR(VLOOKUP($A198,'Mike FLEX'!$A$6:$N$278,9,FALSE),"")</x:f>
        <x:v>1</x:v>
      </x:c>
      <x:c r="J198" s="111" t="n">
        <x:f>IFERROR(VLOOKUP($A198,'Mike FLEX'!$A$6:$N$278,10,FALSE),"")</x:f>
        <x:v>26</x:v>
      </x:c>
      <x:c r="K198" s="111" t="n">
        <x:f>IFERROR(VLOOKUP($A198,'Mike FLEX'!$A$6:$N$278,11,FALSE),"")</x:f>
        <x:v>233</x:v>
      </x:c>
      <x:c r="L198" s="111" t="n">
        <x:f>IFERROR(VLOOKUP($A198,'Mike FLEX'!$A$6:$N$278,12,FALSE),"")</x:f>
        <x:v>1</x:v>
      </x:c>
      <x:c r="M198" s="111" t="n">
        <x:f>IFERROR(VLOOKUP($A198,'Mike FLEX'!$A$6:$N$278,13,FALSE),"")</x:f>
        <x:v>1</x:v>
      </x:c>
      <x:c r="N198" s="109" t="n">
        <x:f>IFERROR(VLOOKUP($A198,'Andy FLEX'!$A$6:$N$278,5,FALSE),"")</x:f>
        <x:v>171</x:v>
      </x:c>
      <x:c r="O198" s="110" t="n">
        <x:f>IFERROR(VLOOKUP($A198,'Andy FLEX'!$A$6:$N$278,6,FALSE),"")</x:f>
        <x:v>5.8</x:v>
      </x:c>
      <x:c r="P198" s="111" t="n">
        <x:f>IFERROR(VLOOKUP($A198,'Andy FLEX'!$A$6:$N$278,7,FALSE),"")</x:f>
        <x:v>90</x:v>
      </x:c>
      <x:c r="Q198" s="111" t="n">
        <x:f>IFERROR(VLOOKUP($A198,'Andy FLEX'!$A$6:$N$278,8,FALSE),"")</x:f>
        <x:v>501</x:v>
      </x:c>
      <x:c r="R198" s="111" t="n">
        <x:f>IFERROR(VLOOKUP($A198,'Andy FLEX'!$A$6:$N$278,9,FALSE),"")</x:f>
        <x:v>2</x:v>
      </x:c>
      <x:c r="S198" s="111" t="n">
        <x:f>IFERROR(VLOOKUP($A198,'Andy FLEX'!$A$6:$N$278,10,FALSE),"")</x:f>
        <x:v>18</x:v>
      </x:c>
      <x:c r="T198" s="111" t="n">
        <x:f>IFERROR(VLOOKUP($A198,'Andy FLEX'!$A$6:$N$278,11,FALSE),"")</x:f>
        <x:v>151</x:v>
      </x:c>
      <x:c r="U198" s="111" t="n">
        <x:f>IFERROR(VLOOKUP($A198,'Andy FLEX'!$A$6:$N$278,12,FALSE),"")</x:f>
        <x:v>1</x:v>
      </x:c>
      <x:c r="V198" s="111" t="n">
        <x:f>IFERROR(VLOOKUP($A198,'Andy FLEX'!$A$6:$N$278,13,FALSE),"")</x:f>
        <x:v>1</x:v>
      </x:c>
      <x:c r="W198" s="109" t="n">
        <x:f>IFERROR(VLOOKUP($A198,'Jason FLEX'!$A$6:$N$268,5,FALSE),"")</x:f>
        <x:v>199</x:v>
      </x:c>
      <x:c r="X198" s="110" t="n">
        <x:f>IFERROR(VLOOKUP($A198,'Jason FLEX'!$A$6:$N$268,6,FALSE),"")</x:f>
        <x:v>4.8</x:v>
      </x:c>
      <x:c r="Y198" s="111" t="n">
        <x:f>IFERROR(VLOOKUP($A198,'Jason FLEX'!$A$6:$N$268,7,FALSE),"")</x:f>
        <x:v>92</x:v>
      </x:c>
      <x:c r="Z198" s="111" t="n">
        <x:f>IFERROR(VLOOKUP($A198,'Jason FLEX'!$A$6:$N$268,8,FALSE),"")</x:f>
        <x:v>405</x:v>
      </x:c>
      <x:c r="AA198" s="111" t="n">
        <x:f>IFERROR(VLOOKUP($A198,'Jason FLEX'!$A$6:$N$268,9,FALSE),"")</x:f>
        <x:v>3</x:v>
      </x:c>
      <x:c r="AB198" s="111" t="n">
        <x:f>IFERROR(VLOOKUP($A198,'Jason FLEX'!$A$6:$N$268,10,FALSE),"")</x:f>
        <x:v>12</x:v>
      </x:c>
      <x:c r="AC198" s="111" t="n">
        <x:f>IFERROR(VLOOKUP($A198,'Jason FLEX'!$A$6:$N$268,11,FALSE),"")</x:f>
        <x:v>87</x:v>
      </x:c>
      <x:c r="AD198" s="111" t="n">
        <x:f>IFERROR(VLOOKUP($A198,'Jason FLEX'!$A$6:$N$268,12,FALSE),"")</x:f>
        <x:v>1</x:v>
      </x:c>
      <x:c r="AE198" s="111" t="n">
        <x:f>IFERROR(VLOOKUP($A198,'Jason FLEX'!$A$6:$N$268,13,FALSE),"")</x:f>
        <x:v>0</x:v>
      </x:c>
      <x:c r="AF198" s="110" t="n">
        <x:f>IF(COUNT(E198,N198,W198)=0,"",AVERAGE(E198,N198,W198))</x:f>
        <x:v>189.33333333333334</x:v>
      </x:c>
      <x:c r="AG198" s="110" t="n">
        <x:f>IF(COUNT(E198,N198,W198)=0,"",MAX(E198,N198,W198)-MIN(E198,N198,W198))</x:f>
        <x:v>28</x:v>
      </x:c>
      <x:c r="AH198" s="110" t="n">
        <x:f>IF(COUNT(F198,O198,X198)=0,"",AVERAGE(F198,O198,X198))</x:f>
        <x:v>4.966666666666666</x:v>
      </x:c>
      <x:c r="AI198" s="112" t="n">
        <x:f>IF(COUNT(G198,P198,Y198)=0,"",AVERAGE(G198,P198,Y198))</x:f>
        <x:v>71.33333333333333</x:v>
      </x:c>
      <x:c r="AJ198" s="112" t="n">
        <x:f>IF(COUNT(H198,Q198,Z198)=0,"",AVERAGE(H198,Q198,Z198))</x:f>
        <x:v>345.6666666666667</x:v>
      </x:c>
      <x:c r="AK198" s="112" t="n">
        <x:f>IF(COUNT(I198,R198,AA198)=0,"",AVERAGE(I198,R198,AA198))</x:f>
        <x:v>2</x:v>
      </x:c>
      <x:c r="AL198" s="112" t="n">
        <x:f>IF(COUNT(J198,S198,AB198)=0,"",AVERAGE(J198,S198,AB198))</x:f>
        <x:v>18.666666666666668</x:v>
      </x:c>
      <x:c r="AM198" s="112" t="n">
        <x:f>IF(COUNT(K198,T198,AC198)=0,"",AVERAGE(K198,T198,AC198))</x:f>
        <x:v>157</x:v>
      </x:c>
      <x:c r="AN198" s="112" t="n">
        <x:f>IF(COUNT(L198,U198,AD198)=0,"",AVERAGE(L198,U198,AD198))</x:f>
        <x:v>1</x:v>
      </x:c>
      <x:c r="AO198" s="112" t="n">
        <x:f>IF(COUNT(M198,V198,AE198)=0,"",AVERAGE(M198,V198,AE198))</x:f>
        <x:v>0.6666666666666666</x:v>
      </x:c>
    </x:row>
    <x:row r="199">
      <x:c r="A199" s="107" t="str">
        <x:v>Chris Bell</x:v>
      </x:c>
      <x:c r="B199" s="108" t="str">
        <x:v>WR</x:v>
      </x:c>
      <x:c r="C199" s="108" t="str">
        <x:v>MIA</x:v>
      </x:c>
      <x:c r="D199" s="109" t="n">
        <x:v>6</x:v>
      </x:c>
      <x:c r="E199" s="109" t="n">
        <x:f>IFERROR(VLOOKUP($A199,'Mike FLEX'!$A$6:$N$278,5,FALSE),"")</x:f>
        <x:v>171</x:v>
      </x:c>
      <x:c r="F199" s="110" t="n">
        <x:f>IFERROR(VLOOKUP($A199,'Mike FLEX'!$A$6:$N$278,6,FALSE),"")</x:f>
        <x:v>5.2</x:v>
      </x:c>
      <x:c r="G199" s="111" t="n">
        <x:f>IFERROR(VLOOKUP($A199,'Mike FLEX'!$A$6:$N$278,7,FALSE),"")</x:f>
        <x:v>0</x:v>
      </x:c>
      <x:c r="H199" s="111" t="n">
        <x:f>IFERROR(VLOOKUP($A199,'Mike FLEX'!$A$6:$N$278,8,FALSE),"")</x:f>
        <x:v>0</x:v>
      </x:c>
      <x:c r="I199" s="111" t="n">
        <x:f>IFERROR(VLOOKUP($A199,'Mike FLEX'!$A$6:$N$278,9,FALSE),"")</x:f>
        <x:v>0</x:v>
      </x:c>
      <x:c r="J199" s="111" t="n">
        <x:f>IFERROR(VLOOKUP($A199,'Mike FLEX'!$A$6:$N$278,10,FALSE),"")</x:f>
        <x:v>33</x:v>
      </x:c>
      <x:c r="K199" s="111" t="n">
        <x:f>IFERROR(VLOOKUP($A199,'Mike FLEX'!$A$6:$N$278,11,FALSE),"")</x:f>
        <x:v>406</x:v>
      </x:c>
      <x:c r="L199" s="111" t="n">
        <x:f>IFERROR(VLOOKUP($A199,'Mike FLEX'!$A$6:$N$278,12,FALSE),"")</x:f>
        <x:v>2</x:v>
      </x:c>
      <x:c r="M199" s="111" t="n">
        <x:f>IFERROR(VLOOKUP($A199,'Mike FLEX'!$A$6:$N$278,13,FALSE),"")</x:f>
        <x:v>0</x:v>
      </x:c>
      <x:c r="N199" s="109" t="n">
        <x:f>IFERROR(VLOOKUP($A199,'Andy FLEX'!$A$6:$N$278,5,FALSE),"")</x:f>
        <x:v>216</x:v>
      </x:c>
      <x:c r="O199" s="110" t="n">
        <x:f>IFERROR(VLOOKUP($A199,'Andy FLEX'!$A$6:$N$278,6,FALSE),"")</x:f>
        <x:v>4.2</x:v>
      </x:c>
      <x:c r="P199" s="111" t="n">
        <x:f>IFERROR(VLOOKUP($A199,'Andy FLEX'!$A$6:$N$278,7,FALSE),"")</x:f>
        <x:v>6</x:v>
      </x:c>
      <x:c r="Q199" s="111" t="n">
        <x:f>IFERROR(VLOOKUP($A199,'Andy FLEX'!$A$6:$N$278,8,FALSE),"")</x:f>
        <x:v>40</x:v>
      </x:c>
      <x:c r="R199" s="111" t="n">
        <x:f>IFERROR(VLOOKUP($A199,'Andy FLEX'!$A$6:$N$278,9,FALSE),"")</x:f>
        <x:v>0</x:v>
      </x:c>
      <x:c r="S199" s="111" t="n">
        <x:f>IFERROR(VLOOKUP($A199,'Andy FLEX'!$A$6:$N$278,10,FALSE),"")</x:f>
        <x:v>25</x:v>
      </x:c>
      <x:c r="T199" s="111" t="n">
        <x:f>IFERROR(VLOOKUP($A199,'Andy FLEX'!$A$6:$N$278,11,FALSE),"")</x:f>
        <x:v>302</x:v>
      </x:c>
      <x:c r="U199" s="111" t="n">
        <x:f>IFERROR(VLOOKUP($A199,'Andy FLEX'!$A$6:$N$278,12,FALSE),"")</x:f>
        <x:v>2</x:v>
      </x:c>
      <x:c r="V199" s="111" t="n">
        <x:f>IFERROR(VLOOKUP($A199,'Andy FLEX'!$A$6:$N$278,13,FALSE),"")</x:f>
        <x:v>1</x:v>
      </x:c>
      <x:c r="W199" s="109" t="n">
        <x:f>IFERROR(VLOOKUP($A199,'Jason FLEX'!$A$6:$N$268,5,FALSE),"")</x:f>
        <x:v>184</x:v>
      </x:c>
      <x:c r="X199" s="110" t="n">
        <x:f>IFERROR(VLOOKUP($A199,'Jason FLEX'!$A$6:$N$268,6,FALSE),"")</x:f>
        <x:v>5.4</x:v>
      </x:c>
      <x:c r="Y199" s="111" t="n">
        <x:f>IFERROR(VLOOKUP($A199,'Jason FLEX'!$A$6:$N$268,7,FALSE),"")</x:f>
        <x:v>0</x:v>
      </x:c>
      <x:c r="Z199" s="111" t="n">
        <x:f>IFERROR(VLOOKUP($A199,'Jason FLEX'!$A$6:$N$268,8,FALSE),"")</x:f>
        <x:v>0</x:v>
      </x:c>
      <x:c r="AA199" s="111" t="n">
        <x:f>IFERROR(VLOOKUP($A199,'Jason FLEX'!$A$6:$N$268,9,FALSE),"")</x:f>
        <x:v>0</x:v>
      </x:c>
      <x:c r="AB199" s="111" t="n">
        <x:f>IFERROR(VLOOKUP($A199,'Jason FLEX'!$A$6:$N$268,10,FALSE),"")</x:f>
        <x:v>30</x:v>
      </x:c>
      <x:c r="AC199" s="111" t="n">
        <x:f>IFERROR(VLOOKUP($A199,'Jason FLEX'!$A$6:$N$268,11,FALSE),"")</x:f>
        <x:v>441</x:v>
      </x:c>
      <x:c r="AD199" s="111" t="n">
        <x:f>IFERROR(VLOOKUP($A199,'Jason FLEX'!$A$6:$N$268,12,FALSE),"")</x:f>
        <x:v>3</x:v>
      </x:c>
      <x:c r="AE199" s="111" t="n">
        <x:f>IFERROR(VLOOKUP($A199,'Jason FLEX'!$A$6:$N$268,13,FALSE),"")</x:f>
        <x:v>0</x:v>
      </x:c>
      <x:c r="AF199" s="110" t="n">
        <x:f>IF(COUNT(E199,N199,W199)=0,"",AVERAGE(E199,N199,W199))</x:f>
        <x:v>190.33333333333334</x:v>
      </x:c>
      <x:c r="AG199" s="110" t="n">
        <x:f>IF(COUNT(E199,N199,W199)=0,"",MAX(E199,N199,W199)-MIN(E199,N199,W199))</x:f>
        <x:v>45</x:v>
      </x:c>
      <x:c r="AH199" s="110" t="n">
        <x:f>IF(COUNT(F199,O199,X199)=0,"",AVERAGE(F199,O199,X199))</x:f>
        <x:v>4.933333333333334</x:v>
      </x:c>
      <x:c r="AI199" s="112" t="n">
        <x:f>IF(COUNT(G199,P199,Y199)=0,"",AVERAGE(G199,P199,Y199))</x:f>
        <x:v>2</x:v>
      </x:c>
      <x:c r="AJ199" s="112" t="n">
        <x:f>IF(COUNT(H199,Q199,Z199)=0,"",AVERAGE(H199,Q199,Z199))</x:f>
        <x:v>13.333333333333334</x:v>
      </x:c>
      <x:c r="AK199" s="112" t="n">
        <x:f>IF(COUNT(I199,R199,AA199)=0,"",AVERAGE(I199,R199,AA199))</x:f>
        <x:v>0</x:v>
      </x:c>
      <x:c r="AL199" s="112" t="n">
        <x:f>IF(COUNT(J199,S199,AB199)=0,"",AVERAGE(J199,S199,AB199))</x:f>
        <x:v>29.333333333333332</x:v>
      </x:c>
      <x:c r="AM199" s="112" t="n">
        <x:f>IF(COUNT(K199,T199,AC199)=0,"",AVERAGE(K199,T199,AC199))</x:f>
        <x:v>383</x:v>
      </x:c>
      <x:c r="AN199" s="112" t="n">
        <x:f>IF(COUNT(L199,U199,AD199)=0,"",AVERAGE(L199,U199,AD199))</x:f>
        <x:v>2.3333333333333335</x:v>
      </x:c>
      <x:c r="AO199" s="112" t="n">
        <x:f>IF(COUNT(M199,V199,AE199)=0,"",AVERAGE(M199,V199,AE199))</x:f>
        <x:v>0.3333333333333333</x:v>
      </x:c>
    </x:row>
    <x:row r="200">
      <x:c r="A200" s="107" t="str">
        <x:v>Elic Ayomanor</x:v>
      </x:c>
      <x:c r="B200" s="108" t="str">
        <x:v>WR</x:v>
      </x:c>
      <x:c r="C200" s="108" t="str">
        <x:v>TEN</x:v>
      </x:c>
      <x:c r="D200" s="109" t="n">
        <x:v>9</x:v>
      </x:c>
      <x:c r="E200" s="109" t="n">
        <x:f>IFERROR(VLOOKUP($A200,'Mike FLEX'!$A$6:$N$278,5,FALSE),"")</x:f>
        <x:v>220</x:v>
      </x:c>
      <x:c r="F200" s="110" t="n">
        <x:f>IFERROR(VLOOKUP($A200,'Mike FLEX'!$A$6:$N$278,6,FALSE),"")</x:f>
        <x:v>3.4</x:v>
      </x:c>
      <x:c r="G200" s="111" t="n">
        <x:f>IFERROR(VLOOKUP($A200,'Mike FLEX'!$A$6:$N$278,7,FALSE),"")</x:f>
        <x:v>0</x:v>
      </x:c>
      <x:c r="H200" s="111" t="n">
        <x:f>IFERROR(VLOOKUP($A200,'Mike FLEX'!$A$6:$N$278,8,FALSE),"")</x:f>
        <x:v>0</x:v>
      </x:c>
      <x:c r="I200" s="111" t="n">
        <x:f>IFERROR(VLOOKUP($A200,'Mike FLEX'!$A$6:$N$278,9,FALSE),"")</x:f>
        <x:v>0</x:v>
      </x:c>
      <x:c r="J200" s="111" t="n">
        <x:f>IFERROR(VLOOKUP($A200,'Mike FLEX'!$A$6:$N$278,10,FALSE),"")</x:f>
        <x:v>21</x:v>
      </x:c>
      <x:c r="K200" s="111" t="n">
        <x:f>IFERROR(VLOOKUP($A200,'Mike FLEX'!$A$6:$N$278,11,FALSE),"")</x:f>
        <x:v>265</x:v>
      </x:c>
      <x:c r="L200" s="111" t="n">
        <x:f>IFERROR(VLOOKUP($A200,'Mike FLEX'!$A$6:$N$278,12,FALSE),"")</x:f>
        <x:v>2</x:v>
      </x:c>
      <x:c r="M200" s="111" t="n">
        <x:f>IFERROR(VLOOKUP($A200,'Mike FLEX'!$A$6:$N$278,13,FALSE),"")</x:f>
        <x:v>0</x:v>
      </x:c>
      <x:c r="N200" s="109" t="n">
        <x:f>IFERROR(VLOOKUP($A200,'Andy FLEX'!$A$6:$N$278,5,FALSE),"")</x:f>
        <x:v>146</x:v>
      </x:c>
      <x:c r="O200" s="110" t="n">
        <x:f>IFERROR(VLOOKUP($A200,'Andy FLEX'!$A$6:$N$278,6,FALSE),"")</x:f>
        <x:v>6.7</x:v>
      </x:c>
      <x:c r="P200" s="111" t="n">
        <x:f>IFERROR(VLOOKUP($A200,'Andy FLEX'!$A$6:$N$278,7,FALSE),"")</x:f>
        <x:v>4</x:v>
      </x:c>
      <x:c r="Q200" s="111" t="n">
        <x:f>IFERROR(VLOOKUP($A200,'Andy FLEX'!$A$6:$N$278,8,FALSE),"")</x:f>
        <x:v>19</x:v>
      </x:c>
      <x:c r="R200" s="111" t="n">
        <x:f>IFERROR(VLOOKUP($A200,'Andy FLEX'!$A$6:$N$278,9,FALSE),"")</x:f>
        <x:v>0</x:v>
      </x:c>
      <x:c r="S200" s="111" t="n">
        <x:f>IFERROR(VLOOKUP($A200,'Andy FLEX'!$A$6:$N$278,10,FALSE),"")</x:f>
        <x:v>43</x:v>
      </x:c>
      <x:c r="T200" s="111" t="n">
        <x:f>IFERROR(VLOOKUP($A200,'Andy FLEX'!$A$6:$N$278,11,FALSE),"")</x:f>
        <x:v>516</x:v>
      </x:c>
      <x:c r="U200" s="111" t="n">
        <x:f>IFERROR(VLOOKUP($A200,'Andy FLEX'!$A$6:$N$278,12,FALSE),"")</x:f>
        <x:v>3</x:v>
      </x:c>
      <x:c r="V200" s="111" t="n">
        <x:f>IFERROR(VLOOKUP($A200,'Andy FLEX'!$A$6:$N$278,13,FALSE),"")</x:f>
        <x:v>1</x:v>
      </x:c>
      <x:c r="W200" s="109" t="n">
        <x:f>IFERROR(VLOOKUP($A200,'Jason FLEX'!$A$6:$N$268,5,FALSE),"")</x:f>
        <x:v>207</x:v>
      </x:c>
      <x:c r="X200" s="110" t="n">
        <x:f>IFERROR(VLOOKUP($A200,'Jason FLEX'!$A$6:$N$268,6,FALSE),"")</x:f>
        <x:v>4.3</x:v>
      </x:c>
      <x:c r="Y200" s="111" t="n">
        <x:f>IFERROR(VLOOKUP($A200,'Jason FLEX'!$A$6:$N$268,7,FALSE),"")</x:f>
        <x:v>0</x:v>
      </x:c>
      <x:c r="Z200" s="111" t="n">
        <x:f>IFERROR(VLOOKUP($A200,'Jason FLEX'!$A$6:$N$268,8,FALSE),"")</x:f>
        <x:v>0</x:v>
      </x:c>
      <x:c r="AA200" s="111" t="n">
        <x:f>IFERROR(VLOOKUP($A200,'Jason FLEX'!$A$6:$N$268,9,FALSE),"")</x:f>
        <x:v>0</x:v>
      </x:c>
      <x:c r="AB200" s="111" t="n">
        <x:f>IFERROR(VLOOKUP($A200,'Jason FLEX'!$A$6:$N$268,10,FALSE),"")</x:f>
        <x:v>27</x:v>
      </x:c>
      <x:c r="AC200" s="111" t="n">
        <x:f>IFERROR(VLOOKUP($A200,'Jason FLEX'!$A$6:$N$268,11,FALSE),"")</x:f>
        <x:v>348</x:v>
      </x:c>
      <x:c r="AD200" s="111" t="n">
        <x:f>IFERROR(VLOOKUP($A200,'Jason FLEX'!$A$6:$N$268,12,FALSE),"")</x:f>
        <x:v>2</x:v>
      </x:c>
      <x:c r="AE200" s="111" t="n">
        <x:f>IFERROR(VLOOKUP($A200,'Jason FLEX'!$A$6:$N$268,13,FALSE),"")</x:f>
        <x:v>0</x:v>
      </x:c>
      <x:c r="AF200" s="110" t="n">
        <x:f>IF(COUNT(E200,N200,W200)=0,"",AVERAGE(E200,N200,W200))</x:f>
        <x:v>191</x:v>
      </x:c>
      <x:c r="AG200" s="110" t="n">
        <x:f>IF(COUNT(E200,N200,W200)=0,"",MAX(E200,N200,W200)-MIN(E200,N200,W200))</x:f>
        <x:v>74</x:v>
      </x:c>
      <x:c r="AH200" s="110" t="n">
        <x:f>IF(COUNT(F200,O200,X200)=0,"",AVERAGE(F200,O200,X200))</x:f>
        <x:v>4.8</x:v>
      </x:c>
      <x:c r="AI200" s="112" t="n">
        <x:f>IF(COUNT(G200,P200,Y200)=0,"",AVERAGE(G200,P200,Y200))</x:f>
        <x:v>1.3333333333333333</x:v>
      </x:c>
      <x:c r="AJ200" s="112" t="n">
        <x:f>IF(COUNT(H200,Q200,Z200)=0,"",AVERAGE(H200,Q200,Z200))</x:f>
        <x:v>6.333333333333333</x:v>
      </x:c>
      <x:c r="AK200" s="112" t="n">
        <x:f>IF(COUNT(I200,R200,AA200)=0,"",AVERAGE(I200,R200,AA200))</x:f>
        <x:v>0</x:v>
      </x:c>
      <x:c r="AL200" s="112" t="n">
        <x:f>IF(COUNT(J200,S200,AB200)=0,"",AVERAGE(J200,S200,AB200))</x:f>
        <x:v>30.333333333333332</x:v>
      </x:c>
      <x:c r="AM200" s="112" t="n">
        <x:f>IF(COUNT(K200,T200,AC200)=0,"",AVERAGE(K200,T200,AC200))</x:f>
        <x:v>376.3333333333333</x:v>
      </x:c>
      <x:c r="AN200" s="112" t="n">
        <x:f>IF(COUNT(L200,U200,AD200)=0,"",AVERAGE(L200,U200,AD200))</x:f>
        <x:v>2.3333333333333335</x:v>
      </x:c>
      <x:c r="AO200" s="112" t="n">
        <x:f>IF(COUNT(M200,V200,AE200)=0,"",AVERAGE(M200,V200,AE200))</x:f>
        <x:v>0.3333333333333333</x:v>
      </x:c>
    </x:row>
    <x:row r="201">
      <x:c r="A201" s="107" t="str">
        <x:v>Samaje Perine</x:v>
      </x:c>
      <x:c r="B201" s="108" t="str">
        <x:v>RB</x:v>
      </x:c>
      <x:c r="C201" s="108" t="str">
        <x:v>CIN</x:v>
      </x:c>
      <x:c r="D201" s="109" t="n">
        <x:v>6</x:v>
      </x:c>
      <x:c r="E201" s="109" t="n">
        <x:f>IFERROR(VLOOKUP($A201,'Mike FLEX'!$A$6:$N$278,5,FALSE),"")</x:f>
        <x:v>231</x:v>
      </x:c>
      <x:c r="F201" s="110" t="n">
        <x:f>IFERROR(VLOOKUP($A201,'Mike FLEX'!$A$6:$N$278,6,FALSE),"")</x:f>
        <x:v>2.8</x:v>
      </x:c>
      <x:c r="G201" s="111" t="n">
        <x:f>IFERROR(VLOOKUP($A201,'Mike FLEX'!$A$6:$N$278,7,FALSE),"")</x:f>
        <x:v>13</x:v>
      </x:c>
      <x:c r="H201" s="111" t="n">
        <x:f>IFERROR(VLOOKUP($A201,'Mike FLEX'!$A$6:$N$278,8,FALSE),"")</x:f>
        <x:v>59</x:v>
      </x:c>
      <x:c r="I201" s="111" t="n">
        <x:f>IFERROR(VLOOKUP($A201,'Mike FLEX'!$A$6:$N$278,9,FALSE),"")</x:f>
        <x:v>0</x:v>
      </x:c>
      <x:c r="J201" s="111" t="n">
        <x:f>IFERROR(VLOOKUP($A201,'Mike FLEX'!$A$6:$N$278,10,FALSE),"")</x:f>
        <x:v>22</x:v>
      </x:c>
      <x:c r="K201" s="111" t="n">
        <x:f>IFERROR(VLOOKUP($A201,'Mike FLEX'!$A$6:$N$278,11,FALSE),"")</x:f>
        <x:v>177</x:v>
      </x:c>
      <x:c r="L201" s="111" t="n">
        <x:f>IFERROR(VLOOKUP($A201,'Mike FLEX'!$A$6:$N$278,12,FALSE),"")</x:f>
        <x:v>1</x:v>
      </x:c>
      <x:c r="M201" s="111" t="n">
        <x:f>IFERROR(VLOOKUP($A201,'Mike FLEX'!$A$6:$N$278,13,FALSE),"")</x:f>
        <x:v>2</x:v>
      </x:c>
      <x:c r="N201" s="109" t="n">
        <x:f>IFERROR(VLOOKUP($A201,'Andy FLEX'!$A$6:$N$278,5,FALSE),"")</x:f>
        <x:v>157</x:v>
      </x:c>
      <x:c r="O201" s="110" t="n">
        <x:f>IFERROR(VLOOKUP($A201,'Andy FLEX'!$A$6:$N$278,6,FALSE),"")</x:f>
        <x:v>6.1</x:v>
      </x:c>
      <x:c r="P201" s="111" t="n">
        <x:f>IFERROR(VLOOKUP($A201,'Andy FLEX'!$A$6:$N$278,7,FALSE),"")</x:f>
        <x:v>84</x:v>
      </x:c>
      <x:c r="Q201" s="111" t="n">
        <x:f>IFERROR(VLOOKUP($A201,'Andy FLEX'!$A$6:$N$278,8,FALSE),"")</x:f>
        <x:v>396</x:v>
      </x:c>
      <x:c r="R201" s="111" t="n">
        <x:f>IFERROR(VLOOKUP($A201,'Andy FLEX'!$A$6:$N$278,9,FALSE),"")</x:f>
        <x:v>3</x:v>
      </x:c>
      <x:c r="S201" s="111" t="n">
        <x:f>IFERROR(VLOOKUP($A201,'Andy FLEX'!$A$6:$N$278,10,FALSE),"")</x:f>
        <x:v>25</x:v>
      </x:c>
      <x:c r="T201" s="111" t="n">
        <x:f>IFERROR(VLOOKUP($A201,'Andy FLEX'!$A$6:$N$278,11,FALSE),"")</x:f>
        <x:v>135</x:v>
      </x:c>
      <x:c r="U201" s="111" t="n">
        <x:f>IFERROR(VLOOKUP($A201,'Andy FLEX'!$A$6:$N$278,12,FALSE),"")</x:f>
        <x:v>2</x:v>
      </x:c>
      <x:c r="V201" s="111" t="n">
        <x:f>IFERROR(VLOOKUP($A201,'Andy FLEX'!$A$6:$N$278,13,FALSE),"")</x:f>
        <x:v>2</x:v>
      </x:c>
      <x:c r="W201" s="109" t="n">
        <x:f>IFERROR(VLOOKUP($A201,'Jason FLEX'!$A$6:$N$268,5,FALSE),"")</x:f>
        <x:v>187</x:v>
      </x:c>
      <x:c r="X201" s="110" t="n">
        <x:f>IFERROR(VLOOKUP($A201,'Jason FLEX'!$A$6:$N$268,6,FALSE),"")</x:f>
        <x:v>5.2</x:v>
      </x:c>
      <x:c r="Y201" s="111" t="n">
        <x:f>IFERROR(VLOOKUP($A201,'Jason FLEX'!$A$6:$N$268,7,FALSE),"")</x:f>
        <x:v>82</x:v>
      </x:c>
      <x:c r="Z201" s="111" t="n">
        <x:f>IFERROR(VLOOKUP($A201,'Jason FLEX'!$A$6:$N$268,8,FALSE),"")</x:f>
        <x:v>325</x:v>
      </x:c>
      <x:c r="AA201" s="111" t="n">
        <x:f>IFERROR(VLOOKUP($A201,'Jason FLEX'!$A$6:$N$268,9,FALSE),"")</x:f>
        <x:v>3</x:v>
      </x:c>
      <x:c r="AB201" s="111" t="n">
        <x:f>IFERROR(VLOOKUP($A201,'Jason FLEX'!$A$6:$N$268,10,FALSE),"")</x:f>
        <x:v>21</x:v>
      </x:c>
      <x:c r="AC201" s="111" t="n">
        <x:f>IFERROR(VLOOKUP($A201,'Jason FLEX'!$A$6:$N$268,11,FALSE),"")</x:f>
        <x:v>135</x:v>
      </x:c>
      <x:c r="AD201" s="111" t="n">
        <x:f>IFERROR(VLOOKUP($A201,'Jason FLEX'!$A$6:$N$268,12,FALSE),"")</x:f>
        <x:v>1</x:v>
      </x:c>
      <x:c r="AE201" s="111" t="n">
        <x:f>IFERROR(VLOOKUP($A201,'Jason FLEX'!$A$6:$N$268,13,FALSE),"")</x:f>
        <x:v>0</x:v>
      </x:c>
      <x:c r="AF201" s="110" t="n">
        <x:f>IF(COUNT(E201,N201,W201)=0,"",AVERAGE(E201,N201,W201))</x:f>
        <x:v>191.66666666666666</x:v>
      </x:c>
      <x:c r="AG201" s="110" t="n">
        <x:f>IF(COUNT(E201,N201,W201)=0,"",MAX(E201,N201,W201)-MIN(E201,N201,W201))</x:f>
        <x:v>74</x:v>
      </x:c>
      <x:c r="AH201" s="110" t="n">
        <x:f>IF(COUNT(F201,O201,X201)=0,"",AVERAGE(F201,O201,X201))</x:f>
        <x:v>4.699999999999999</x:v>
      </x:c>
      <x:c r="AI201" s="112" t="n">
        <x:f>IF(COUNT(G201,P201,Y201)=0,"",AVERAGE(G201,P201,Y201))</x:f>
        <x:v>59.666666666666664</x:v>
      </x:c>
      <x:c r="AJ201" s="112" t="n">
        <x:f>IF(COUNT(H201,Q201,Z201)=0,"",AVERAGE(H201,Q201,Z201))</x:f>
        <x:v>260</x:v>
      </x:c>
      <x:c r="AK201" s="112" t="n">
        <x:f>IF(COUNT(I201,R201,AA201)=0,"",AVERAGE(I201,R201,AA201))</x:f>
        <x:v>2</x:v>
      </x:c>
      <x:c r="AL201" s="112" t="n">
        <x:f>IF(COUNT(J201,S201,AB201)=0,"",AVERAGE(J201,S201,AB201))</x:f>
        <x:v>22.666666666666668</x:v>
      </x:c>
      <x:c r="AM201" s="112" t="n">
        <x:f>IF(COUNT(K201,T201,AC201)=0,"",AVERAGE(K201,T201,AC201))</x:f>
        <x:v>149</x:v>
      </x:c>
      <x:c r="AN201" s="112" t="n">
        <x:f>IF(COUNT(L201,U201,AD201)=0,"",AVERAGE(L201,U201,AD201))</x:f>
        <x:v>1.3333333333333333</x:v>
      </x:c>
      <x:c r="AO201" s="112" t="n">
        <x:f>IF(COUNT(M201,V201,AE201)=0,"",AVERAGE(M201,V201,AE201))</x:f>
        <x:v>1.3333333333333333</x:v>
      </x:c>
    </x:row>
    <x:row r="202">
      <x:c r="A202" s="107" t="str">
        <x:v>Charlie Kolar</x:v>
      </x:c>
      <x:c r="B202" s="108" t="str">
        <x:v>TE</x:v>
      </x:c>
      <x:c r="C202" s="108" t="str">
        <x:v>LAC</x:v>
      </x:c>
      <x:c r="D202" s="109" t="n">
        <x:v>7</x:v>
      </x:c>
      <x:c r="E202" s="109" t="n">
        <x:f>IFERROR(VLOOKUP($A202,'Mike FLEX'!$A$6:$N$278,5,FALSE),"")</x:f>
        <x:v>173</x:v>
      </x:c>
      <x:c r="F202" s="110" t="n">
        <x:f>IFERROR(VLOOKUP($A202,'Mike FLEX'!$A$6:$N$278,6,FALSE),"")</x:f>
        <x:v>5</x:v>
      </x:c>
      <x:c r="G202" s="111" t="n">
        <x:f>IFERROR(VLOOKUP($A202,'Mike FLEX'!$A$6:$N$278,7,FALSE),"")</x:f>
        <x:v>0</x:v>
      </x:c>
      <x:c r="H202" s="111" t="n">
        <x:f>IFERROR(VLOOKUP($A202,'Mike FLEX'!$A$6:$N$278,8,FALSE),"")</x:f>
        <x:v>0</x:v>
      </x:c>
      <x:c r="I202" s="111" t="n">
        <x:f>IFERROR(VLOOKUP($A202,'Mike FLEX'!$A$6:$N$278,9,FALSE),"")</x:f>
        <x:v>0</x:v>
      </x:c>
      <x:c r="J202" s="111" t="n">
        <x:f>IFERROR(VLOOKUP($A202,'Mike FLEX'!$A$6:$N$278,10,FALSE),"")</x:f>
        <x:v>33</x:v>
      </x:c>
      <x:c r="K202" s="111" t="n">
        <x:f>IFERROR(VLOOKUP($A202,'Mike FLEX'!$A$6:$N$278,11,FALSE),"")</x:f>
        <x:v>376</x:v>
      </x:c>
      <x:c r="L202" s="111" t="n">
        <x:f>IFERROR(VLOOKUP($A202,'Mike FLEX'!$A$6:$N$278,12,FALSE),"")</x:f>
        <x:v>3</x:v>
      </x:c>
      <x:c r="M202" s="111" t="n">
        <x:f>IFERROR(VLOOKUP($A202,'Mike FLEX'!$A$6:$N$278,13,FALSE),"")</x:f>
        <x:v>0</x:v>
      </x:c>
      <x:c r="N202" s="109" t="n">
        <x:f>IFERROR(VLOOKUP($A202,'Andy FLEX'!$A$6:$N$278,5,FALSE),"")</x:f>
        <x:v>237</x:v>
      </x:c>
      <x:c r="O202" s="110" t="n">
        <x:f>IFERROR(VLOOKUP($A202,'Andy FLEX'!$A$6:$N$278,6,FALSE),"")</x:f>
        <x:v>3.5</x:v>
      </x:c>
      <x:c r="P202" s="111" t="n">
        <x:f>IFERROR(VLOOKUP($A202,'Andy FLEX'!$A$6:$N$278,7,FALSE),"")</x:f>
        <x:v>0</x:v>
      </x:c>
      <x:c r="Q202" s="111" t="n">
        <x:f>IFERROR(VLOOKUP($A202,'Andy FLEX'!$A$6:$N$278,8,FALSE),"")</x:f>
        <x:v>0</x:v>
      </x:c>
      <x:c r="R202" s="111" t="n">
        <x:f>IFERROR(VLOOKUP($A202,'Andy FLEX'!$A$6:$N$278,9,FALSE),"")</x:f>
        <x:v>0</x:v>
      </x:c>
      <x:c r="S202" s="111" t="n">
        <x:f>IFERROR(VLOOKUP($A202,'Andy FLEX'!$A$6:$N$278,10,FALSE),"")</x:f>
        <x:v>24</x:v>
      </x:c>
      <x:c r="T202" s="111" t="n">
        <x:f>IFERROR(VLOOKUP($A202,'Andy FLEX'!$A$6:$N$278,11,FALSE),"")</x:f>
        <x:v>236</x:v>
      </x:c>
      <x:c r="U202" s="111" t="n">
        <x:f>IFERROR(VLOOKUP($A202,'Andy FLEX'!$A$6:$N$278,12,FALSE),"")</x:f>
        <x:v>2</x:v>
      </x:c>
      <x:c r="V202" s="111" t="n">
        <x:f>IFERROR(VLOOKUP($A202,'Andy FLEX'!$A$6:$N$278,13,FALSE),"")</x:f>
        <x:v>0</x:v>
      </x:c>
      <x:c r="W202" s="109" t="n">
        <x:f>IFERROR(VLOOKUP($A202,'Jason FLEX'!$A$6:$N$268,5,FALSE),"")</x:f>
        <x:v>175</x:v>
      </x:c>
      <x:c r="X202" s="110" t="n">
        <x:f>IFERROR(VLOOKUP($A202,'Jason FLEX'!$A$6:$N$268,6,FALSE),"")</x:f>
        <x:v>5.8</x:v>
      </x:c>
      <x:c r="Y202" s="111" t="n">
        <x:f>IFERROR(VLOOKUP($A202,'Jason FLEX'!$A$6:$N$268,7,FALSE),"")</x:f>
        <x:v>0</x:v>
      </x:c>
      <x:c r="Z202" s="111" t="n">
        <x:f>IFERROR(VLOOKUP($A202,'Jason FLEX'!$A$6:$N$268,8,FALSE),"")</x:f>
        <x:v>0</x:v>
      </x:c>
      <x:c r="AA202" s="111" t="n">
        <x:f>IFERROR(VLOOKUP($A202,'Jason FLEX'!$A$6:$N$268,9,FALSE),"")</x:f>
        <x:v>0</x:v>
      </x:c>
      <x:c r="AB202" s="111" t="n">
        <x:f>IFERROR(VLOOKUP($A202,'Jason FLEX'!$A$6:$N$268,10,FALSE),"")</x:f>
        <x:v>35</x:v>
      </x:c>
      <x:c r="AC202" s="111" t="n">
        <x:f>IFERROR(VLOOKUP($A202,'Jason FLEX'!$A$6:$N$268,11,FALSE),"")</x:f>
        <x:v>399</x:v>
      </x:c>
      <x:c r="AD202" s="111" t="n">
        <x:f>IFERROR(VLOOKUP($A202,'Jason FLEX'!$A$6:$N$268,12,FALSE),"")</x:f>
        <x:v>4</x:v>
      </x:c>
      <x:c r="AE202" s="111" t="n">
        <x:f>IFERROR(VLOOKUP($A202,'Jason FLEX'!$A$6:$N$268,13,FALSE),"")</x:f>
        <x:v>0</x:v>
      </x:c>
      <x:c r="AF202" s="110" t="n">
        <x:f>IF(COUNT(E202,N202,W202)=0,"",AVERAGE(E202,N202,W202))</x:f>
        <x:v>195</x:v>
      </x:c>
      <x:c r="AG202" s="110" t="n">
        <x:f>IF(COUNT(E202,N202,W202)=0,"",MAX(E202,N202,W202)-MIN(E202,N202,W202))</x:f>
        <x:v>64</x:v>
      </x:c>
      <x:c r="AH202" s="110" t="n">
        <x:f>IF(COUNT(F202,O202,X202)=0,"",AVERAGE(F202,O202,X202))</x:f>
        <x:v>4.766666666666667</x:v>
      </x:c>
      <x:c r="AI202" s="112" t="n">
        <x:f>IF(COUNT(G202,P202,Y202)=0,"",AVERAGE(G202,P202,Y202))</x:f>
        <x:v>0</x:v>
      </x:c>
      <x:c r="AJ202" s="112" t="n">
        <x:f>IF(COUNT(H202,Q202,Z202)=0,"",AVERAGE(H202,Q202,Z202))</x:f>
        <x:v>0</x:v>
      </x:c>
      <x:c r="AK202" s="112" t="n">
        <x:f>IF(COUNT(I202,R202,AA202)=0,"",AVERAGE(I202,R202,AA202))</x:f>
        <x:v>0</x:v>
      </x:c>
      <x:c r="AL202" s="112" t="n">
        <x:f>IF(COUNT(J202,S202,AB202)=0,"",AVERAGE(J202,S202,AB202))</x:f>
        <x:v>30.666666666666668</x:v>
      </x:c>
      <x:c r="AM202" s="112" t="n">
        <x:f>IF(COUNT(K202,T202,AC202)=0,"",AVERAGE(K202,T202,AC202))</x:f>
        <x:v>337</x:v>
      </x:c>
      <x:c r="AN202" s="112" t="n">
        <x:f>IF(COUNT(L202,U202,AD202)=0,"",AVERAGE(L202,U202,AD202))</x:f>
        <x:v>3</x:v>
      </x:c>
      <x:c r="AO202" s="112" t="n">
        <x:f>IF(COUNT(M202,V202,AE202)=0,"",AVERAGE(M202,V202,AE202))</x:f>
        <x:v>0</x:v>
      </x:c>
    </x:row>
    <x:row r="203">
      <x:c r="A203" s="107" t="str">
        <x:v>Tyquan Thornton</x:v>
      </x:c>
      <x:c r="B203" s="108" t="str">
        <x:v>WR</x:v>
      </x:c>
      <x:c r="C203" s="108" t="str">
        <x:v>KC</x:v>
      </x:c>
      <x:c r="D203" s="109" t="n">
        <x:v>5</x:v>
      </x:c>
      <x:c r="E203" s="109" t="n">
        <x:f>IFERROR(VLOOKUP($A203,'Mike FLEX'!$A$6:$N$278,5,FALSE),"")</x:f>
        <x:v>181</x:v>
      </x:c>
      <x:c r="F203" s="110" t="n">
        <x:f>IFERROR(VLOOKUP($A203,'Mike FLEX'!$A$6:$N$278,6,FALSE),"")</x:f>
        <x:v>4.7</x:v>
      </x:c>
      <x:c r="G203" s="111" t="n">
        <x:f>IFERROR(VLOOKUP($A203,'Mike FLEX'!$A$6:$N$278,7,FALSE),"")</x:f>
        <x:v>0</x:v>
      </x:c>
      <x:c r="H203" s="111" t="n">
        <x:f>IFERROR(VLOOKUP($A203,'Mike FLEX'!$A$6:$N$278,8,FALSE),"")</x:f>
        <x:v>0</x:v>
      </x:c>
      <x:c r="I203" s="111" t="n">
        <x:f>IFERROR(VLOOKUP($A203,'Mike FLEX'!$A$6:$N$278,9,FALSE),"")</x:f>
        <x:v>0</x:v>
      </x:c>
      <x:c r="J203" s="111" t="n">
        <x:f>IFERROR(VLOOKUP($A203,'Mike FLEX'!$A$6:$N$278,10,FALSE),"")</x:f>
        <x:v>26</x:v>
      </x:c>
      <x:c r="K203" s="111" t="n">
        <x:f>IFERROR(VLOOKUP($A203,'Mike FLEX'!$A$6:$N$278,11,FALSE),"")</x:f>
        <x:v>396</x:v>
      </x:c>
      <x:c r="L203" s="111" t="n">
        <x:f>IFERROR(VLOOKUP($A203,'Mike FLEX'!$A$6:$N$278,12,FALSE),"")</x:f>
        <x:v>2</x:v>
      </x:c>
      <x:c r="M203" s="111" t="n">
        <x:f>IFERROR(VLOOKUP($A203,'Mike FLEX'!$A$6:$N$278,13,FALSE),"")</x:f>
        <x:v>0</x:v>
      </x:c>
      <x:c r="N203" s="109" t="n">
        <x:f>IFERROR(VLOOKUP($A203,'Andy FLEX'!$A$6:$N$278,5,FALSE),"")</x:f>
        <x:v>207</x:v>
      </x:c>
      <x:c r="O203" s="110" t="n">
        <x:f>IFERROR(VLOOKUP($A203,'Andy FLEX'!$A$6:$N$278,6,FALSE),"")</x:f>
        <x:v>4.5</x:v>
      </x:c>
      <x:c r="P203" s="111" t="n">
        <x:f>IFERROR(VLOOKUP($A203,'Andy FLEX'!$A$6:$N$278,7,FALSE),"")</x:f>
        <x:v>2</x:v>
      </x:c>
      <x:c r="Q203" s="111" t="n">
        <x:f>IFERROR(VLOOKUP($A203,'Andy FLEX'!$A$6:$N$278,8,FALSE),"")</x:f>
        <x:v>18</x:v>
      </x:c>
      <x:c r="R203" s="111" t="n">
        <x:f>IFERROR(VLOOKUP($A203,'Andy FLEX'!$A$6:$N$278,9,FALSE),"")</x:f>
        <x:v>0</x:v>
      </x:c>
      <x:c r="S203" s="111" t="n">
        <x:f>IFERROR(VLOOKUP($A203,'Andy FLEX'!$A$6:$N$278,10,FALSE),"")</x:f>
        <x:v>24</x:v>
      </x:c>
      <x:c r="T203" s="111" t="n">
        <x:f>IFERROR(VLOOKUP($A203,'Andy FLEX'!$A$6:$N$278,11,FALSE),"")</x:f>
        <x:v>347</x:v>
      </x:c>
      <x:c r="U203" s="111" t="n">
        <x:f>IFERROR(VLOOKUP($A203,'Andy FLEX'!$A$6:$N$278,12,FALSE),"")</x:f>
        <x:v>3</x:v>
      </x:c>
      <x:c r="V203" s="111" t="n">
        <x:f>IFERROR(VLOOKUP($A203,'Andy FLEX'!$A$6:$N$278,13,FALSE),"")</x:f>
        <x:v>0</x:v>
      </x:c>
      <x:c r="W203" s="109" t="n">
        <x:f>IFERROR(VLOOKUP($A203,'Jason FLEX'!$A$6:$N$268,5,FALSE),"")</x:f>
        <x:v>197</x:v>
      </x:c>
      <x:c r="X203" s="110" t="n">
        <x:f>IFERROR(VLOOKUP($A203,'Jason FLEX'!$A$6:$N$268,6,FALSE),"")</x:f>
        <x:v>4.9</x:v>
      </x:c>
      <x:c r="Y203" s="111" t="n">
        <x:f>IFERROR(VLOOKUP($A203,'Jason FLEX'!$A$6:$N$268,7,FALSE),"")</x:f>
        <x:v>5</x:v>
      </x:c>
      <x:c r="Z203" s="111" t="n">
        <x:f>IFERROR(VLOOKUP($A203,'Jason FLEX'!$A$6:$N$268,8,FALSE),"")</x:f>
        <x:v>25</x:v>
      </x:c>
      <x:c r="AA203" s="111" t="n">
        <x:f>IFERROR(VLOOKUP($A203,'Jason FLEX'!$A$6:$N$268,9,FALSE),"")</x:f>
        <x:v>0</x:v>
      </x:c>
      <x:c r="AB203" s="111" t="n">
        <x:f>IFERROR(VLOOKUP($A203,'Jason FLEX'!$A$6:$N$268,10,FALSE),"")</x:f>
        <x:v>20</x:v>
      </x:c>
      <x:c r="AC203" s="111" t="n">
        <x:f>IFERROR(VLOOKUP($A203,'Jason FLEX'!$A$6:$N$268,11,FALSE),"")</x:f>
        <x:v>360</x:v>
      </x:c>
      <x:c r="AD203" s="111" t="n">
        <x:f>IFERROR(VLOOKUP($A203,'Jason FLEX'!$A$6:$N$268,12,FALSE),"")</x:f>
        <x:v>4</x:v>
      </x:c>
      <x:c r="AE203" s="111" t="n">
        <x:f>IFERROR(VLOOKUP($A203,'Jason FLEX'!$A$6:$N$268,13,FALSE),"")</x:f>
        <x:v>0</x:v>
      </x:c>
      <x:c r="AF203" s="110" t="n">
        <x:f>IF(COUNT(E203,N203,W203)=0,"",AVERAGE(E203,N203,W203))</x:f>
        <x:v>195</x:v>
      </x:c>
      <x:c r="AG203" s="110" t="n">
        <x:f>IF(COUNT(E203,N203,W203)=0,"",MAX(E203,N203,W203)-MIN(E203,N203,W203))</x:f>
        <x:v>26</x:v>
      </x:c>
      <x:c r="AH203" s="110" t="n">
        <x:f>IF(COUNT(F203,O203,X203)=0,"",AVERAGE(F203,O203,X203))</x:f>
        <x:v>4.7</x:v>
      </x:c>
      <x:c r="AI203" s="112" t="n">
        <x:f>IF(COUNT(G203,P203,Y203)=0,"",AVERAGE(G203,P203,Y203))</x:f>
        <x:v>2.3333333333333335</x:v>
      </x:c>
      <x:c r="AJ203" s="112" t="n">
        <x:f>IF(COUNT(H203,Q203,Z203)=0,"",AVERAGE(H203,Q203,Z203))</x:f>
        <x:v>14.333333333333334</x:v>
      </x:c>
      <x:c r="AK203" s="112" t="n">
        <x:f>IF(COUNT(I203,R203,AA203)=0,"",AVERAGE(I203,R203,AA203))</x:f>
        <x:v>0</x:v>
      </x:c>
      <x:c r="AL203" s="112" t="n">
        <x:f>IF(COUNT(J203,S203,AB203)=0,"",AVERAGE(J203,S203,AB203))</x:f>
        <x:v>23.333333333333332</x:v>
      </x:c>
      <x:c r="AM203" s="112" t="n">
        <x:f>IF(COUNT(K203,T203,AC203)=0,"",AVERAGE(K203,T203,AC203))</x:f>
        <x:v>367.6666666666667</x:v>
      </x:c>
      <x:c r="AN203" s="112" t="n">
        <x:f>IF(COUNT(L203,U203,AD203)=0,"",AVERAGE(L203,U203,AD203))</x:f>
        <x:v>3</x:v>
      </x:c>
      <x:c r="AO203" s="112" t="n">
        <x:f>IF(COUNT(M203,V203,AE203)=0,"",AVERAGE(M203,V203,AE203))</x:f>
        <x:v>0</x:v>
      </x:c>
    </x:row>
    <x:row r="204">
      <x:c r="A204" s="107" t="str">
        <x:v>Michael Mayer</x:v>
      </x:c>
      <x:c r="B204" s="108" t="str">
        <x:v>TE</x:v>
      </x:c>
      <x:c r="C204" s="108" t="str">
        <x:v>LV</x:v>
      </x:c>
      <x:c r="D204" s="109" t="n">
        <x:v>13</x:v>
      </x:c>
      <x:c r="E204" s="109" t="n">
        <x:f>IFERROR(VLOOKUP($A204,'Mike FLEX'!$A$6:$N$278,5,FALSE),"")</x:f>
        <x:v>158</x:v>
      </x:c>
      <x:c r="F204" s="110" t="n">
        <x:f>IFERROR(VLOOKUP($A204,'Mike FLEX'!$A$6:$N$278,6,FALSE),"")</x:f>
        <x:v>6.1</x:v>
      </x:c>
      <x:c r="G204" s="111" t="n">
        <x:f>IFERROR(VLOOKUP($A204,'Mike FLEX'!$A$6:$N$278,7,FALSE),"")</x:f>
        <x:v>0</x:v>
      </x:c>
      <x:c r="H204" s="111" t="n">
        <x:f>IFERROR(VLOOKUP($A204,'Mike FLEX'!$A$6:$N$278,8,FALSE),"")</x:f>
        <x:v>0</x:v>
      </x:c>
      <x:c r="I204" s="111" t="n">
        <x:f>IFERROR(VLOOKUP($A204,'Mike FLEX'!$A$6:$N$278,9,FALSE),"")</x:f>
        <x:v>0</x:v>
      </x:c>
      <x:c r="J204" s="111" t="n">
        <x:f>IFERROR(VLOOKUP($A204,'Mike FLEX'!$A$6:$N$278,10,FALSE),"")</x:f>
        <x:v>46</x:v>
      </x:c>
      <x:c r="K204" s="111" t="n">
        <x:f>IFERROR(VLOOKUP($A204,'Mike FLEX'!$A$6:$N$278,11,FALSE),"")</x:f>
        <x:v>433</x:v>
      </x:c>
      <x:c r="L204" s="111" t="n">
        <x:f>IFERROR(VLOOKUP($A204,'Mike FLEX'!$A$6:$N$278,12,FALSE),"")</x:f>
        <x:v>2</x:v>
      </x:c>
      <x:c r="M204" s="111" t="n">
        <x:f>IFERROR(VLOOKUP($A204,'Mike FLEX'!$A$6:$N$278,13,FALSE),"")</x:f>
        <x:v>0</x:v>
      </x:c>
      <x:c r="N204" s="109" t="n">
        <x:f>IFERROR(VLOOKUP($A204,'Andy FLEX'!$A$6:$N$278,5,FALSE),"")</x:f>
        <x:v>208</x:v>
      </x:c>
      <x:c r="O204" s="110" t="n">
        <x:f>IFERROR(VLOOKUP($A204,'Andy FLEX'!$A$6:$N$278,6,FALSE),"")</x:f>
        <x:v>4.5</x:v>
      </x:c>
      <x:c r="P204" s="111" t="n">
        <x:f>IFERROR(VLOOKUP($A204,'Andy FLEX'!$A$6:$N$278,7,FALSE),"")</x:f>
        <x:v>0</x:v>
      </x:c>
      <x:c r="Q204" s="111" t="n">
        <x:f>IFERROR(VLOOKUP($A204,'Andy FLEX'!$A$6:$N$278,8,FALSE),"")</x:f>
        <x:v>0</x:v>
      </x:c>
      <x:c r="R204" s="111" t="n">
        <x:f>IFERROR(VLOOKUP($A204,'Andy FLEX'!$A$6:$N$278,9,FALSE),"")</x:f>
        <x:v>0</x:v>
      </x:c>
      <x:c r="S204" s="111" t="n">
        <x:f>IFERROR(VLOOKUP($A204,'Andy FLEX'!$A$6:$N$278,10,FALSE),"")</x:f>
        <x:v>36</x:v>
      </x:c>
      <x:c r="T204" s="111" t="n">
        <x:f>IFERROR(VLOOKUP($A204,'Andy FLEX'!$A$6:$N$278,11,FALSE),"")</x:f>
        <x:v>340</x:v>
      </x:c>
      <x:c r="U204" s="111" t="n">
        <x:f>IFERROR(VLOOKUP($A204,'Andy FLEX'!$A$6:$N$278,12,FALSE),"")</x:f>
        <x:v>1</x:v>
      </x:c>
      <x:c r="V204" s="111" t="n">
        <x:f>IFERROR(VLOOKUP($A204,'Andy FLEX'!$A$6:$N$278,13,FALSE),"")</x:f>
        <x:v>0</x:v>
      </x:c>
      <x:c r="W204" s="109" t="n">
        <x:f>IFERROR(VLOOKUP($A204,'Jason FLEX'!$A$6:$N$268,5,FALSE),"")</x:f>
        <x:v>220</x:v>
      </x:c>
      <x:c r="X204" s="110" t="n">
        <x:f>IFERROR(VLOOKUP($A204,'Jason FLEX'!$A$6:$N$268,6,FALSE),"")</x:f>
        <x:v>3.7</x:v>
      </x:c>
      <x:c r="Y204" s="111" t="n">
        <x:f>IFERROR(VLOOKUP($A204,'Jason FLEX'!$A$6:$N$268,7,FALSE),"")</x:f>
        <x:v>0</x:v>
      </x:c>
      <x:c r="Z204" s="111" t="n">
        <x:f>IFERROR(VLOOKUP($A204,'Jason FLEX'!$A$6:$N$268,8,FALSE),"")</x:f>
        <x:v>0</x:v>
      </x:c>
      <x:c r="AA204" s="111" t="n">
        <x:f>IFERROR(VLOOKUP($A204,'Jason FLEX'!$A$6:$N$268,9,FALSE),"")</x:f>
        <x:v>0</x:v>
      </x:c>
      <x:c r="AB204" s="111" t="n">
        <x:f>IFERROR(VLOOKUP($A204,'Jason FLEX'!$A$6:$N$268,10,FALSE),"")</x:f>
        <x:v>21</x:v>
      </x:c>
      <x:c r="AC204" s="111" t="n">
        <x:f>IFERROR(VLOOKUP($A204,'Jason FLEX'!$A$6:$N$268,11,FALSE),"")</x:f>
        <x:v>298</x:v>
      </x:c>
      <x:c r="AD204" s="111" t="n">
        <x:f>IFERROR(VLOOKUP($A204,'Jason FLEX'!$A$6:$N$268,12,FALSE),"")</x:f>
        <x:v>2</x:v>
      </x:c>
      <x:c r="AE204" s="111" t="n">
        <x:f>IFERROR(VLOOKUP($A204,'Jason FLEX'!$A$6:$N$268,13,FALSE),"")</x:f>
        <x:v>0</x:v>
      </x:c>
      <x:c r="AF204" s="110" t="n">
        <x:f>IF(COUNT(E204,N204,W204)=0,"",AVERAGE(E204,N204,W204))</x:f>
        <x:v>195.33333333333334</x:v>
      </x:c>
      <x:c r="AG204" s="110" t="n">
        <x:f>IF(COUNT(E204,N204,W204)=0,"",MAX(E204,N204,W204)-MIN(E204,N204,W204))</x:f>
        <x:v>62</x:v>
      </x:c>
      <x:c r="AH204" s="110" t="n">
        <x:f>IF(COUNT(F204,O204,X204)=0,"",AVERAGE(F204,O204,X204))</x:f>
        <x:v>4.766666666666667</x:v>
      </x:c>
      <x:c r="AI204" s="112" t="n">
        <x:f>IF(COUNT(G204,P204,Y204)=0,"",AVERAGE(G204,P204,Y204))</x:f>
        <x:v>0</x:v>
      </x:c>
      <x:c r="AJ204" s="112" t="n">
        <x:f>IF(COUNT(H204,Q204,Z204)=0,"",AVERAGE(H204,Q204,Z204))</x:f>
        <x:v>0</x:v>
      </x:c>
      <x:c r="AK204" s="112" t="n">
        <x:f>IF(COUNT(I204,R204,AA204)=0,"",AVERAGE(I204,R204,AA204))</x:f>
        <x:v>0</x:v>
      </x:c>
      <x:c r="AL204" s="112" t="n">
        <x:f>IF(COUNT(J204,S204,AB204)=0,"",AVERAGE(J204,S204,AB204))</x:f>
        <x:v>34.333333333333336</x:v>
      </x:c>
      <x:c r="AM204" s="112" t="n">
        <x:f>IF(COUNT(K204,T204,AC204)=0,"",AVERAGE(K204,T204,AC204))</x:f>
        <x:v>357</x:v>
      </x:c>
      <x:c r="AN204" s="112" t="n">
        <x:f>IF(COUNT(L204,U204,AD204)=0,"",AVERAGE(L204,U204,AD204))</x:f>
        <x:v>1.6666666666666667</x:v>
      </x:c>
      <x:c r="AO204" s="112" t="n">
        <x:f>IF(COUNT(M204,V204,AE204)=0,"",AVERAGE(M204,V204,AE204))</x:f>
        <x:v>0</x:v>
      </x:c>
    </x:row>
    <x:row r="205">
      <x:c r="A205" s="107" t="str">
        <x:v>Dawson Knox</x:v>
      </x:c>
      <x:c r="B205" s="108" t="str">
        <x:v>TE</x:v>
      </x:c>
      <x:c r="C205" s="108" t="str">
        <x:v>BUF</x:v>
      </x:c>
      <x:c r="D205" s="109" t="n">
        <x:v>7</x:v>
      </x:c>
      <x:c r="E205" s="109" t="n">
        <x:f>IFERROR(VLOOKUP($A205,'Mike FLEX'!$A$6:$N$278,5,FALSE),"")</x:f>
        <x:v>172</x:v>
      </x:c>
      <x:c r="F205" s="110" t="n">
        <x:f>IFERROR(VLOOKUP($A205,'Mike FLEX'!$A$6:$N$278,6,FALSE),"")</x:f>
        <x:v>5.1</x:v>
      </x:c>
      <x:c r="G205" s="111" t="n">
        <x:f>IFERROR(VLOOKUP($A205,'Mike FLEX'!$A$6:$N$278,7,FALSE),"")</x:f>
        <x:v>0</x:v>
      </x:c>
      <x:c r="H205" s="111" t="n">
        <x:f>IFERROR(VLOOKUP($A205,'Mike FLEX'!$A$6:$N$278,8,FALSE),"")</x:f>
        <x:v>0</x:v>
      </x:c>
      <x:c r="I205" s="111" t="n">
        <x:f>IFERROR(VLOOKUP($A205,'Mike FLEX'!$A$6:$N$278,9,FALSE),"")</x:f>
        <x:v>0</x:v>
      </x:c>
      <x:c r="J205" s="111" t="n">
        <x:f>IFERROR(VLOOKUP($A205,'Mike FLEX'!$A$6:$N$278,10,FALSE),"")</x:f>
        <x:v>31</x:v>
      </x:c>
      <x:c r="K205" s="111" t="n">
        <x:f>IFERROR(VLOOKUP($A205,'Mike FLEX'!$A$6:$N$278,11,FALSE),"")</x:f>
        <x:v>360</x:v>
      </x:c>
      <x:c r="L205" s="111" t="n">
        <x:f>IFERROR(VLOOKUP($A205,'Mike FLEX'!$A$6:$N$278,12,FALSE),"")</x:f>
        <x:v>3</x:v>
      </x:c>
      <x:c r="M205" s="111" t="n">
        <x:f>IFERROR(VLOOKUP($A205,'Mike FLEX'!$A$6:$N$278,13,FALSE),"")</x:f>
        <x:v>0</x:v>
      </x:c>
      <x:c r="N205" s="109" t="n">
        <x:f>IFERROR(VLOOKUP($A205,'Andy FLEX'!$A$6:$N$278,5,FALSE),"")</x:f>
        <x:v>212</x:v>
      </x:c>
      <x:c r="O205" s="110" t="n">
        <x:f>IFERROR(VLOOKUP($A205,'Andy FLEX'!$A$6:$N$278,6,FALSE),"")</x:f>
        <x:v>4.4</x:v>
      </x:c>
      <x:c r="P205" s="111" t="n">
        <x:f>IFERROR(VLOOKUP($A205,'Andy FLEX'!$A$6:$N$278,7,FALSE),"")</x:f>
        <x:v>0</x:v>
      </x:c>
      <x:c r="Q205" s="111" t="n">
        <x:f>IFERROR(VLOOKUP($A205,'Andy FLEX'!$A$6:$N$278,8,FALSE),"")</x:f>
        <x:v>0</x:v>
      </x:c>
      <x:c r="R205" s="111" t="n">
        <x:f>IFERROR(VLOOKUP($A205,'Andy FLEX'!$A$6:$N$278,9,FALSE),"")</x:f>
        <x:v>0</x:v>
      </x:c>
      <x:c r="S205" s="111" t="n">
        <x:f>IFERROR(VLOOKUP($A205,'Andy FLEX'!$A$6:$N$278,10,FALSE),"")</x:f>
        <x:v>26</x:v>
      </x:c>
      <x:c r="T205" s="111" t="n">
        <x:f>IFERROR(VLOOKUP($A205,'Andy FLEX'!$A$6:$N$278,11,FALSE),"")</x:f>
        <x:v>299</x:v>
      </x:c>
      <x:c r="U205" s="111" t="n">
        <x:f>IFERROR(VLOOKUP($A205,'Andy FLEX'!$A$6:$N$278,12,FALSE),"")</x:f>
        <x:v>3</x:v>
      </x:c>
      <x:c r="V205" s="111" t="n">
        <x:f>IFERROR(VLOOKUP($A205,'Andy FLEX'!$A$6:$N$278,13,FALSE),"")</x:f>
        <x:v>0</x:v>
      </x:c>
      <x:c r="W205" s="109" t="n">
        <x:f>IFERROR(VLOOKUP($A205,'Jason FLEX'!$A$6:$N$268,5,FALSE),"")</x:f>
        <x:v>203</x:v>
      </x:c>
      <x:c r="X205" s="110" t="n">
        <x:f>IFERROR(VLOOKUP($A205,'Jason FLEX'!$A$6:$N$268,6,FALSE),"")</x:f>
        <x:v>4.5</x:v>
      </x:c>
      <x:c r="Y205" s="111" t="n">
        <x:f>IFERROR(VLOOKUP($A205,'Jason FLEX'!$A$6:$N$268,7,FALSE),"")</x:f>
        <x:v>0</x:v>
      </x:c>
      <x:c r="Z205" s="111" t="n">
        <x:f>IFERROR(VLOOKUP($A205,'Jason FLEX'!$A$6:$N$268,8,FALSE),"")</x:f>
        <x:v>0</x:v>
      </x:c>
      <x:c r="AA205" s="111" t="n">
        <x:f>IFERROR(VLOOKUP($A205,'Jason FLEX'!$A$6:$N$268,9,FALSE),"")</x:f>
        <x:v>0</x:v>
      </x:c>
      <x:c r="AB205" s="111" t="n">
        <x:f>IFERROR(VLOOKUP($A205,'Jason FLEX'!$A$6:$N$268,10,FALSE),"")</x:f>
        <x:v>29</x:v>
      </x:c>
      <x:c r="AC205" s="111" t="n">
        <x:f>IFERROR(VLOOKUP($A205,'Jason FLEX'!$A$6:$N$268,11,FALSE),"")</x:f>
        <x:v>330</x:v>
      </x:c>
      <x:c r="AD205" s="111" t="n">
        <x:f>IFERROR(VLOOKUP($A205,'Jason FLEX'!$A$6:$N$268,12,FALSE),"")</x:f>
        <x:v>3</x:v>
      </x:c>
      <x:c r="AE205" s="111" t="n">
        <x:f>IFERROR(VLOOKUP($A205,'Jason FLEX'!$A$6:$N$268,13,FALSE),"")</x:f>
        <x:v>0</x:v>
      </x:c>
      <x:c r="AF205" s="110" t="n">
        <x:f>IF(COUNT(E205,N205,W205)=0,"",AVERAGE(E205,N205,W205))</x:f>
        <x:v>195.66666666666666</x:v>
      </x:c>
      <x:c r="AG205" s="110" t="n">
        <x:f>IF(COUNT(E205,N205,W205)=0,"",MAX(E205,N205,W205)-MIN(E205,N205,W205))</x:f>
        <x:v>40</x:v>
      </x:c>
      <x:c r="AH205" s="110" t="n">
        <x:f>IF(COUNT(F205,O205,X205)=0,"",AVERAGE(F205,O205,X205))</x:f>
        <x:v>4.666666666666667</x:v>
      </x:c>
      <x:c r="AI205" s="112" t="n">
        <x:f>IF(COUNT(G205,P205,Y205)=0,"",AVERAGE(G205,P205,Y205))</x:f>
        <x:v>0</x:v>
      </x:c>
      <x:c r="AJ205" s="112" t="n">
        <x:f>IF(COUNT(H205,Q205,Z205)=0,"",AVERAGE(H205,Q205,Z205))</x:f>
        <x:v>0</x:v>
      </x:c>
      <x:c r="AK205" s="112" t="n">
        <x:f>IF(COUNT(I205,R205,AA205)=0,"",AVERAGE(I205,R205,AA205))</x:f>
        <x:v>0</x:v>
      </x:c>
      <x:c r="AL205" s="112" t="n">
        <x:f>IF(COUNT(J205,S205,AB205)=0,"",AVERAGE(J205,S205,AB205))</x:f>
        <x:v>28.666666666666668</x:v>
      </x:c>
      <x:c r="AM205" s="112" t="n">
        <x:f>IF(COUNT(K205,T205,AC205)=0,"",AVERAGE(K205,T205,AC205))</x:f>
        <x:v>329.6666666666667</x:v>
      </x:c>
      <x:c r="AN205" s="112" t="n">
        <x:f>IF(COUNT(L205,U205,AD205)=0,"",AVERAGE(L205,U205,AD205))</x:f>
        <x:v>3</x:v>
      </x:c>
      <x:c r="AO205" s="112" t="n">
        <x:f>IF(COUNT(M205,V205,AE205)=0,"",AVERAGE(M205,V205,AE205))</x:f>
        <x:v>0</x:v>
      </x:c>
    </x:row>
    <x:row r="206">
      <x:c r="A206" s="107" t="str">
        <x:v>Tez Johnson</x:v>
      </x:c>
      <x:c r="B206" s="108" t="str">
        <x:v>WR</x:v>
      </x:c>
      <x:c r="C206" s="108" t="str">
        <x:v>TB</x:v>
      </x:c>
      <x:c r="D206" s="109" t="n">
        <x:v>10</x:v>
      </x:c>
      <x:c r="E206" s="109" t="n">
        <x:f>IFERROR(VLOOKUP($A206,'Mike FLEX'!$A$6:$N$278,5,FALSE),"")</x:f>
        <x:v>217</x:v>
      </x:c>
      <x:c r="F206" s="110" t="n">
        <x:f>IFERROR(VLOOKUP($A206,'Mike FLEX'!$A$6:$N$278,6,FALSE),"")</x:f>
        <x:v>3.5</x:v>
      </x:c>
      <x:c r="G206" s="111" t="n">
        <x:f>IFERROR(VLOOKUP($A206,'Mike FLEX'!$A$6:$N$278,7,FALSE),"")</x:f>
        <x:v>7</x:v>
      </x:c>
      <x:c r="H206" s="111" t="n">
        <x:f>IFERROR(VLOOKUP($A206,'Mike FLEX'!$A$6:$N$278,8,FALSE),"")</x:f>
        <x:v>22</x:v>
      </x:c>
      <x:c r="I206" s="111" t="n">
        <x:f>IFERROR(VLOOKUP($A206,'Mike FLEX'!$A$6:$N$278,9,FALSE),"")</x:f>
        <x:v>0</x:v>
      </x:c>
      <x:c r="J206" s="111" t="n">
        <x:f>IFERROR(VLOOKUP($A206,'Mike FLEX'!$A$6:$N$278,10,FALSE),"")</x:f>
        <x:v>21</x:v>
      </x:c>
      <x:c r="K206" s="111" t="n">
        <x:f>IFERROR(VLOOKUP($A206,'Mike FLEX'!$A$6:$N$278,11,FALSE),"")</x:f>
        <x:v>238</x:v>
      </x:c>
      <x:c r="L206" s="111" t="n">
        <x:f>IFERROR(VLOOKUP($A206,'Mike FLEX'!$A$6:$N$278,12,FALSE),"")</x:f>
        <x:v>2</x:v>
      </x:c>
      <x:c r="M206" s="111" t="n">
        <x:f>IFERROR(VLOOKUP($A206,'Mike FLEX'!$A$6:$N$278,13,FALSE),"")</x:f>
        <x:v>0</x:v>
      </x:c>
      <x:c r="N206" s="109" t="n">
        <x:f>IFERROR(VLOOKUP($A206,'Andy FLEX'!$A$6:$N$278,5,FALSE),"")</x:f>
        <x:v>185</x:v>
      </x:c>
      <x:c r="O206" s="110" t="n">
        <x:f>IFERROR(VLOOKUP($A206,'Andy FLEX'!$A$6:$N$278,6,FALSE),"")</x:f>
        <x:v>5.4</x:v>
      </x:c>
      <x:c r="P206" s="111" t="n">
        <x:f>IFERROR(VLOOKUP($A206,'Andy FLEX'!$A$6:$N$278,7,FALSE),"")</x:f>
        <x:v>8</x:v>
      </x:c>
      <x:c r="Q206" s="111" t="n">
        <x:f>IFERROR(VLOOKUP($A206,'Andy FLEX'!$A$6:$N$278,8,FALSE),"")</x:f>
        <x:v>52</x:v>
      </x:c>
      <x:c r="R206" s="111" t="n">
        <x:f>IFERROR(VLOOKUP($A206,'Andy FLEX'!$A$6:$N$278,9,FALSE),"")</x:f>
        <x:v>0</x:v>
      </x:c>
      <x:c r="S206" s="111" t="n">
        <x:f>IFERROR(VLOOKUP($A206,'Andy FLEX'!$A$6:$N$278,10,FALSE),"")</x:f>
        <x:v>32</x:v>
      </x:c>
      <x:c r="T206" s="111" t="n">
        <x:f>IFERROR(VLOOKUP($A206,'Andy FLEX'!$A$6:$N$278,11,FALSE),"")</x:f>
        <x:v>371</x:v>
      </x:c>
      <x:c r="U206" s="111" t="n">
        <x:f>IFERROR(VLOOKUP($A206,'Andy FLEX'!$A$6:$N$278,12,FALSE),"")</x:f>
        <x:v>3</x:v>
      </x:c>
      <x:c r="V206" s="111" t="n">
        <x:f>IFERROR(VLOOKUP($A206,'Andy FLEX'!$A$6:$N$278,13,FALSE),"")</x:f>
        <x:v>0</x:v>
      </x:c>
      <x:c r="W206" s="109" t="n">
        <x:f>IFERROR(VLOOKUP($A206,'Jason FLEX'!$A$6:$N$268,5,FALSE),"")</x:f>
        <x:v>189</x:v>
      </x:c>
      <x:c r="X206" s="110" t="n">
        <x:f>IFERROR(VLOOKUP($A206,'Jason FLEX'!$A$6:$N$268,6,FALSE),"")</x:f>
        <x:v>5</x:v>
      </x:c>
      <x:c r="Y206" s="111" t="n">
        <x:f>IFERROR(VLOOKUP($A206,'Jason FLEX'!$A$6:$N$268,7,FALSE),"")</x:f>
        <x:v>7</x:v>
      </x:c>
      <x:c r="Z206" s="111" t="n">
        <x:f>IFERROR(VLOOKUP($A206,'Jason FLEX'!$A$6:$N$268,8,FALSE),"")</x:f>
        <x:v>25</x:v>
      </x:c>
      <x:c r="AA206" s="111" t="n">
        <x:f>IFERROR(VLOOKUP($A206,'Jason FLEX'!$A$6:$N$268,9,FALSE),"")</x:f>
        <x:v>0</x:v>
      </x:c>
      <x:c r="AB206" s="111" t="n">
        <x:f>IFERROR(VLOOKUP($A206,'Jason FLEX'!$A$6:$N$268,10,FALSE),"")</x:f>
        <x:v>36</x:v>
      </x:c>
      <x:c r="AC206" s="111" t="n">
        <x:f>IFERROR(VLOOKUP($A206,'Jason FLEX'!$A$6:$N$268,11,FALSE),"")</x:f>
        <x:v>389</x:v>
      </x:c>
      <x:c r="AD206" s="111" t="n">
        <x:f>IFERROR(VLOOKUP($A206,'Jason FLEX'!$A$6:$N$268,12,FALSE),"")</x:f>
        <x:v>1</x:v>
      </x:c>
      <x:c r="AE206" s="111" t="n">
        <x:f>IFERROR(VLOOKUP($A206,'Jason FLEX'!$A$6:$N$268,13,FALSE),"")</x:f>
        <x:v>0</x:v>
      </x:c>
      <x:c r="AF206" s="110" t="n">
        <x:f>IF(COUNT(E206,N206,W206)=0,"",AVERAGE(E206,N206,W206))</x:f>
        <x:v>197</x:v>
      </x:c>
      <x:c r="AG206" s="110" t="n">
        <x:f>IF(COUNT(E206,N206,W206)=0,"",MAX(E206,N206,W206)-MIN(E206,N206,W206))</x:f>
        <x:v>32</x:v>
      </x:c>
      <x:c r="AH206" s="110" t="n">
        <x:f>IF(COUNT(F206,O206,X206)=0,"",AVERAGE(F206,O206,X206))</x:f>
        <x:v>4.633333333333334</x:v>
      </x:c>
      <x:c r="AI206" s="112" t="n">
        <x:f>IF(COUNT(G206,P206,Y206)=0,"",AVERAGE(G206,P206,Y206))</x:f>
        <x:v>7.333333333333333</x:v>
      </x:c>
      <x:c r="AJ206" s="112" t="n">
        <x:f>IF(COUNT(H206,Q206,Z206)=0,"",AVERAGE(H206,Q206,Z206))</x:f>
        <x:v>33</x:v>
      </x:c>
      <x:c r="AK206" s="112" t="n">
        <x:f>IF(COUNT(I206,R206,AA206)=0,"",AVERAGE(I206,R206,AA206))</x:f>
        <x:v>0</x:v>
      </x:c>
      <x:c r="AL206" s="112" t="n">
        <x:f>IF(COUNT(J206,S206,AB206)=0,"",AVERAGE(J206,S206,AB206))</x:f>
        <x:v>29.666666666666668</x:v>
      </x:c>
      <x:c r="AM206" s="112" t="n">
        <x:f>IF(COUNT(K206,T206,AC206)=0,"",AVERAGE(K206,T206,AC206))</x:f>
        <x:v>332.6666666666667</x:v>
      </x:c>
      <x:c r="AN206" s="112" t="n">
        <x:f>IF(COUNT(L206,U206,AD206)=0,"",AVERAGE(L206,U206,AD206))</x:f>
        <x:v>2</x:v>
      </x:c>
      <x:c r="AO206" s="112" t="n">
        <x:f>IF(COUNT(M206,V206,AE206)=0,"",AVERAGE(M206,V206,AE206))</x:f>
        <x:v>0</x:v>
      </x:c>
    </x:row>
    <x:row r="207">
      <x:c r="A207" s="107" t="str">
        <x:v>Andrei Iosivas</x:v>
      </x:c>
      <x:c r="B207" s="108" t="str">
        <x:v>WR</x:v>
      </x:c>
      <x:c r="C207" s="108" t="str">
        <x:v>CIN</x:v>
      </x:c>
      <x:c r="D207" s="109" t="n">
        <x:v>6</x:v>
      </x:c>
      <x:c r="E207" s="109" t="n">
        <x:f>IFERROR(VLOOKUP($A207,'Mike FLEX'!$A$6:$N$278,5,FALSE),"")</x:f>
        <x:v>186</x:v>
      </x:c>
      <x:c r="F207" s="110" t="n">
        <x:f>IFERROR(VLOOKUP($A207,'Mike FLEX'!$A$6:$N$278,6,FALSE),"")</x:f>
        <x:v>4.5</x:v>
      </x:c>
      <x:c r="G207" s="111" t="n">
        <x:f>IFERROR(VLOOKUP($A207,'Mike FLEX'!$A$6:$N$278,7,FALSE),"")</x:f>
        <x:v>0</x:v>
      </x:c>
      <x:c r="H207" s="111" t="n">
        <x:f>IFERROR(VLOOKUP($A207,'Mike FLEX'!$A$6:$N$278,8,FALSE),"")</x:f>
        <x:v>0</x:v>
      </x:c>
      <x:c r="I207" s="111" t="n">
        <x:f>IFERROR(VLOOKUP($A207,'Mike FLEX'!$A$6:$N$278,9,FALSE),"")</x:f>
        <x:v>0</x:v>
      </x:c>
      <x:c r="J207" s="111" t="n">
        <x:f>IFERROR(VLOOKUP($A207,'Mike FLEX'!$A$6:$N$278,10,FALSE),"")</x:f>
        <x:v>26</x:v>
      </x:c>
      <x:c r="K207" s="111" t="n">
        <x:f>IFERROR(VLOOKUP($A207,'Mike FLEX'!$A$6:$N$278,11,FALSE),"")</x:f>
        <x:v>330</x:v>
      </x:c>
      <x:c r="L207" s="111" t="n">
        <x:f>IFERROR(VLOOKUP($A207,'Mike FLEX'!$A$6:$N$278,12,FALSE),"")</x:f>
        <x:v>3</x:v>
      </x:c>
      <x:c r="M207" s="111" t="n">
        <x:f>IFERROR(VLOOKUP($A207,'Mike FLEX'!$A$6:$N$278,13,FALSE),"")</x:f>
        <x:v>0</x:v>
      </x:c>
      <x:c r="N207" s="109" t="n">
        <x:f>IFERROR(VLOOKUP($A207,'Andy FLEX'!$A$6:$N$278,5,FALSE),"")</x:f>
        <x:v>245</x:v>
      </x:c>
      <x:c r="O207" s="110" t="n">
        <x:f>IFERROR(VLOOKUP($A207,'Andy FLEX'!$A$6:$N$278,6,FALSE),"")</x:f>
        <x:v>3.3</x:v>
      </x:c>
      <x:c r="P207" s="111" t="n">
        <x:f>IFERROR(VLOOKUP($A207,'Andy FLEX'!$A$6:$N$278,7,FALSE),"")</x:f>
        <x:v>1</x:v>
      </x:c>
      <x:c r="Q207" s="111" t="n">
        <x:f>IFERROR(VLOOKUP($A207,'Andy FLEX'!$A$6:$N$278,8,FALSE),"")</x:f>
        <x:v>9</x:v>
      </x:c>
      <x:c r="R207" s="111" t="n">
        <x:f>IFERROR(VLOOKUP($A207,'Andy FLEX'!$A$6:$N$278,9,FALSE),"")</x:f>
        <x:v>0</x:v>
      </x:c>
      <x:c r="S207" s="111" t="n">
        <x:f>IFERROR(VLOOKUP($A207,'Andy FLEX'!$A$6:$N$278,10,FALSE),"")</x:f>
        <x:v>19</x:v>
      </x:c>
      <x:c r="T207" s="111" t="n">
        <x:f>IFERROR(VLOOKUP($A207,'Andy FLEX'!$A$6:$N$278,11,FALSE),"")</x:f>
        <x:v>282</x:v>
      </x:c>
      <x:c r="U207" s="111" t="n">
        <x:f>IFERROR(VLOOKUP($A207,'Andy FLEX'!$A$6:$N$278,12,FALSE),"")</x:f>
        <x:v>1</x:v>
      </x:c>
      <x:c r="V207" s="111" t="n">
        <x:f>IFERROR(VLOOKUP($A207,'Andy FLEX'!$A$6:$N$278,13,FALSE),"")</x:f>
        <x:v>0</x:v>
      </x:c>
      <x:c r="W207" s="109" t="n">
        <x:f>IFERROR(VLOOKUP($A207,'Jason FLEX'!$A$6:$N$268,5,FALSE),"")</x:f>
        <x:v>161</x:v>
      </x:c>
      <x:c r="X207" s="110" t="n">
        <x:f>IFERROR(VLOOKUP($A207,'Jason FLEX'!$A$6:$N$268,6,FALSE),"")</x:f>
        <x:v>6.4</x:v>
      </x:c>
      <x:c r="Y207" s="111" t="n">
        <x:f>IFERROR(VLOOKUP($A207,'Jason FLEX'!$A$6:$N$268,7,FALSE),"")</x:f>
        <x:v>3</x:v>
      </x:c>
      <x:c r="Z207" s="111" t="n">
        <x:f>IFERROR(VLOOKUP($A207,'Jason FLEX'!$A$6:$N$268,8,FALSE),"")</x:f>
        <x:v>15</x:v>
      </x:c>
      <x:c r="AA207" s="111" t="n">
        <x:f>IFERROR(VLOOKUP($A207,'Jason FLEX'!$A$6:$N$268,9,FALSE),"")</x:f>
        <x:v>0</x:v>
      </x:c>
      <x:c r="AB207" s="111" t="n">
        <x:f>IFERROR(VLOOKUP($A207,'Jason FLEX'!$A$6:$N$268,10,FALSE),"")</x:f>
        <x:v>35</x:v>
      </x:c>
      <x:c r="AC207" s="111" t="n">
        <x:f>IFERROR(VLOOKUP($A207,'Jason FLEX'!$A$6:$N$268,11,FALSE),"")</x:f>
        <x:v>455</x:v>
      </x:c>
      <x:c r="AD207" s="111" t="n">
        <x:f>IFERROR(VLOOKUP($A207,'Jason FLEX'!$A$6:$N$268,12,FALSE),"")</x:f>
        <x:v>5</x:v>
      </x:c>
      <x:c r="AE207" s="111" t="n">
        <x:f>IFERROR(VLOOKUP($A207,'Jason FLEX'!$A$6:$N$268,13,FALSE),"")</x:f>
        <x:v>0</x:v>
      </x:c>
      <x:c r="AF207" s="110" t="n">
        <x:f>IF(COUNT(E207,N207,W207)=0,"",AVERAGE(E207,N207,W207))</x:f>
        <x:v>197.33333333333334</x:v>
      </x:c>
      <x:c r="AG207" s="110" t="n">
        <x:f>IF(COUNT(E207,N207,W207)=0,"",MAX(E207,N207,W207)-MIN(E207,N207,W207))</x:f>
        <x:v>84</x:v>
      </x:c>
      <x:c r="AH207" s="110" t="n">
        <x:f>IF(COUNT(F207,O207,X207)=0,"",AVERAGE(F207,O207,X207))</x:f>
        <x:v>4.733333333333333</x:v>
      </x:c>
      <x:c r="AI207" s="112" t="n">
        <x:f>IF(COUNT(G207,P207,Y207)=0,"",AVERAGE(G207,P207,Y207))</x:f>
        <x:v>1.3333333333333333</x:v>
      </x:c>
      <x:c r="AJ207" s="112" t="n">
        <x:f>IF(COUNT(H207,Q207,Z207)=0,"",AVERAGE(H207,Q207,Z207))</x:f>
        <x:v>8</x:v>
      </x:c>
      <x:c r="AK207" s="112" t="n">
        <x:f>IF(COUNT(I207,R207,AA207)=0,"",AVERAGE(I207,R207,AA207))</x:f>
        <x:v>0</x:v>
      </x:c>
      <x:c r="AL207" s="112" t="n">
        <x:f>IF(COUNT(J207,S207,AB207)=0,"",AVERAGE(J207,S207,AB207))</x:f>
        <x:v>26.666666666666668</x:v>
      </x:c>
      <x:c r="AM207" s="112" t="n">
        <x:f>IF(COUNT(K207,T207,AC207)=0,"",AVERAGE(K207,T207,AC207))</x:f>
        <x:v>355.6666666666667</x:v>
      </x:c>
      <x:c r="AN207" s="112" t="n">
        <x:f>IF(COUNT(L207,U207,AD207)=0,"",AVERAGE(L207,U207,AD207))</x:f>
        <x:v>3</x:v>
      </x:c>
      <x:c r="AO207" s="112" t="n">
        <x:f>IF(COUNT(M207,V207,AE207)=0,"",AVERAGE(M207,V207,AE207))</x:f>
        <x:v>0</x:v>
      </x:c>
    </x:row>
    <x:row r="208">
      <x:c r="A208" s="107" t="str">
        <x:v>Emmett Johnson</x:v>
      </x:c>
      <x:c r="B208" s="108" t="str">
        <x:v>RB</x:v>
      </x:c>
      <x:c r="C208" s="108" t="str">
        <x:v>KC</x:v>
      </x:c>
      <x:c r="D208" s="109" t="n">
        <x:v>5</x:v>
      </x:c>
      <x:c r="E208" s="109" t="n">
        <x:f>IFERROR(VLOOKUP($A208,'Mike FLEX'!$A$6:$N$278,5,FALSE),"")</x:f>
        <x:v>188</x:v>
      </x:c>
      <x:c r="F208" s="110" t="n">
        <x:f>IFERROR(VLOOKUP($A208,'Mike FLEX'!$A$6:$N$278,6,FALSE),"")</x:f>
        <x:v>4.4</x:v>
      </x:c>
      <x:c r="G208" s="111" t="n">
        <x:f>IFERROR(VLOOKUP($A208,'Mike FLEX'!$A$6:$N$278,7,FALSE),"")</x:f>
        <x:v>95</x:v>
      </x:c>
      <x:c r="H208" s="111" t="n">
        <x:f>IFERROR(VLOOKUP($A208,'Mike FLEX'!$A$6:$N$278,8,FALSE),"")</x:f>
        <x:v>409</x:v>
      </x:c>
      <x:c r="I208" s="111" t="n">
        <x:f>IFERROR(VLOOKUP($A208,'Mike FLEX'!$A$6:$N$278,9,FALSE),"")</x:f>
        <x:v>3</x:v>
      </x:c>
      <x:c r="J208" s="111" t="n">
        <x:f>IFERROR(VLOOKUP($A208,'Mike FLEX'!$A$6:$N$278,10,FALSE),"")</x:f>
        <x:v>9</x:v>
      </x:c>
      <x:c r="K208" s="111" t="n">
        <x:f>IFERROR(VLOOKUP($A208,'Mike FLEX'!$A$6:$N$278,11,FALSE),"")</x:f>
        <x:v>65</x:v>
      </x:c>
      <x:c r="L208" s="111" t="n">
        <x:f>IFERROR(VLOOKUP($A208,'Mike FLEX'!$A$6:$N$278,12,FALSE),"")</x:f>
        <x:v>0</x:v>
      </x:c>
      <x:c r="M208" s="111" t="n">
        <x:f>IFERROR(VLOOKUP($A208,'Mike FLEX'!$A$6:$N$278,13,FALSE),"")</x:f>
        <x:v>0</x:v>
      </x:c>
      <x:c r="N208" s="109" t="n">
        <x:f>IFERROR(VLOOKUP($A208,'Andy FLEX'!$A$6:$N$278,5,FALSE),"")</x:f>
        <x:v>228</x:v>
      </x:c>
      <x:c r="O208" s="110" t="n">
        <x:f>IFERROR(VLOOKUP($A208,'Andy FLEX'!$A$6:$N$278,6,FALSE),"")</x:f>
        <x:v>3.8</x:v>
      </x:c>
      <x:c r="P208" s="111" t="n">
        <x:f>IFERROR(VLOOKUP($A208,'Andy FLEX'!$A$6:$N$278,7,FALSE),"")</x:f>
        <x:v>55</x:v>
      </x:c>
      <x:c r="Q208" s="111" t="n">
        <x:f>IFERROR(VLOOKUP($A208,'Andy FLEX'!$A$6:$N$278,8,FALSE),"")</x:f>
        <x:v>241</x:v>
      </x:c>
      <x:c r="R208" s="111" t="n">
        <x:f>IFERROR(VLOOKUP($A208,'Andy FLEX'!$A$6:$N$278,9,FALSE),"")</x:f>
        <x:v>2</x:v>
      </x:c>
      <x:c r="S208" s="111" t="n">
        <x:f>IFERROR(VLOOKUP($A208,'Andy FLEX'!$A$6:$N$278,10,FALSE),"")</x:f>
        <x:v>14</x:v>
      </x:c>
      <x:c r="T208" s="111" t="n">
        <x:f>IFERROR(VLOOKUP($A208,'Andy FLEX'!$A$6:$N$278,11,FALSE),"")</x:f>
        <x:v>117</x:v>
      </x:c>
      <x:c r="U208" s="111" t="n">
        <x:f>IFERROR(VLOOKUP($A208,'Andy FLEX'!$A$6:$N$278,12,FALSE),"")</x:f>
        <x:v>1</x:v>
      </x:c>
      <x:c r="V208" s="111" t="n">
        <x:f>IFERROR(VLOOKUP($A208,'Andy FLEX'!$A$6:$N$278,13,FALSE),"")</x:f>
        <x:v>1</x:v>
      </x:c>
      <x:c r="W208" s="109" t="n">
        <x:f>IFERROR(VLOOKUP($A208,'Jason FLEX'!$A$6:$N$268,5,FALSE),"")</x:f>
        <x:v>178</x:v>
      </x:c>
      <x:c r="X208" s="110" t="n">
        <x:f>IFERROR(VLOOKUP($A208,'Jason FLEX'!$A$6:$N$268,6,FALSE),"")</x:f>
        <x:v>5.7</x:v>
      </x:c>
      <x:c r="Y208" s="111" t="n">
        <x:f>IFERROR(VLOOKUP($A208,'Jason FLEX'!$A$6:$N$268,7,FALSE),"")</x:f>
        <x:v>85</x:v>
      </x:c>
      <x:c r="Z208" s="111" t="n">
        <x:f>IFERROR(VLOOKUP($A208,'Jason FLEX'!$A$6:$N$268,8,FALSE),"")</x:f>
        <x:v>383</x:v>
      </x:c>
      <x:c r="AA208" s="111" t="n">
        <x:f>IFERROR(VLOOKUP($A208,'Jason FLEX'!$A$6:$N$268,9,FALSE),"")</x:f>
        <x:v>3</x:v>
      </x:c>
      <x:c r="AB208" s="111" t="n">
        <x:f>IFERROR(VLOOKUP($A208,'Jason FLEX'!$A$6:$N$268,10,FALSE),"")</x:f>
        <x:v>21</x:v>
      </x:c>
      <x:c r="AC208" s="111" t="n">
        <x:f>IFERROR(VLOOKUP($A208,'Jason FLEX'!$A$6:$N$268,11,FALSE),"")</x:f>
        <x:v>164</x:v>
      </x:c>
      <x:c r="AD208" s="111" t="n">
        <x:f>IFERROR(VLOOKUP($A208,'Jason FLEX'!$A$6:$N$268,12,FALSE),"")</x:f>
        <x:v>1</x:v>
      </x:c>
      <x:c r="AE208" s="111" t="n">
        <x:f>IFERROR(VLOOKUP($A208,'Jason FLEX'!$A$6:$N$268,13,FALSE),"")</x:f>
        <x:v>1</x:v>
      </x:c>
      <x:c r="AF208" s="110" t="n">
        <x:f>IF(COUNT(E208,N208,W208)=0,"",AVERAGE(E208,N208,W208))</x:f>
        <x:v>198</x:v>
      </x:c>
      <x:c r="AG208" s="110" t="n">
        <x:f>IF(COUNT(E208,N208,W208)=0,"",MAX(E208,N208,W208)-MIN(E208,N208,W208))</x:f>
        <x:v>50</x:v>
      </x:c>
      <x:c r="AH208" s="110" t="n">
        <x:f>IF(COUNT(F208,O208,X208)=0,"",AVERAGE(F208,O208,X208))</x:f>
        <x:v>4.633333333333333</x:v>
      </x:c>
      <x:c r="AI208" s="112" t="n">
        <x:f>IF(COUNT(G208,P208,Y208)=0,"",AVERAGE(G208,P208,Y208))</x:f>
        <x:v>78.33333333333333</x:v>
      </x:c>
      <x:c r="AJ208" s="112" t="n">
        <x:f>IF(COUNT(H208,Q208,Z208)=0,"",AVERAGE(H208,Q208,Z208))</x:f>
        <x:v>344.3333333333333</x:v>
      </x:c>
      <x:c r="AK208" s="112" t="n">
        <x:f>IF(COUNT(I208,R208,AA208)=0,"",AVERAGE(I208,R208,AA208))</x:f>
        <x:v>2.6666666666666665</x:v>
      </x:c>
      <x:c r="AL208" s="112" t="n">
        <x:f>IF(COUNT(J208,S208,AB208)=0,"",AVERAGE(J208,S208,AB208))</x:f>
        <x:v>14.666666666666666</x:v>
      </x:c>
      <x:c r="AM208" s="112" t="n">
        <x:f>IF(COUNT(K208,T208,AC208)=0,"",AVERAGE(K208,T208,AC208))</x:f>
        <x:v>115.33333333333333</x:v>
      </x:c>
      <x:c r="AN208" s="112" t="n">
        <x:f>IF(COUNT(L208,U208,AD208)=0,"",AVERAGE(L208,U208,AD208))</x:f>
        <x:v>0.6666666666666666</x:v>
      </x:c>
      <x:c r="AO208" s="112" t="n">
        <x:f>IF(COUNT(M208,V208,AE208)=0,"",AVERAGE(M208,V208,AE208))</x:f>
        <x:v>0.6666666666666666</x:v>
      </x:c>
    </x:row>
    <x:row r="209">
      <x:c r="A209" s="107" t="str">
        <x:v>Chimere Dike</x:v>
      </x:c>
      <x:c r="B209" s="108" t="str">
        <x:v>WR</x:v>
      </x:c>
      <x:c r="C209" s="108" t="str">
        <x:v>TEN</x:v>
      </x:c>
      <x:c r="D209" s="109" t="n">
        <x:v>9</x:v>
      </x:c>
      <x:c r="E209" s="109" t="n">
        <x:f>IFERROR(VLOOKUP($A209,'Mike FLEX'!$A$6:$N$278,5,FALSE),"")</x:f>
        <x:v>229</x:v>
      </x:c>
      <x:c r="F209" s="110" t="n">
        <x:f>IFERROR(VLOOKUP($A209,'Mike FLEX'!$A$6:$N$278,6,FALSE),"")</x:f>
        <x:v>2.9</x:v>
      </x:c>
      <x:c r="G209" s="111" t="n">
        <x:f>IFERROR(VLOOKUP($A209,'Mike FLEX'!$A$6:$N$278,7,FALSE),"")</x:f>
        <x:v>11</x:v>
      </x:c>
      <x:c r="H209" s="111" t="n">
        <x:f>IFERROR(VLOOKUP($A209,'Mike FLEX'!$A$6:$N$278,8,FALSE),"")</x:f>
        <x:v>18</x:v>
      </x:c>
      <x:c r="I209" s="111" t="n">
        <x:f>IFERROR(VLOOKUP($A209,'Mike FLEX'!$A$6:$N$278,9,FALSE),"")</x:f>
        <x:v>0</x:v>
      </x:c>
      <x:c r="J209" s="111" t="n">
        <x:f>IFERROR(VLOOKUP($A209,'Mike FLEX'!$A$6:$N$278,10,FALSE),"")</x:f>
        <x:v>21</x:v>
      </x:c>
      <x:c r="K209" s="111" t="n">
        <x:f>IFERROR(VLOOKUP($A209,'Mike FLEX'!$A$6:$N$278,11,FALSE),"")</x:f>
        <x:v>189</x:v>
      </x:c>
      <x:c r="L209" s="111" t="n">
        <x:f>IFERROR(VLOOKUP($A209,'Mike FLEX'!$A$6:$N$278,12,FALSE),"")</x:f>
        <x:v>1</x:v>
      </x:c>
      <x:c r="M209" s="111" t="n">
        <x:f>IFERROR(VLOOKUP($A209,'Mike FLEX'!$A$6:$N$278,13,FALSE),"")</x:f>
        <x:v>0</x:v>
      </x:c>
      <x:c r="N209" s="109" t="n">
        <x:f>IFERROR(VLOOKUP($A209,'Andy FLEX'!$A$6:$N$278,5,FALSE),"")</x:f>
        <x:v>139</x:v>
      </x:c>
      <x:c r="O209" s="110" t="n">
        <x:f>IFERROR(VLOOKUP($A209,'Andy FLEX'!$A$6:$N$278,6,FALSE),"")</x:f>
        <x:v>7.3</x:v>
      </x:c>
      <x:c r="P209" s="111" t="n">
        <x:f>IFERROR(VLOOKUP($A209,'Andy FLEX'!$A$6:$N$278,7,FALSE),"")</x:f>
        <x:v>8</x:v>
      </x:c>
      <x:c r="Q209" s="111" t="n">
        <x:f>IFERROR(VLOOKUP($A209,'Andy FLEX'!$A$6:$N$278,8,FALSE),"")</x:f>
        <x:v>33</x:v>
      </x:c>
      <x:c r="R209" s="111" t="n">
        <x:f>IFERROR(VLOOKUP($A209,'Andy FLEX'!$A$6:$N$278,9,FALSE),"")</x:f>
        <x:v>0</x:v>
      </x:c>
      <x:c r="S209" s="111" t="n">
        <x:f>IFERROR(VLOOKUP($A209,'Andy FLEX'!$A$6:$N$278,10,FALSE),"")</x:f>
        <x:v>49</x:v>
      </x:c>
      <x:c r="T209" s="111" t="n">
        <x:f>IFERROR(VLOOKUP($A209,'Andy FLEX'!$A$6:$N$278,11,FALSE),"")</x:f>
        <x:v>551</x:v>
      </x:c>
      <x:c r="U209" s="111" t="n">
        <x:f>IFERROR(VLOOKUP($A209,'Andy FLEX'!$A$6:$N$278,12,FALSE),"")</x:f>
        <x:v>3</x:v>
      </x:c>
      <x:c r="V209" s="111" t="n">
        <x:f>IFERROR(VLOOKUP($A209,'Andy FLEX'!$A$6:$N$278,13,FALSE),"")</x:f>
        <x:v>1</x:v>
      </x:c>
      <x:c r="W209" s="109" t="n">
        <x:f>IFERROR(VLOOKUP($A209,'Jason FLEX'!$A$6:$N$268,5,FALSE),"")</x:f>
        <x:v>228</x:v>
      </x:c>
      <x:c r="X209" s="110" t="n">
        <x:f>IFERROR(VLOOKUP($A209,'Jason FLEX'!$A$6:$N$268,6,FALSE),"")</x:f>
        <x:v>3.2</x:v>
      </x:c>
      <x:c r="Y209" s="111" t="n">
        <x:f>IFERROR(VLOOKUP($A209,'Jason FLEX'!$A$6:$N$268,7,FALSE),"")</x:f>
        <x:v>8</x:v>
      </x:c>
      <x:c r="Z209" s="111" t="n">
        <x:f>IFERROR(VLOOKUP($A209,'Jason FLEX'!$A$6:$N$268,8,FALSE),"")</x:f>
        <x:v>24</x:v>
      </x:c>
      <x:c r="AA209" s="111" t="n">
        <x:f>IFERROR(VLOOKUP($A209,'Jason FLEX'!$A$6:$N$268,9,FALSE),"")</x:f>
        <x:v>0</x:v>
      </x:c>
      <x:c r="AB209" s="111" t="n">
        <x:f>IFERROR(VLOOKUP($A209,'Jason FLEX'!$A$6:$N$268,10,FALSE),"")</x:f>
        <x:v>23</x:v>
      </x:c>
      <x:c r="AC209" s="111" t="n">
        <x:f>IFERROR(VLOOKUP($A209,'Jason FLEX'!$A$6:$N$268,11,FALSE),"")</x:f>
        <x:v>216</x:v>
      </x:c>
      <x:c r="AD209" s="111" t="n">
        <x:f>IFERROR(VLOOKUP($A209,'Jason FLEX'!$A$6:$N$268,12,FALSE),"")</x:f>
        <x:v>1</x:v>
      </x:c>
      <x:c r="AE209" s="111" t="n">
        <x:f>IFERROR(VLOOKUP($A209,'Jason FLEX'!$A$6:$N$268,13,FALSE),"")</x:f>
        <x:v>0</x:v>
      </x:c>
      <x:c r="AF209" s="110" t="n">
        <x:f>IF(COUNT(E209,N209,W209)=0,"",AVERAGE(E209,N209,W209))</x:f>
        <x:v>198.66666666666666</x:v>
      </x:c>
      <x:c r="AG209" s="110" t="n">
        <x:f>IF(COUNT(E209,N209,W209)=0,"",MAX(E209,N209,W209)-MIN(E209,N209,W209))</x:f>
        <x:v>90</x:v>
      </x:c>
      <x:c r="AH209" s="110" t="n">
        <x:f>IF(COUNT(F209,O209,X209)=0,"",AVERAGE(F209,O209,X209))</x:f>
        <x:v>4.466666666666666</x:v>
      </x:c>
      <x:c r="AI209" s="112" t="n">
        <x:f>IF(COUNT(G209,P209,Y209)=0,"",AVERAGE(G209,P209,Y209))</x:f>
        <x:v>9</x:v>
      </x:c>
      <x:c r="AJ209" s="112" t="n">
        <x:f>IF(COUNT(H209,Q209,Z209)=0,"",AVERAGE(H209,Q209,Z209))</x:f>
        <x:v>25</x:v>
      </x:c>
      <x:c r="AK209" s="112" t="n">
        <x:f>IF(COUNT(I209,R209,AA209)=0,"",AVERAGE(I209,R209,AA209))</x:f>
        <x:v>0</x:v>
      </x:c>
      <x:c r="AL209" s="112" t="n">
        <x:f>IF(COUNT(J209,S209,AB209)=0,"",AVERAGE(J209,S209,AB209))</x:f>
        <x:v>31</x:v>
      </x:c>
      <x:c r="AM209" s="112" t="n">
        <x:f>IF(COUNT(K209,T209,AC209)=0,"",AVERAGE(K209,T209,AC209))</x:f>
        <x:v>318.6666666666667</x:v>
      </x:c>
      <x:c r="AN209" s="112" t="n">
        <x:f>IF(COUNT(L209,U209,AD209)=0,"",AVERAGE(L209,U209,AD209))</x:f>
        <x:v>1.6666666666666667</x:v>
      </x:c>
      <x:c r="AO209" s="112" t="n">
        <x:f>IF(COUNT(M209,V209,AE209)=0,"",AVERAGE(M209,V209,AE209))</x:f>
        <x:v>0.3333333333333333</x:v>
      </x:c>
    </x:row>
    <x:row r="210">
      <x:c r="A210" s="107" t="str">
        <x:v>Eli Stowers</x:v>
      </x:c>
      <x:c r="B210" s="108" t="str">
        <x:v>TE</x:v>
      </x:c>
      <x:c r="C210" s="108" t="str">
        <x:v>PHI</x:v>
      </x:c>
      <x:c r="D210" s="109" t="n">
        <x:v>10</x:v>
      </x:c>
      <x:c r="E210" s="109" t="n">
        <x:f>IFERROR(VLOOKUP($A210,'Mike FLEX'!$A$6:$N$278,5,FALSE),"")</x:f>
        <x:v>193</x:v>
      </x:c>
      <x:c r="F210" s="110" t="n">
        <x:f>IFERROR(VLOOKUP($A210,'Mike FLEX'!$A$6:$N$278,6,FALSE),"")</x:f>
        <x:v>4.3</x:v>
      </x:c>
      <x:c r="G210" s="111" t="n">
        <x:f>IFERROR(VLOOKUP($A210,'Mike FLEX'!$A$6:$N$278,7,FALSE),"")</x:f>
        <x:v>0</x:v>
      </x:c>
      <x:c r="H210" s="111" t="n">
        <x:f>IFERROR(VLOOKUP($A210,'Mike FLEX'!$A$6:$N$278,8,FALSE),"")</x:f>
        <x:v>0</x:v>
      </x:c>
      <x:c r="I210" s="111" t="n">
        <x:f>IFERROR(VLOOKUP($A210,'Mike FLEX'!$A$6:$N$278,9,FALSE),"")</x:f>
        <x:v>0</x:v>
      </x:c>
      <x:c r="J210" s="111" t="n">
        <x:f>IFERROR(VLOOKUP($A210,'Mike FLEX'!$A$6:$N$278,10,FALSE),"")</x:f>
        <x:v>28</x:v>
      </x:c>
      <x:c r="K210" s="111" t="n">
        <x:f>IFERROR(VLOOKUP($A210,'Mike FLEX'!$A$6:$N$278,11,FALSE),"")</x:f>
        <x:v>323</x:v>
      </x:c>
      <x:c r="L210" s="111" t="n">
        <x:f>IFERROR(VLOOKUP($A210,'Mike FLEX'!$A$6:$N$278,12,FALSE),"")</x:f>
        <x:v>2</x:v>
      </x:c>
      <x:c r="M210" s="111" t="n">
        <x:f>IFERROR(VLOOKUP($A210,'Mike FLEX'!$A$6:$N$278,13,FALSE),"")</x:f>
        <x:v>0</x:v>
      </x:c>
      <x:c r="N210" s="109" t="n">
        <x:f>IFERROR(VLOOKUP($A210,'Andy FLEX'!$A$6:$N$278,5,FALSE),"")</x:f>
        <x:v>210</x:v>
      </x:c>
      <x:c r="O210" s="110" t="n">
        <x:f>IFERROR(VLOOKUP($A210,'Andy FLEX'!$A$6:$N$278,6,FALSE),"")</x:f>
        <x:v>4.4</x:v>
      </x:c>
      <x:c r="P210" s="111" t="n">
        <x:f>IFERROR(VLOOKUP($A210,'Andy FLEX'!$A$6:$N$278,7,FALSE),"")</x:f>
        <x:v>4</x:v>
      </x:c>
      <x:c r="Q210" s="111" t="n">
        <x:f>IFERROR(VLOOKUP($A210,'Andy FLEX'!$A$6:$N$278,8,FALSE),"")</x:f>
        <x:v>20</x:v>
      </x:c>
      <x:c r="R210" s="111" t="n">
        <x:f>IFERROR(VLOOKUP($A210,'Andy FLEX'!$A$6:$N$278,9,FALSE),"")</x:f>
        <x:v>0</x:v>
      </x:c>
      <x:c r="S210" s="111" t="n">
        <x:f>IFERROR(VLOOKUP($A210,'Andy FLEX'!$A$6:$N$278,10,FALSE),"")</x:f>
        <x:v>26</x:v>
      </x:c>
      <x:c r="T210" s="111" t="n">
        <x:f>IFERROR(VLOOKUP($A210,'Andy FLEX'!$A$6:$N$278,11,FALSE),"")</x:f>
        <x:v>292</x:v>
      </x:c>
      <x:c r="U210" s="111" t="n">
        <x:f>IFERROR(VLOOKUP($A210,'Andy FLEX'!$A$6:$N$278,12,FALSE),"")</x:f>
        <x:v>3</x:v>
      </x:c>
      <x:c r="V210" s="111" t="n">
        <x:f>IFERROR(VLOOKUP($A210,'Andy FLEX'!$A$6:$N$278,13,FALSE),"")</x:f>
        <x:v>0</x:v>
      </x:c>
      <x:c r="W210" s="109" t="n">
        <x:f>IFERROR(VLOOKUP($A210,'Jason FLEX'!$A$6:$N$268,5,FALSE),"")</x:f>
        <x:v>194</x:v>
      </x:c>
      <x:c r="X210" s="110" t="n">
        <x:f>IFERROR(VLOOKUP($A210,'Jason FLEX'!$A$6:$N$268,6,FALSE),"")</x:f>
        <x:v>4.9</x:v>
      </x:c>
      <x:c r="Y210" s="111" t="n">
        <x:f>IFERROR(VLOOKUP($A210,'Jason FLEX'!$A$6:$N$268,7,FALSE),"")</x:f>
        <x:v>0</x:v>
      </x:c>
      <x:c r="Z210" s="111" t="n">
        <x:f>IFERROR(VLOOKUP($A210,'Jason FLEX'!$A$6:$N$268,8,FALSE),"")</x:f>
        <x:v>0</x:v>
      </x:c>
      <x:c r="AA210" s="111" t="n">
        <x:f>IFERROR(VLOOKUP($A210,'Jason FLEX'!$A$6:$N$268,9,FALSE),"")</x:f>
        <x:v>0</x:v>
      </x:c>
      <x:c r="AB210" s="111" t="n">
        <x:f>IFERROR(VLOOKUP($A210,'Jason FLEX'!$A$6:$N$268,10,FALSE),"")</x:f>
        <x:v>29</x:v>
      </x:c>
      <x:c r="AC210" s="111" t="n">
        <x:f>IFERROR(VLOOKUP($A210,'Jason FLEX'!$A$6:$N$268,11,FALSE),"")</x:f>
        <x:v>360</x:v>
      </x:c>
      <x:c r="AD210" s="111" t="n">
        <x:f>IFERROR(VLOOKUP($A210,'Jason FLEX'!$A$6:$N$268,12,FALSE),"")</x:f>
        <x:v>3</x:v>
      </x:c>
      <x:c r="AE210" s="111" t="n">
        <x:f>IFERROR(VLOOKUP($A210,'Jason FLEX'!$A$6:$N$268,13,FALSE),"")</x:f>
        <x:v>0</x:v>
      </x:c>
      <x:c r="AF210" s="110" t="n">
        <x:f>IF(COUNT(E210,N210,W210)=0,"",AVERAGE(E210,N210,W210))</x:f>
        <x:v>199</x:v>
      </x:c>
      <x:c r="AG210" s="110" t="n">
        <x:f>IF(COUNT(E210,N210,W210)=0,"",MAX(E210,N210,W210)-MIN(E210,N210,W210))</x:f>
        <x:v>17</x:v>
      </x:c>
      <x:c r="AH210" s="110" t="n">
        <x:f>IF(COUNT(F210,O210,X210)=0,"",AVERAGE(F210,O210,X210))</x:f>
        <x:v>4.533333333333333</x:v>
      </x:c>
      <x:c r="AI210" s="112" t="n">
        <x:f>IF(COUNT(G210,P210,Y210)=0,"",AVERAGE(G210,P210,Y210))</x:f>
        <x:v>1.3333333333333333</x:v>
      </x:c>
      <x:c r="AJ210" s="112" t="n">
        <x:f>IF(COUNT(H210,Q210,Z210)=0,"",AVERAGE(H210,Q210,Z210))</x:f>
        <x:v>6.666666666666667</x:v>
      </x:c>
      <x:c r="AK210" s="112" t="n">
        <x:f>IF(COUNT(I210,R210,AA210)=0,"",AVERAGE(I210,R210,AA210))</x:f>
        <x:v>0</x:v>
      </x:c>
      <x:c r="AL210" s="112" t="n">
        <x:f>IF(COUNT(J210,S210,AB210)=0,"",AVERAGE(J210,S210,AB210))</x:f>
        <x:v>27.666666666666668</x:v>
      </x:c>
      <x:c r="AM210" s="112" t="n">
        <x:f>IF(COUNT(K210,T210,AC210)=0,"",AVERAGE(K210,T210,AC210))</x:f>
        <x:v>325</x:v>
      </x:c>
      <x:c r="AN210" s="112" t="n">
        <x:f>IF(COUNT(L210,U210,AD210)=0,"",AVERAGE(L210,U210,AD210))</x:f>
        <x:v>2.6666666666666665</x:v>
      </x:c>
      <x:c r="AO210" s="112" t="n">
        <x:f>IF(COUNT(M210,V210,AE210)=0,"",AVERAGE(M210,V210,AE210))</x:f>
        <x:v>0</x:v>
      </x:c>
    </x:row>
    <x:row r="211">
      <x:c r="A211" s="107" t="str">
        <x:v>Darnell Mooney</x:v>
      </x:c>
      <x:c r="B211" s="108" t="str">
        <x:v>WR</x:v>
      </x:c>
      <x:c r="C211" s="108" t="str">
        <x:v>NYG</x:v>
      </x:c>
      <x:c r="D211" s="109" t="n">
        <x:v>8</x:v>
      </x:c>
      <x:c r="E211" s="109" t="n">
        <x:f>IFERROR(VLOOKUP($A211,'Mike FLEX'!$A$6:$N$278,5,FALSE),"")</x:f>
        <x:v>242</x:v>
      </x:c>
      <x:c r="F211" s="110" t="n">
        <x:f>IFERROR(VLOOKUP($A211,'Mike FLEX'!$A$6:$N$278,6,FALSE),"")</x:f>
        <x:v>2.5</x:v>
      </x:c>
      <x:c r="G211" s="111" t="n">
        <x:f>IFERROR(VLOOKUP($A211,'Mike FLEX'!$A$6:$N$278,7,FALSE),"")</x:f>
        <x:v>0</x:v>
      </x:c>
      <x:c r="H211" s="111" t="n">
        <x:f>IFERROR(VLOOKUP($A211,'Mike FLEX'!$A$6:$N$278,8,FALSE),"")</x:f>
        <x:v>0</x:v>
      </x:c>
      <x:c r="I211" s="111" t="n">
        <x:f>IFERROR(VLOOKUP($A211,'Mike FLEX'!$A$6:$N$278,9,FALSE),"")</x:f>
        <x:v>0</x:v>
      </x:c>
      <x:c r="J211" s="111" t="n">
        <x:f>IFERROR(VLOOKUP($A211,'Mike FLEX'!$A$6:$N$278,10,FALSE),"")</x:f>
        <x:v>16</x:v>
      </x:c>
      <x:c r="K211" s="111" t="n">
        <x:f>IFERROR(VLOOKUP($A211,'Mike FLEX'!$A$6:$N$278,11,FALSE),"")</x:f>
        <x:v>217</x:v>
      </x:c>
      <x:c r="L211" s="111" t="n">
        <x:f>IFERROR(VLOOKUP($A211,'Mike FLEX'!$A$6:$N$278,12,FALSE),"")</x:f>
        <x:v>1</x:v>
      </x:c>
      <x:c r="M211" s="111" t="n">
        <x:f>IFERROR(VLOOKUP($A211,'Mike FLEX'!$A$6:$N$278,13,FALSE),"")</x:f>
        <x:v>1</x:v>
      </x:c>
      <x:c r="N211" s="109" t="n">
        <x:f>IFERROR(VLOOKUP($A211,'Andy FLEX'!$A$6:$N$278,5,FALSE),"")</x:f>
        <x:v>181</x:v>
      </x:c>
      <x:c r="O211" s="110" t="n">
        <x:f>IFERROR(VLOOKUP($A211,'Andy FLEX'!$A$6:$N$278,6,FALSE),"")</x:f>
        <x:v>5.5</x:v>
      </x:c>
      <x:c r="P211" s="111" t="n">
        <x:f>IFERROR(VLOOKUP($A211,'Andy FLEX'!$A$6:$N$278,7,FALSE),"")</x:f>
        <x:v>3</x:v>
      </x:c>
      <x:c r="Q211" s="111" t="n">
        <x:f>IFERROR(VLOOKUP($A211,'Andy FLEX'!$A$6:$N$278,8,FALSE),"")</x:f>
        <x:v>17</x:v>
      </x:c>
      <x:c r="R211" s="111" t="n">
        <x:f>IFERROR(VLOOKUP($A211,'Andy FLEX'!$A$6:$N$278,9,FALSE),"")</x:f>
        <x:v>0</x:v>
      </x:c>
      <x:c r="S211" s="111" t="n">
        <x:f>IFERROR(VLOOKUP($A211,'Andy FLEX'!$A$6:$N$278,10,FALSE),"")</x:f>
        <x:v>33</x:v>
      </x:c>
      <x:c r="T211" s="111" t="n">
        <x:f>IFERROR(VLOOKUP($A211,'Andy FLEX'!$A$6:$N$278,11,FALSE),"")</x:f>
        <x:v>456</x:v>
      </x:c>
      <x:c r="U211" s="111" t="n">
        <x:f>IFERROR(VLOOKUP($A211,'Andy FLEX'!$A$6:$N$278,12,FALSE),"")</x:f>
        <x:v>2</x:v>
      </x:c>
      <x:c r="V211" s="111" t="n">
        <x:f>IFERROR(VLOOKUP($A211,'Andy FLEX'!$A$6:$N$278,13,FALSE),"")</x:f>
        <x:v>0</x:v>
      </x:c>
      <x:c r="W211" s="109" t="n">
        <x:f>IFERROR(VLOOKUP($A211,'Jason FLEX'!$A$6:$N$268,5,FALSE),"")</x:f>
        <x:v>179</x:v>
      </x:c>
      <x:c r="X211" s="110" t="n">
        <x:f>IFERROR(VLOOKUP($A211,'Jason FLEX'!$A$6:$N$268,6,FALSE),"")</x:f>
        <x:v>5.6</x:v>
      </x:c>
      <x:c r="Y211" s="111" t="n">
        <x:f>IFERROR(VLOOKUP($A211,'Jason FLEX'!$A$6:$N$268,7,FALSE),"")</x:f>
        <x:v>1</x:v>
      </x:c>
      <x:c r="Z211" s="111" t="n">
        <x:f>IFERROR(VLOOKUP($A211,'Jason FLEX'!$A$6:$N$268,8,FALSE),"")</x:f>
        <x:v>4</x:v>
      </x:c>
      <x:c r="AA211" s="111" t="n">
        <x:f>IFERROR(VLOOKUP($A211,'Jason FLEX'!$A$6:$N$268,9,FALSE),"")</x:f>
        <x:v>0</x:v>
      </x:c>
      <x:c r="AB211" s="111" t="n">
        <x:f>IFERROR(VLOOKUP($A211,'Jason FLEX'!$A$6:$N$268,10,FALSE),"")</x:f>
        <x:v>29</x:v>
      </x:c>
      <x:c r="AC211" s="111" t="n">
        <x:f>IFERROR(VLOOKUP($A211,'Jason FLEX'!$A$6:$N$268,11,FALSE),"")</x:f>
        <x:v>412</x:v>
      </x:c>
      <x:c r="AD211" s="111" t="n">
        <x:f>IFERROR(VLOOKUP($A211,'Jason FLEX'!$A$6:$N$268,12,FALSE),"")</x:f>
        <x:v>4</x:v>
      </x:c>
      <x:c r="AE211" s="111" t="n">
        <x:f>IFERROR(VLOOKUP($A211,'Jason FLEX'!$A$6:$N$268,13,FALSE),"")</x:f>
        <x:v>0</x:v>
      </x:c>
      <x:c r="AF211" s="110" t="n">
        <x:f>IF(COUNT(E211,N211,W211)=0,"",AVERAGE(E211,N211,W211))</x:f>
        <x:v>200.66666666666666</x:v>
      </x:c>
      <x:c r="AG211" s="110" t="n">
        <x:f>IF(COUNT(E211,N211,W211)=0,"",MAX(E211,N211,W211)-MIN(E211,N211,W211))</x:f>
        <x:v>63</x:v>
      </x:c>
      <x:c r="AH211" s="110" t="n">
        <x:f>IF(COUNT(F211,O211,X211)=0,"",AVERAGE(F211,O211,X211))</x:f>
        <x:v>4.533333333333333</x:v>
      </x:c>
      <x:c r="AI211" s="112" t="n">
        <x:f>IF(COUNT(G211,P211,Y211)=0,"",AVERAGE(G211,P211,Y211))</x:f>
        <x:v>1.3333333333333333</x:v>
      </x:c>
      <x:c r="AJ211" s="112" t="n">
        <x:f>IF(COUNT(H211,Q211,Z211)=0,"",AVERAGE(H211,Q211,Z211))</x:f>
        <x:v>7</x:v>
      </x:c>
      <x:c r="AK211" s="112" t="n">
        <x:f>IF(COUNT(I211,R211,AA211)=0,"",AVERAGE(I211,R211,AA211))</x:f>
        <x:v>0</x:v>
      </x:c>
      <x:c r="AL211" s="112" t="n">
        <x:f>IF(COUNT(J211,S211,AB211)=0,"",AVERAGE(J211,S211,AB211))</x:f>
        <x:v>26</x:v>
      </x:c>
      <x:c r="AM211" s="112" t="n">
        <x:f>IF(COUNT(K211,T211,AC211)=0,"",AVERAGE(K211,T211,AC211))</x:f>
        <x:v>361.6666666666667</x:v>
      </x:c>
      <x:c r="AN211" s="112" t="n">
        <x:f>IF(COUNT(L211,U211,AD211)=0,"",AVERAGE(L211,U211,AD211))</x:f>
        <x:v>2.3333333333333335</x:v>
      </x:c>
      <x:c r="AO211" s="112" t="n">
        <x:f>IF(COUNT(M211,V211,AE211)=0,"",AVERAGE(M211,V211,AE211))</x:f>
        <x:v>0.3333333333333333</x:v>
      </x:c>
    </x:row>
    <x:row r="212">
      <x:c r="A212" s="107" t="str">
        <x:v>Ty Johnson</x:v>
      </x:c>
      <x:c r="B212" s="108" t="str">
        <x:v>RB</x:v>
      </x:c>
      <x:c r="C212" s="108" t="str">
        <x:v>BUF</x:v>
      </x:c>
      <x:c r="D212" s="109" t="n">
        <x:v>7</x:v>
      </x:c>
      <x:c r="E212" s="109" t="n">
        <x:f>IFERROR(VLOOKUP($A212,'Mike FLEX'!$A$6:$N$278,5,FALSE),"")</x:f>
        <x:v>221</x:v>
      </x:c>
      <x:c r="F212" s="110" t="n">
        <x:f>IFERROR(VLOOKUP($A212,'Mike FLEX'!$A$6:$N$278,6,FALSE),"")</x:f>
        <x:v>3.4</x:v>
      </x:c>
      <x:c r="G212" s="111" t="n">
        <x:f>IFERROR(VLOOKUP($A212,'Mike FLEX'!$A$6:$N$278,7,FALSE),"")</x:f>
        <x:v>22</x:v>
      </x:c>
      <x:c r="H212" s="111" t="n">
        <x:f>IFERROR(VLOOKUP($A212,'Mike FLEX'!$A$6:$N$278,8,FALSE),"")</x:f>
        <x:v>98</x:v>
      </x:c>
      <x:c r="I212" s="111" t="n">
        <x:f>IFERROR(VLOOKUP($A212,'Mike FLEX'!$A$6:$N$278,9,FALSE),"")</x:f>
        <x:v>1</x:v>
      </x:c>
      <x:c r="J212" s="111" t="n">
        <x:f>IFERROR(VLOOKUP($A212,'Mike FLEX'!$A$6:$N$278,10,FALSE),"")</x:f>
        <x:v>19</x:v>
      </x:c>
      <x:c r="K212" s="111" t="n">
        <x:f>IFERROR(VLOOKUP($A212,'Mike FLEX'!$A$6:$N$278,11,FALSE),"")</x:f>
        <x:v>194</x:v>
      </x:c>
      <x:c r="L212" s="111" t="n">
        <x:f>IFERROR(VLOOKUP($A212,'Mike FLEX'!$A$6:$N$278,12,FALSE),"")</x:f>
        <x:v>1</x:v>
      </x:c>
      <x:c r="M212" s="111" t="n">
        <x:f>IFERROR(VLOOKUP($A212,'Mike FLEX'!$A$6:$N$278,13,FALSE),"")</x:f>
        <x:v>1</x:v>
      </x:c>
      <x:c r="N212" s="109" t="n">
        <x:f>IFERROR(VLOOKUP($A212,'Andy FLEX'!$A$6:$N$278,5,FALSE),"")</x:f>
        <x:v>204</x:v>
      </x:c>
      <x:c r="O212" s="110" t="n">
        <x:f>IFERROR(VLOOKUP($A212,'Andy FLEX'!$A$6:$N$278,6,FALSE),"")</x:f>
        <x:v>4.6</x:v>
      </x:c>
      <x:c r="P212" s="111" t="n">
        <x:f>IFERROR(VLOOKUP($A212,'Andy FLEX'!$A$6:$N$278,7,FALSE),"")</x:f>
        <x:v>49</x:v>
      </x:c>
      <x:c r="Q212" s="111" t="n">
        <x:f>IFERROR(VLOOKUP($A212,'Andy FLEX'!$A$6:$N$278,8,FALSE),"")</x:f>
        <x:v>189</x:v>
      </x:c>
      <x:c r="R212" s="111" t="n">
        <x:f>IFERROR(VLOOKUP($A212,'Andy FLEX'!$A$6:$N$278,9,FALSE),"")</x:f>
        <x:v>3</x:v>
      </x:c>
      <x:c r="S212" s="111" t="n">
        <x:f>IFERROR(VLOOKUP($A212,'Andy FLEX'!$A$6:$N$278,10,FALSE),"")</x:f>
        <x:v>17</x:v>
      </x:c>
      <x:c r="T212" s="111" t="n">
        <x:f>IFERROR(VLOOKUP($A212,'Andy FLEX'!$A$6:$N$278,11,FALSE),"")</x:f>
        <x:v>186</x:v>
      </x:c>
      <x:c r="U212" s="111" t="n">
        <x:f>IFERROR(VLOOKUP($A212,'Andy FLEX'!$A$6:$N$278,12,FALSE),"")</x:f>
        <x:v>2</x:v>
      </x:c>
      <x:c r="V212" s="111" t="n">
        <x:f>IFERROR(VLOOKUP($A212,'Andy FLEX'!$A$6:$N$278,13,FALSE),"")</x:f>
        <x:v>0</x:v>
      </x:c>
      <x:c r="W212" s="109" t="n">
        <x:f>IFERROR(VLOOKUP($A212,'Jason FLEX'!$A$6:$N$268,5,FALSE),"")</x:f>
        <x:v>186</x:v>
      </x:c>
      <x:c r="X212" s="110" t="n">
        <x:f>IFERROR(VLOOKUP($A212,'Jason FLEX'!$A$6:$N$268,6,FALSE),"")</x:f>
        <x:v>5.2</x:v>
      </x:c>
      <x:c r="Y212" s="111" t="n">
        <x:f>IFERROR(VLOOKUP($A212,'Jason FLEX'!$A$6:$N$268,7,FALSE),"")</x:f>
        <x:v>45</x:v>
      </x:c>
      <x:c r="Z212" s="111" t="n">
        <x:f>IFERROR(VLOOKUP($A212,'Jason FLEX'!$A$6:$N$268,8,FALSE),"")</x:f>
        <x:v>185</x:v>
      </x:c>
      <x:c r="AA212" s="111" t="n">
        <x:f>IFERROR(VLOOKUP($A212,'Jason FLEX'!$A$6:$N$268,9,FALSE),"")</x:f>
        <x:v>2</x:v>
      </x:c>
      <x:c r="AB212" s="111" t="n">
        <x:f>IFERROR(VLOOKUP($A212,'Jason FLEX'!$A$6:$N$268,10,FALSE),"")</x:f>
        <x:v>22</x:v>
      </x:c>
      <x:c r="AC212" s="111" t="n">
        <x:f>IFERROR(VLOOKUP($A212,'Jason FLEX'!$A$6:$N$268,11,FALSE),"")</x:f>
        <x:v>240</x:v>
      </x:c>
      <x:c r="AD212" s="111" t="n">
        <x:f>IFERROR(VLOOKUP($A212,'Jason FLEX'!$A$6:$N$268,12,FALSE),"")</x:f>
        <x:v>2</x:v>
      </x:c>
      <x:c r="AE212" s="111" t="n">
        <x:f>IFERROR(VLOOKUP($A212,'Jason FLEX'!$A$6:$N$268,13,FALSE),"")</x:f>
        <x:v>0</x:v>
      </x:c>
      <x:c r="AF212" s="110" t="n">
        <x:f>IF(COUNT(E212,N212,W212)=0,"",AVERAGE(E212,N212,W212))</x:f>
        <x:v>203.66666666666666</x:v>
      </x:c>
      <x:c r="AG212" s="110" t="n">
        <x:f>IF(COUNT(E212,N212,W212)=0,"",MAX(E212,N212,W212)-MIN(E212,N212,W212))</x:f>
        <x:v>35</x:v>
      </x:c>
      <x:c r="AH212" s="110" t="n">
        <x:f>IF(COUNT(F212,O212,X212)=0,"",AVERAGE(F212,O212,X212))</x:f>
        <x:v>4.3999999999999995</x:v>
      </x:c>
      <x:c r="AI212" s="112" t="n">
        <x:f>IF(COUNT(G212,P212,Y212)=0,"",AVERAGE(G212,P212,Y212))</x:f>
        <x:v>38.666666666666664</x:v>
      </x:c>
      <x:c r="AJ212" s="112" t="n">
        <x:f>IF(COUNT(H212,Q212,Z212)=0,"",AVERAGE(H212,Q212,Z212))</x:f>
        <x:v>157.33333333333334</x:v>
      </x:c>
      <x:c r="AK212" s="112" t="n">
        <x:f>IF(COUNT(I212,R212,AA212)=0,"",AVERAGE(I212,R212,AA212))</x:f>
        <x:v>2</x:v>
      </x:c>
      <x:c r="AL212" s="112" t="n">
        <x:f>IF(COUNT(J212,S212,AB212)=0,"",AVERAGE(J212,S212,AB212))</x:f>
        <x:v>19.333333333333332</x:v>
      </x:c>
      <x:c r="AM212" s="112" t="n">
        <x:f>IF(COUNT(K212,T212,AC212)=0,"",AVERAGE(K212,T212,AC212))</x:f>
        <x:v>206.66666666666666</x:v>
      </x:c>
      <x:c r="AN212" s="112" t="n">
        <x:f>IF(COUNT(L212,U212,AD212)=0,"",AVERAGE(L212,U212,AD212))</x:f>
        <x:v>1.6666666666666667</x:v>
      </x:c>
      <x:c r="AO212" s="112" t="n">
        <x:f>IF(COUNT(M212,V212,AE212)=0,"",AVERAGE(M212,V212,AE212))</x:f>
        <x:v>0.3333333333333333</x:v>
      </x:c>
    </x:row>
    <x:row r="213">
      <x:c r="A213" s="107" t="str">
        <x:v>LeQuint Allen Jr.</x:v>
      </x:c>
      <x:c r="B213" s="108" t="str">
        <x:v>RB</x:v>
      </x:c>
      <x:c r="C213" s="108" t="str">
        <x:v>JAX</x:v>
      </x:c>
      <x:c r="D213" s="109" t="n">
        <x:v>7</x:v>
      </x:c>
      <x:c r="E213" s="109" t="n">
        <x:f>IFERROR(VLOOKUP($A213,'Mike FLEX'!$A$6:$N$278,5,FALSE),"")</x:f>
        <x:v>202</x:v>
      </x:c>
      <x:c r="F213" s="110" t="n">
        <x:f>IFERROR(VLOOKUP($A213,'Mike FLEX'!$A$6:$N$278,6,FALSE),"")</x:f>
        <x:v>4</x:v>
      </x:c>
      <x:c r="G213" s="111" t="n">
        <x:f>IFERROR(VLOOKUP($A213,'Mike FLEX'!$A$6:$N$278,7,FALSE),"")</x:f>
        <x:v>30</x:v>
      </x:c>
      <x:c r="H213" s="111" t="n">
        <x:f>IFERROR(VLOOKUP($A213,'Mike FLEX'!$A$6:$N$278,8,FALSE),"")</x:f>
        <x:v>121</x:v>
      </x:c>
      <x:c r="I213" s="111" t="n">
        <x:f>IFERROR(VLOOKUP($A213,'Mike FLEX'!$A$6:$N$278,9,FALSE),"")</x:f>
        <x:v>1</x:v>
      </x:c>
      <x:c r="J213" s="111" t="n">
        <x:f>IFERROR(VLOOKUP($A213,'Mike FLEX'!$A$6:$N$278,10,FALSE),"")</x:f>
        <x:v>29</x:v>
      </x:c>
      <x:c r="K213" s="111" t="n">
        <x:f>IFERROR(VLOOKUP($A213,'Mike FLEX'!$A$6:$N$278,11,FALSE),"")</x:f>
        <x:v>172</x:v>
      </x:c>
      <x:c r="L213" s="111" t="n">
        <x:f>IFERROR(VLOOKUP($A213,'Mike FLEX'!$A$6:$N$278,12,FALSE),"")</x:f>
        <x:v>1</x:v>
      </x:c>
      <x:c r="M213" s="111" t="n">
        <x:f>IFERROR(VLOOKUP($A213,'Mike FLEX'!$A$6:$N$278,13,FALSE),"")</x:f>
        <x:v>0</x:v>
      </x:c>
      <x:c r="N213" s="109" t="n">
        <x:f>IFERROR(VLOOKUP($A213,'Andy FLEX'!$A$6:$N$278,5,FALSE),"")</x:f>
        <x:v>192</x:v>
      </x:c>
      <x:c r="O213" s="110" t="n">
        <x:f>IFERROR(VLOOKUP($A213,'Andy FLEX'!$A$6:$N$278,6,FALSE),"")</x:f>
        <x:v>5.1</x:v>
      </x:c>
      <x:c r="P213" s="111" t="n">
        <x:f>IFERROR(VLOOKUP($A213,'Andy FLEX'!$A$6:$N$278,7,FALSE),"")</x:f>
        <x:v>47</x:v>
      </x:c>
      <x:c r="Q213" s="111" t="n">
        <x:f>IFERROR(VLOOKUP($A213,'Andy FLEX'!$A$6:$N$278,8,FALSE),"")</x:f>
        <x:v>196</x:v>
      </x:c>
      <x:c r="R213" s="111" t="n">
        <x:f>IFERROR(VLOOKUP($A213,'Andy FLEX'!$A$6:$N$278,9,FALSE),"")</x:f>
        <x:v>2</x:v>
      </x:c>
      <x:c r="S213" s="111" t="n">
        <x:f>IFERROR(VLOOKUP($A213,'Andy FLEX'!$A$6:$N$278,10,FALSE),"")</x:f>
        <x:v>30</x:v>
      </x:c>
      <x:c r="T213" s="111" t="n">
        <x:f>IFERROR(VLOOKUP($A213,'Andy FLEX'!$A$6:$N$278,11,FALSE),"")</x:f>
        <x:v>220</x:v>
      </x:c>
      <x:c r="U213" s="111" t="n">
        <x:f>IFERROR(VLOOKUP($A213,'Andy FLEX'!$A$6:$N$278,12,FALSE),"")</x:f>
        <x:v>1</x:v>
      </x:c>
      <x:c r="V213" s="111" t="n">
        <x:f>IFERROR(VLOOKUP($A213,'Andy FLEX'!$A$6:$N$278,13,FALSE),"")</x:f>
        <x:v>1</x:v>
      </x:c>
      <x:c r="W213" s="109" t="n">
        <x:f>IFERROR(VLOOKUP($A213,'Jason FLEX'!$A$6:$N$268,5,FALSE),"")</x:f>
        <x:v>218</x:v>
      </x:c>
      <x:c r="X213" s="110" t="n">
        <x:f>IFERROR(VLOOKUP($A213,'Jason FLEX'!$A$6:$N$268,6,FALSE),"")</x:f>
        <x:v>3.8</x:v>
      </x:c>
      <x:c r="Y213" s="111" t="n">
        <x:f>IFERROR(VLOOKUP($A213,'Jason FLEX'!$A$6:$N$268,7,FALSE),"")</x:f>
        <x:v>48</x:v>
      </x:c>
      <x:c r="Z213" s="111" t="n">
        <x:f>IFERROR(VLOOKUP($A213,'Jason FLEX'!$A$6:$N$268,8,FALSE),"")</x:f>
        <x:v>190</x:v>
      </x:c>
      <x:c r="AA213" s="111" t="n">
        <x:f>IFERROR(VLOOKUP($A213,'Jason FLEX'!$A$6:$N$268,9,FALSE),"")</x:f>
        <x:v>1</x:v>
      </x:c>
      <x:c r="AB213" s="111" t="n">
        <x:f>IFERROR(VLOOKUP($A213,'Jason FLEX'!$A$6:$N$268,10,FALSE),"")</x:f>
        <x:v>22</x:v>
      </x:c>
      <x:c r="AC213" s="111" t="n">
        <x:f>IFERROR(VLOOKUP($A213,'Jason FLEX'!$A$6:$N$268,11,FALSE),"")</x:f>
        <x:v>167</x:v>
      </x:c>
      <x:c r="AD213" s="111" t="n">
        <x:f>IFERROR(VLOOKUP($A213,'Jason FLEX'!$A$6:$N$268,12,FALSE),"")</x:f>
        <x:v>1</x:v>
      </x:c>
      <x:c r="AE213" s="111" t="n">
        <x:f>IFERROR(VLOOKUP($A213,'Jason FLEX'!$A$6:$N$268,13,FALSE),"")</x:f>
        <x:v>1</x:v>
      </x:c>
      <x:c r="AF213" s="110" t="n">
        <x:f>IF(COUNT(E213,N213,W213)=0,"",AVERAGE(E213,N213,W213))</x:f>
        <x:v>204</x:v>
      </x:c>
      <x:c r="AG213" s="110" t="n">
        <x:f>IF(COUNT(E213,N213,W213)=0,"",MAX(E213,N213,W213)-MIN(E213,N213,W213))</x:f>
        <x:v>26</x:v>
      </x:c>
      <x:c r="AH213" s="110" t="n">
        <x:f>IF(COUNT(F213,O213,X213)=0,"",AVERAGE(F213,O213,X213))</x:f>
        <x:v>4.3</x:v>
      </x:c>
      <x:c r="AI213" s="112" t="n">
        <x:f>IF(COUNT(G213,P213,Y213)=0,"",AVERAGE(G213,P213,Y213))</x:f>
        <x:v>41.666666666666664</x:v>
      </x:c>
      <x:c r="AJ213" s="112" t="n">
        <x:f>IF(COUNT(H213,Q213,Z213)=0,"",AVERAGE(H213,Q213,Z213))</x:f>
        <x:v>169</x:v>
      </x:c>
      <x:c r="AK213" s="112" t="n">
        <x:f>IF(COUNT(I213,R213,AA213)=0,"",AVERAGE(I213,R213,AA213))</x:f>
        <x:v>1.3333333333333333</x:v>
      </x:c>
      <x:c r="AL213" s="112" t="n">
        <x:f>IF(COUNT(J213,S213,AB213)=0,"",AVERAGE(J213,S213,AB213))</x:f>
        <x:v>27</x:v>
      </x:c>
      <x:c r="AM213" s="112" t="n">
        <x:f>IF(COUNT(K213,T213,AC213)=0,"",AVERAGE(K213,T213,AC213))</x:f>
        <x:v>186.33333333333334</x:v>
      </x:c>
      <x:c r="AN213" s="112" t="n">
        <x:f>IF(COUNT(L213,U213,AD213)=0,"",AVERAGE(L213,U213,AD213))</x:f>
        <x:v>1</x:v>
      </x:c>
      <x:c r="AO213" s="112" t="n">
        <x:f>IF(COUNT(M213,V213,AE213)=0,"",AVERAGE(M213,V213,AE213))</x:f>
        <x:v>0.6666666666666666</x:v>
      </x:c>
    </x:row>
    <x:row r="214">
      <x:c r="A214" s="107" t="str">
        <x:v>Nicholas Singleton</x:v>
      </x:c>
      <x:c r="B214" s="108" t="str">
        <x:v>RB</x:v>
      </x:c>
      <x:c r="C214" s="108" t="str">
        <x:v>TEN</x:v>
      </x:c>
      <x:c r="D214" s="109" t="n">
        <x:v>9</x:v>
      </x:c>
      <x:c r="E214" s="109" t="n">
        <x:f>IFERROR(VLOOKUP($A214,'Mike FLEX'!$A$6:$N$278,5,FALSE),"")</x:f>
        <x:v>234</x:v>
      </x:c>
      <x:c r="F214" s="110" t="n">
        <x:f>IFERROR(VLOOKUP($A214,'Mike FLEX'!$A$6:$N$278,6,FALSE),"")</x:f>
        <x:v>2.8</x:v>
      </x:c>
      <x:c r="G214" s="111" t="n">
        <x:f>IFERROR(VLOOKUP($A214,'Mike FLEX'!$A$6:$N$278,7,FALSE),"")</x:f>
        <x:v>49</x:v>
      </x:c>
      <x:c r="H214" s="111" t="n">
        <x:f>IFERROR(VLOOKUP($A214,'Mike FLEX'!$A$6:$N$278,8,FALSE),"")</x:f>
        <x:v>211</x:v>
      </x:c>
      <x:c r="I214" s="111" t="n">
        <x:f>IFERROR(VLOOKUP($A214,'Mike FLEX'!$A$6:$N$278,9,FALSE),"")</x:f>
        <x:v>2</x:v>
      </x:c>
      <x:c r="J214" s="111" t="n">
        <x:f>IFERROR(VLOOKUP($A214,'Mike FLEX'!$A$6:$N$278,10,FALSE),"")</x:f>
        <x:v>9</x:v>
      </x:c>
      <x:c r="K214" s="111" t="n">
        <x:f>IFERROR(VLOOKUP($A214,'Mike FLEX'!$A$6:$N$278,11,FALSE),"")</x:f>
        <x:v>61</x:v>
      </x:c>
      <x:c r="L214" s="111" t="n">
        <x:f>IFERROR(VLOOKUP($A214,'Mike FLEX'!$A$6:$N$278,12,FALSE),"")</x:f>
        <x:v>0</x:v>
      </x:c>
      <x:c r="M214" s="111" t="n">
        <x:f>IFERROR(VLOOKUP($A214,'Mike FLEX'!$A$6:$N$278,13,FALSE),"")</x:f>
        <x:v>0</x:v>
      </x:c>
      <x:c r="N214" s="109" t="n">
        <x:f>IFERROR(VLOOKUP($A214,'Andy FLEX'!$A$6:$N$278,5,FALSE),"")</x:f>
        <x:v>227</x:v>
      </x:c>
      <x:c r="O214" s="110" t="n">
        <x:f>IFERROR(VLOOKUP($A214,'Andy FLEX'!$A$6:$N$278,6,FALSE),"")</x:f>
        <x:v>3.8</x:v>
      </x:c>
      <x:c r="P214" s="111" t="n">
        <x:f>IFERROR(VLOOKUP($A214,'Andy FLEX'!$A$6:$N$278,7,FALSE),"")</x:f>
        <x:v>67</x:v>
      </x:c>
      <x:c r="Q214" s="111" t="n">
        <x:f>IFERROR(VLOOKUP($A214,'Andy FLEX'!$A$6:$N$278,8,FALSE),"")</x:f>
        <x:v>279</x:v>
      </x:c>
      <x:c r="R214" s="111" t="n">
        <x:f>IFERROR(VLOOKUP($A214,'Andy FLEX'!$A$6:$N$278,9,FALSE),"")</x:f>
        <x:v>2</x:v>
      </x:c>
      <x:c r="S214" s="111" t="n">
        <x:f>IFERROR(VLOOKUP($A214,'Andy FLEX'!$A$6:$N$278,10,FALSE),"")</x:f>
        <x:v>13</x:v>
      </x:c>
      <x:c r="T214" s="111" t="n">
        <x:f>IFERROR(VLOOKUP($A214,'Andy FLEX'!$A$6:$N$278,11,FALSE),"")</x:f>
        <x:v>94</x:v>
      </x:c>
      <x:c r="U214" s="111" t="n">
        <x:f>IFERROR(VLOOKUP($A214,'Andy FLEX'!$A$6:$N$278,12,FALSE),"")</x:f>
        <x:v>1</x:v>
      </x:c>
      <x:c r="V214" s="111" t="n">
        <x:f>IFERROR(VLOOKUP($A214,'Andy FLEX'!$A$6:$N$278,13,FALSE),"")</x:f>
        <x:v>1</x:v>
      </x:c>
      <x:c r="W214" s="109" t="n">
        <x:f>IFERROR(VLOOKUP($A214,'Jason FLEX'!$A$6:$N$268,5,FALSE),"")</x:f>
        <x:v>152</x:v>
      </x:c>
      <x:c r="X214" s="110" t="n">
        <x:f>IFERROR(VLOOKUP($A214,'Jason FLEX'!$A$6:$N$268,6,FALSE),"")</x:f>
        <x:v>6.9</x:v>
      </x:c>
      <x:c r="Y214" s="111" t="n">
        <x:f>IFERROR(VLOOKUP($A214,'Jason FLEX'!$A$6:$N$268,7,FALSE),"")</x:f>
        <x:v>105</x:v>
      </x:c>
      <x:c r="Z214" s="111" t="n">
        <x:f>IFERROR(VLOOKUP($A214,'Jason FLEX'!$A$6:$N$268,8,FALSE),"")</x:f>
        <x:v>462</x:v>
      </x:c>
      <x:c r="AA214" s="111" t="n">
        <x:f>IFERROR(VLOOKUP($A214,'Jason FLEX'!$A$6:$N$268,9,FALSE),"")</x:f>
        <x:v>5</x:v>
      </x:c>
      <x:c r="AB214" s="111" t="n">
        <x:f>IFERROR(VLOOKUP($A214,'Jason FLEX'!$A$6:$N$268,10,FALSE),"")</x:f>
        <x:v>23</x:v>
      </x:c>
      <x:c r="AC214" s="111" t="n">
        <x:f>IFERROR(VLOOKUP($A214,'Jason FLEX'!$A$6:$N$268,11,FALSE),"")</x:f>
        <x:v>173</x:v>
      </x:c>
      <x:c r="AD214" s="111" t="n">
        <x:f>IFERROR(VLOOKUP($A214,'Jason FLEX'!$A$6:$N$268,12,FALSE),"")</x:f>
        <x:v>1</x:v>
      </x:c>
      <x:c r="AE214" s="111" t="n">
        <x:f>IFERROR(VLOOKUP($A214,'Jason FLEX'!$A$6:$N$268,13,FALSE),"")</x:f>
        <x:v>0</x:v>
      </x:c>
      <x:c r="AF214" s="110" t="n">
        <x:f>IF(COUNT(E214,N214,W214)=0,"",AVERAGE(E214,N214,W214))</x:f>
        <x:v>204.33333333333334</x:v>
      </x:c>
      <x:c r="AG214" s="110" t="n">
        <x:f>IF(COUNT(E214,N214,W214)=0,"",MAX(E214,N214,W214)-MIN(E214,N214,W214))</x:f>
        <x:v>82</x:v>
      </x:c>
      <x:c r="AH214" s="110" t="n">
        <x:f>IF(COUNT(F214,O214,X214)=0,"",AVERAGE(F214,O214,X214))</x:f>
        <x:v>4.5</x:v>
      </x:c>
      <x:c r="AI214" s="112" t="n">
        <x:f>IF(COUNT(G214,P214,Y214)=0,"",AVERAGE(G214,P214,Y214))</x:f>
        <x:v>73.66666666666667</x:v>
      </x:c>
      <x:c r="AJ214" s="112" t="n">
        <x:f>IF(COUNT(H214,Q214,Z214)=0,"",AVERAGE(H214,Q214,Z214))</x:f>
        <x:v>317.3333333333333</x:v>
      </x:c>
      <x:c r="AK214" s="112" t="n">
        <x:f>IF(COUNT(I214,R214,AA214)=0,"",AVERAGE(I214,R214,AA214))</x:f>
        <x:v>3</x:v>
      </x:c>
      <x:c r="AL214" s="112" t="n">
        <x:f>IF(COUNT(J214,S214,AB214)=0,"",AVERAGE(J214,S214,AB214))</x:f>
        <x:v>15</x:v>
      </x:c>
      <x:c r="AM214" s="112" t="n">
        <x:f>IF(COUNT(K214,T214,AC214)=0,"",AVERAGE(K214,T214,AC214))</x:f>
        <x:v>109.33333333333333</x:v>
      </x:c>
      <x:c r="AN214" s="112" t="n">
        <x:f>IF(COUNT(L214,U214,AD214)=0,"",AVERAGE(L214,U214,AD214))</x:f>
        <x:v>0.6666666666666666</x:v>
      </x:c>
      <x:c r="AO214" s="112" t="n">
        <x:f>IF(COUNT(M214,V214,AE214)=0,"",AVERAGE(M214,V214,AE214))</x:f>
        <x:v>0.3333333333333333</x:v>
      </x:c>
    </x:row>
    <x:row r="215">
      <x:c r="A215" s="107" t="str">
        <x:v>Theo Johnson</x:v>
      </x:c>
      <x:c r="B215" s="108" t="str">
        <x:v>TE</x:v>
      </x:c>
      <x:c r="C215" s="108" t="str">
        <x:v>NYG</x:v>
      </x:c>
      <x:c r="D215" s="109" t="n">
        <x:v>8</x:v>
      </x:c>
      <x:c r="E215" s="109" t="n">
        <x:f>IFERROR(VLOOKUP($A215,'Mike FLEX'!$A$6:$N$278,5,FALSE),"")</x:f>
        <x:v>196</x:v>
      </x:c>
      <x:c r="F215" s="110" t="n">
        <x:f>IFERROR(VLOOKUP($A215,'Mike FLEX'!$A$6:$N$278,6,FALSE),"")</x:f>
        <x:v>4.3</x:v>
      </x:c>
      <x:c r="G215" s="111" t="n">
        <x:f>IFERROR(VLOOKUP($A215,'Mike FLEX'!$A$6:$N$278,7,FALSE),"")</x:f>
        <x:v>0</x:v>
      </x:c>
      <x:c r="H215" s="111" t="n">
        <x:f>IFERROR(VLOOKUP($A215,'Mike FLEX'!$A$6:$N$278,8,FALSE),"")</x:f>
        <x:v>0</x:v>
      </x:c>
      <x:c r="I215" s="111" t="n">
        <x:f>IFERROR(VLOOKUP($A215,'Mike FLEX'!$A$6:$N$278,9,FALSE),"")</x:f>
        <x:v>0</x:v>
      </x:c>
      <x:c r="J215" s="111" t="n">
        <x:f>IFERROR(VLOOKUP($A215,'Mike FLEX'!$A$6:$N$278,10,FALSE),"")</x:f>
        <x:v>28</x:v>
      </x:c>
      <x:c r="K215" s="111" t="n">
        <x:f>IFERROR(VLOOKUP($A215,'Mike FLEX'!$A$6:$N$278,11,FALSE),"")</x:f>
        <x:v>321</x:v>
      </x:c>
      <x:c r="L215" s="111" t="n">
        <x:f>IFERROR(VLOOKUP($A215,'Mike FLEX'!$A$6:$N$278,12,FALSE),"")</x:f>
        <x:v>2</x:v>
      </x:c>
      <x:c r="M215" s="111" t="n">
        <x:f>IFERROR(VLOOKUP($A215,'Mike FLEX'!$A$6:$N$278,13,FALSE),"")</x:f>
        <x:v>0</x:v>
      </x:c>
      <x:c r="N215" s="109" t="n">
        <x:f>IFERROR(VLOOKUP($A215,'Andy FLEX'!$A$6:$N$278,5,FALSE),"")</x:f>
        <x:v>183</x:v>
      </x:c>
      <x:c r="O215" s="110" t="n">
        <x:f>IFERROR(VLOOKUP($A215,'Andy FLEX'!$A$6:$N$278,6,FALSE),"")</x:f>
        <x:v>5.5</x:v>
      </x:c>
      <x:c r="P215" s="111" t="n">
        <x:f>IFERROR(VLOOKUP($A215,'Andy FLEX'!$A$6:$N$278,7,FALSE),"")</x:f>
        <x:v>2</x:v>
      </x:c>
      <x:c r="Q215" s="111" t="n">
        <x:f>IFERROR(VLOOKUP($A215,'Andy FLEX'!$A$6:$N$278,8,FALSE),"")</x:f>
        <x:v>7</x:v>
      </x:c>
      <x:c r="R215" s="111" t="n">
        <x:f>IFERROR(VLOOKUP($A215,'Andy FLEX'!$A$6:$N$278,9,FALSE),"")</x:f>
        <x:v>0</x:v>
      </x:c>
      <x:c r="S215" s="111" t="n">
        <x:f>IFERROR(VLOOKUP($A215,'Andy FLEX'!$A$6:$N$278,10,FALSE),"")</x:f>
        <x:v>35</x:v>
      </x:c>
      <x:c r="T215" s="111" t="n">
        <x:f>IFERROR(VLOOKUP($A215,'Andy FLEX'!$A$6:$N$278,11,FALSE),"")</x:f>
        <x:v>395</x:v>
      </x:c>
      <x:c r="U215" s="111" t="n">
        <x:f>IFERROR(VLOOKUP($A215,'Andy FLEX'!$A$6:$N$278,12,FALSE),"")</x:f>
        <x:v>3</x:v>
      </x:c>
      <x:c r="V215" s="111" t="n">
        <x:f>IFERROR(VLOOKUP($A215,'Andy FLEX'!$A$6:$N$278,13,FALSE),"")</x:f>
        <x:v>1</x:v>
      </x:c>
      <x:c r="W215" s="109" t="n">
        <x:f>IFERROR(VLOOKUP($A215,'Jason FLEX'!$A$6:$N$268,5,FALSE),"")</x:f>
        <x:v>236</x:v>
      </x:c>
      <x:c r="X215" s="110" t="n">
        <x:f>IFERROR(VLOOKUP($A215,'Jason FLEX'!$A$6:$N$268,6,FALSE),"")</x:f>
        <x:v>2.9</x:v>
      </x:c>
      <x:c r="Y215" s="111" t="n">
        <x:f>IFERROR(VLOOKUP($A215,'Jason FLEX'!$A$6:$N$268,7,FALSE),"")</x:f>
        <x:v>0</x:v>
      </x:c>
      <x:c r="Z215" s="111" t="n">
        <x:f>IFERROR(VLOOKUP($A215,'Jason FLEX'!$A$6:$N$268,8,FALSE),"")</x:f>
        <x:v>0</x:v>
      </x:c>
      <x:c r="AA215" s="111" t="n">
        <x:f>IFERROR(VLOOKUP($A215,'Jason FLEX'!$A$6:$N$268,9,FALSE),"")</x:f>
        <x:v>0</x:v>
      </x:c>
      <x:c r="AB215" s="111" t="n">
        <x:f>IFERROR(VLOOKUP($A215,'Jason FLEX'!$A$6:$N$268,10,FALSE),"")</x:f>
        <x:v>18</x:v>
      </x:c>
      <x:c r="AC215" s="111" t="n">
        <x:f>IFERROR(VLOOKUP($A215,'Jason FLEX'!$A$6:$N$268,11,FALSE),"")</x:f>
        <x:v>198</x:v>
      </x:c>
      <x:c r="AD215" s="111" t="n">
        <x:f>IFERROR(VLOOKUP($A215,'Jason FLEX'!$A$6:$N$268,12,FALSE),"")</x:f>
        <x:v>2</x:v>
      </x:c>
      <x:c r="AE215" s="111" t="n">
        <x:f>IFERROR(VLOOKUP($A215,'Jason FLEX'!$A$6:$N$268,13,FALSE),"")</x:f>
        <x:v>0</x:v>
      </x:c>
      <x:c r="AF215" s="110" t="n">
        <x:f>IF(COUNT(E215,N215,W215)=0,"",AVERAGE(E215,N215,W215))</x:f>
        <x:v>205</x:v>
      </x:c>
      <x:c r="AG215" s="110" t="n">
        <x:f>IF(COUNT(E215,N215,W215)=0,"",MAX(E215,N215,W215)-MIN(E215,N215,W215))</x:f>
        <x:v>53</x:v>
      </x:c>
      <x:c r="AH215" s="110" t="n">
        <x:f>IF(COUNT(F215,O215,X215)=0,"",AVERAGE(F215,O215,X215))</x:f>
        <x:v>4.233333333333333</x:v>
      </x:c>
      <x:c r="AI215" s="112" t="n">
        <x:f>IF(COUNT(G215,P215,Y215)=0,"",AVERAGE(G215,P215,Y215))</x:f>
        <x:v>0.6666666666666666</x:v>
      </x:c>
      <x:c r="AJ215" s="112" t="n">
        <x:f>IF(COUNT(H215,Q215,Z215)=0,"",AVERAGE(H215,Q215,Z215))</x:f>
        <x:v>2.3333333333333335</x:v>
      </x:c>
      <x:c r="AK215" s="112" t="n">
        <x:f>IF(COUNT(I215,R215,AA215)=0,"",AVERAGE(I215,R215,AA215))</x:f>
        <x:v>0</x:v>
      </x:c>
      <x:c r="AL215" s="112" t="n">
        <x:f>IF(COUNT(J215,S215,AB215)=0,"",AVERAGE(J215,S215,AB215))</x:f>
        <x:v>27</x:v>
      </x:c>
      <x:c r="AM215" s="112" t="n">
        <x:f>IF(COUNT(K215,T215,AC215)=0,"",AVERAGE(K215,T215,AC215))</x:f>
        <x:v>304.6666666666667</x:v>
      </x:c>
      <x:c r="AN215" s="112" t="n">
        <x:f>IF(COUNT(L215,U215,AD215)=0,"",AVERAGE(L215,U215,AD215))</x:f>
        <x:v>2.3333333333333335</x:v>
      </x:c>
      <x:c r="AO215" s="112" t="n">
        <x:f>IF(COUNT(M215,V215,AE215)=0,"",AVERAGE(M215,V215,AE215))</x:f>
        <x:v>0.3333333333333333</x:v>
      </x:c>
    </x:row>
    <x:row r="216">
      <x:c r="A216" s="107" t="str">
        <x:v>Ted Hurst III</x:v>
      </x:c>
      <x:c r="B216" s="108" t="str">
        <x:v>WR</x:v>
      </x:c>
      <x:c r="C216" s="108" t="str">
        <x:v>TB</x:v>
      </x:c>
      <x:c r="D216" s="109" t="n">
        <x:v>10</x:v>
      </x:c>
      <x:c r="E216" s="109" t="n">
        <x:f>IFERROR(VLOOKUP($A216,'Mike FLEX'!$A$6:$N$278,5,FALSE),"")</x:f>
        <x:v>225</x:v>
      </x:c>
      <x:c r="F216" s="110" t="n">
        <x:f>IFERROR(VLOOKUP($A216,'Mike FLEX'!$A$6:$N$278,6,FALSE),"")</x:f>
        <x:v>3.2</x:v>
      </x:c>
      <x:c r="G216" s="111" t="n">
        <x:f>IFERROR(VLOOKUP($A216,'Mike FLEX'!$A$6:$N$278,7,FALSE),"")</x:f>
        <x:v>0</x:v>
      </x:c>
      <x:c r="H216" s="111" t="n">
        <x:f>IFERROR(VLOOKUP($A216,'Mike FLEX'!$A$6:$N$278,8,FALSE),"")</x:f>
        <x:v>0</x:v>
      </x:c>
      <x:c r="I216" s="111" t="n">
        <x:f>IFERROR(VLOOKUP($A216,'Mike FLEX'!$A$6:$N$278,9,FALSE),"")</x:f>
        <x:v>0</x:v>
      </x:c>
      <x:c r="J216" s="111" t="n">
        <x:f>IFERROR(VLOOKUP($A216,'Mike FLEX'!$A$6:$N$278,10,FALSE),"")</x:f>
        <x:v>20</x:v>
      </x:c>
      <x:c r="K216" s="111" t="n">
        <x:f>IFERROR(VLOOKUP($A216,'Mike FLEX'!$A$6:$N$278,11,FALSE),"")</x:f>
        <x:v>248</x:v>
      </x:c>
      <x:c r="L216" s="111" t="n">
        <x:f>IFERROR(VLOOKUP($A216,'Mike FLEX'!$A$6:$N$278,12,FALSE),"")</x:f>
        <x:v>2</x:v>
      </x:c>
      <x:c r="M216" s="111" t="n">
        <x:f>IFERROR(VLOOKUP($A216,'Mike FLEX'!$A$6:$N$278,13,FALSE),"")</x:f>
        <x:v>0</x:v>
      </x:c>
      <x:c r="N216" s="109" t="n">
        <x:f>IFERROR(VLOOKUP($A216,'Andy FLEX'!$A$6:$N$278,5,FALSE),"")</x:f>
        <x:v>187</x:v>
      </x:c>
      <x:c r="O216" s="110" t="n">
        <x:f>IFERROR(VLOOKUP($A216,'Andy FLEX'!$A$6:$N$278,6,FALSE),"")</x:f>
        <x:v>5.3</x:v>
      </x:c>
      <x:c r="P216" s="111" t="n">
        <x:f>IFERROR(VLOOKUP($A216,'Andy FLEX'!$A$6:$N$278,7,FALSE),"")</x:f>
        <x:v>5</x:v>
      </x:c>
      <x:c r="Q216" s="111" t="n">
        <x:f>IFERROR(VLOOKUP($A216,'Andy FLEX'!$A$6:$N$278,8,FALSE),"")</x:f>
        <x:v>36</x:v>
      </x:c>
      <x:c r="R216" s="111" t="n">
        <x:f>IFERROR(VLOOKUP($A216,'Andy FLEX'!$A$6:$N$278,9,FALSE),"")</x:f>
        <x:v>0</x:v>
      </x:c>
      <x:c r="S216" s="111" t="n">
        <x:f>IFERROR(VLOOKUP($A216,'Andy FLEX'!$A$6:$N$278,10,FALSE),"")</x:f>
        <x:v>30</x:v>
      </x:c>
      <x:c r="T216" s="111" t="n">
        <x:f>IFERROR(VLOOKUP($A216,'Andy FLEX'!$A$6:$N$278,11,FALSE),"")</x:f>
        <x:v>390</x:v>
      </x:c>
      <x:c r="U216" s="111" t="n">
        <x:f>IFERROR(VLOOKUP($A216,'Andy FLEX'!$A$6:$N$278,12,FALSE),"")</x:f>
        <x:v>3</x:v>
      </x:c>
      <x:c r="V216" s="111" t="n">
        <x:f>IFERROR(VLOOKUP($A216,'Andy FLEX'!$A$6:$N$278,13,FALSE),"")</x:f>
        <x:v>0</x:v>
      </x:c>
      <x:c r="W216" s="109" t="str">
        <x:f>IFERROR(VLOOKUP($A216,'Jason FLEX'!$A$6:$N$268,5,FALSE),"")</x:f>
      </x:c>
      <x:c r="X216" s="110" t="str">
        <x:f>IFERROR(VLOOKUP($A216,'Jason FLEX'!$A$6:$N$268,6,FALSE),"")</x:f>
      </x:c>
      <x:c r="Y216" s="111" t="str">
        <x:f>IFERROR(VLOOKUP($A216,'Jason FLEX'!$A$6:$N$268,7,FALSE),"")</x:f>
      </x:c>
      <x:c r="Z216" s="111" t="str">
        <x:f>IFERROR(VLOOKUP($A216,'Jason FLEX'!$A$6:$N$268,8,FALSE),"")</x:f>
      </x:c>
      <x:c r="AA216" s="111" t="str">
        <x:f>IFERROR(VLOOKUP($A216,'Jason FLEX'!$A$6:$N$268,9,FALSE),"")</x:f>
      </x:c>
      <x:c r="AB216" s="111" t="str">
        <x:f>IFERROR(VLOOKUP($A216,'Jason FLEX'!$A$6:$N$268,10,FALSE),"")</x:f>
      </x:c>
      <x:c r="AC216" s="111" t="str">
        <x:f>IFERROR(VLOOKUP($A216,'Jason FLEX'!$A$6:$N$268,11,FALSE),"")</x:f>
      </x:c>
      <x:c r="AD216" s="111" t="str">
        <x:f>IFERROR(VLOOKUP($A216,'Jason FLEX'!$A$6:$N$268,12,FALSE),"")</x:f>
      </x:c>
      <x:c r="AE216" s="111" t="str">
        <x:f>IFERROR(VLOOKUP($A216,'Jason FLEX'!$A$6:$N$268,13,FALSE),"")</x:f>
      </x:c>
      <x:c r="AF216" s="110" t="n">
        <x:f>IF(COUNT(E216,N216,W216)=0,"",AVERAGE(E216,N216,W216))</x:f>
        <x:v>206</x:v>
      </x:c>
      <x:c r="AG216" s="110" t="n">
        <x:f>IF(COUNT(E216,N216,W216)=0,"",MAX(E216,N216,W216)-MIN(E216,N216,W216))</x:f>
        <x:v>38</x:v>
      </x:c>
      <x:c r="AH216" s="110" t="n">
        <x:f>IF(COUNT(F216,O216,X216)=0,"",AVERAGE(F216,O216,X216))</x:f>
        <x:v>4.25</x:v>
      </x:c>
      <x:c r="AI216" s="112" t="n">
        <x:f>IF(COUNT(G216,P216,Y216)=0,"",AVERAGE(G216,P216,Y216))</x:f>
        <x:v>2.5</x:v>
      </x:c>
      <x:c r="AJ216" s="112" t="n">
        <x:f>IF(COUNT(H216,Q216,Z216)=0,"",AVERAGE(H216,Q216,Z216))</x:f>
        <x:v>18</x:v>
      </x:c>
      <x:c r="AK216" s="112" t="n">
        <x:f>IF(COUNT(I216,R216,AA216)=0,"",AVERAGE(I216,R216,AA216))</x:f>
        <x:v>0</x:v>
      </x:c>
      <x:c r="AL216" s="112" t="n">
        <x:f>IF(COUNT(J216,S216,AB216)=0,"",AVERAGE(J216,S216,AB216))</x:f>
        <x:v>25</x:v>
      </x:c>
      <x:c r="AM216" s="112" t="n">
        <x:f>IF(COUNT(K216,T216,AC216)=0,"",AVERAGE(K216,T216,AC216))</x:f>
        <x:v>319</x:v>
      </x:c>
      <x:c r="AN216" s="112" t="n">
        <x:f>IF(COUNT(L216,U216,AD216)=0,"",AVERAGE(L216,U216,AD216))</x:f>
        <x:v>2.5</x:v>
      </x:c>
      <x:c r="AO216" s="112" t="n">
        <x:f>IF(COUNT(M216,V216,AE216)=0,"",AVERAGE(M216,V216,AE216))</x:f>
        <x:v>0</x:v>
      </x:c>
    </x:row>
    <x:row r="217">
      <x:c r="A217" s="107" t="str">
        <x:v>Luke Musgrave</x:v>
      </x:c>
      <x:c r="B217" s="108" t="str">
        <x:v>TE</x:v>
      </x:c>
      <x:c r="C217" s="108" t="str">
        <x:v>GB</x:v>
      </x:c>
      <x:c r="D217" s="109" t="n">
        <x:v>11</x:v>
      </x:c>
      <x:c r="E217" s="109" t="n">
        <x:f>IFERROR(VLOOKUP($A217,'Mike FLEX'!$A$6:$N$278,5,FALSE),"")</x:f>
        <x:v>144</x:v>
      </x:c>
      <x:c r="F217" s="110" t="n">
        <x:f>IFERROR(VLOOKUP($A217,'Mike FLEX'!$A$6:$N$278,6,FALSE),"")</x:f>
        <x:v>6.7</x:v>
      </x:c>
      <x:c r="G217" s="111" t="n">
        <x:f>IFERROR(VLOOKUP($A217,'Mike FLEX'!$A$6:$N$278,7,FALSE),"")</x:f>
        <x:v>0</x:v>
      </x:c>
      <x:c r="H217" s="111" t="n">
        <x:f>IFERROR(VLOOKUP($A217,'Mike FLEX'!$A$6:$N$278,8,FALSE),"")</x:f>
        <x:v>0</x:v>
      </x:c>
      <x:c r="I217" s="111" t="n">
        <x:f>IFERROR(VLOOKUP($A217,'Mike FLEX'!$A$6:$N$278,9,FALSE),"")</x:f>
        <x:v>0</x:v>
      </x:c>
      <x:c r="J217" s="111" t="n">
        <x:f>IFERROR(VLOOKUP($A217,'Mike FLEX'!$A$6:$N$278,10,FALSE),"")</x:f>
        <x:v>50</x:v>
      </x:c>
      <x:c r="K217" s="111" t="n">
        <x:f>IFERROR(VLOOKUP($A217,'Mike FLEX'!$A$6:$N$278,11,FALSE),"")</x:f>
        <x:v>500</x:v>
      </x:c>
      <x:c r="L217" s="111" t="n">
        <x:f>IFERROR(VLOOKUP($A217,'Mike FLEX'!$A$6:$N$278,12,FALSE),"")</x:f>
        <x:v>2</x:v>
      </x:c>
      <x:c r="M217" s="111" t="n">
        <x:f>IFERROR(VLOOKUP($A217,'Mike FLEX'!$A$6:$N$278,13,FALSE),"")</x:f>
        <x:v>0</x:v>
      </x:c>
      <x:c r="N217" s="109" t="n">
        <x:f>IFERROR(VLOOKUP($A217,'Andy FLEX'!$A$6:$N$278,5,FALSE),"")</x:f>
        <x:v>264</x:v>
      </x:c>
      <x:c r="O217" s="110" t="n">
        <x:f>IFERROR(VLOOKUP($A217,'Andy FLEX'!$A$6:$N$278,6,FALSE),"")</x:f>
        <x:v>2.4</x:v>
      </x:c>
      <x:c r="P217" s="111" t="n">
        <x:f>IFERROR(VLOOKUP($A217,'Andy FLEX'!$A$6:$N$278,7,FALSE),"")</x:f>
        <x:v>1</x:v>
      </x:c>
      <x:c r="Q217" s="111" t="n">
        <x:f>IFERROR(VLOOKUP($A217,'Andy FLEX'!$A$6:$N$278,8,FALSE),"")</x:f>
        <x:v>2</x:v>
      </x:c>
      <x:c r="R217" s="111" t="n">
        <x:f>IFERROR(VLOOKUP($A217,'Andy FLEX'!$A$6:$N$278,9,FALSE),"")</x:f>
        <x:v>0</x:v>
      </x:c>
      <x:c r="S217" s="111" t="n">
        <x:f>IFERROR(VLOOKUP($A217,'Andy FLEX'!$A$6:$N$278,10,FALSE),"")</x:f>
        <x:v>16</x:v>
      </x:c>
      <x:c r="T217" s="111" t="n">
        <x:f>IFERROR(VLOOKUP($A217,'Andy FLEX'!$A$6:$N$278,11,FALSE),"")</x:f>
        <x:v>177</x:v>
      </x:c>
      <x:c r="U217" s="111" t="n">
        <x:f>IFERROR(VLOOKUP($A217,'Andy FLEX'!$A$6:$N$278,12,FALSE),"")</x:f>
        <x:v>1</x:v>
      </x:c>
      <x:c r="V217" s="111" t="n">
        <x:f>IFERROR(VLOOKUP($A217,'Andy FLEX'!$A$6:$N$278,13,FALSE),"")</x:f>
        <x:v>0</x:v>
      </x:c>
      <x:c r="W217" s="109" t="n">
        <x:f>IFERROR(VLOOKUP($A217,'Jason FLEX'!$A$6:$N$268,5,FALSE),"")</x:f>
        <x:v>211</x:v>
      </x:c>
      <x:c r="X217" s="110" t="n">
        <x:f>IFERROR(VLOOKUP($A217,'Jason FLEX'!$A$6:$N$268,6,FALSE),"")</x:f>
        <x:v>4.1</x:v>
      </x:c>
      <x:c r="Y217" s="111" t="n">
        <x:f>IFERROR(VLOOKUP($A217,'Jason FLEX'!$A$6:$N$268,7,FALSE),"")</x:f>
        <x:v>0</x:v>
      </x:c>
      <x:c r="Z217" s="111" t="n">
        <x:f>IFERROR(VLOOKUP($A217,'Jason FLEX'!$A$6:$N$268,8,FALSE),"")</x:f>
        <x:v>0</x:v>
      </x:c>
      <x:c r="AA217" s="111" t="n">
        <x:f>IFERROR(VLOOKUP($A217,'Jason FLEX'!$A$6:$N$268,9,FALSE),"")</x:f>
        <x:v>0</x:v>
      </x:c>
      <x:c r="AB217" s="111" t="n">
        <x:f>IFERROR(VLOOKUP($A217,'Jason FLEX'!$A$6:$N$268,10,FALSE),"")</x:f>
        <x:v>26</x:v>
      </x:c>
      <x:c r="AC217" s="111" t="n">
        <x:f>IFERROR(VLOOKUP($A217,'Jason FLEX'!$A$6:$N$268,11,FALSE),"")</x:f>
        <x:v>285</x:v>
      </x:c>
      <x:c r="AD217" s="111" t="n">
        <x:f>IFERROR(VLOOKUP($A217,'Jason FLEX'!$A$6:$N$268,12,FALSE),"")</x:f>
        <x:v>3</x:v>
      </x:c>
      <x:c r="AE217" s="111" t="n">
        <x:f>IFERROR(VLOOKUP($A217,'Jason FLEX'!$A$6:$N$268,13,FALSE),"")</x:f>
        <x:v>0</x:v>
      </x:c>
      <x:c r="AF217" s="110" t="n">
        <x:f>IF(COUNT(E217,N217,W217)=0,"",AVERAGE(E217,N217,W217))</x:f>
        <x:v>206.33333333333334</x:v>
      </x:c>
      <x:c r="AG217" s="110" t="n">
        <x:f>IF(COUNT(E217,N217,W217)=0,"",MAX(E217,N217,W217)-MIN(E217,N217,W217))</x:f>
        <x:v>120</x:v>
      </x:c>
      <x:c r="AH217" s="110" t="n">
        <x:f>IF(COUNT(F217,O217,X217)=0,"",AVERAGE(F217,O217,X217))</x:f>
        <x:v>4.3999999999999995</x:v>
      </x:c>
      <x:c r="AI217" s="112" t="n">
        <x:f>IF(COUNT(G217,P217,Y217)=0,"",AVERAGE(G217,P217,Y217))</x:f>
        <x:v>0.3333333333333333</x:v>
      </x:c>
      <x:c r="AJ217" s="112" t="n">
        <x:f>IF(COUNT(H217,Q217,Z217)=0,"",AVERAGE(H217,Q217,Z217))</x:f>
        <x:v>0.6666666666666666</x:v>
      </x:c>
      <x:c r="AK217" s="112" t="n">
        <x:f>IF(COUNT(I217,R217,AA217)=0,"",AVERAGE(I217,R217,AA217))</x:f>
        <x:v>0</x:v>
      </x:c>
      <x:c r="AL217" s="112" t="n">
        <x:f>IF(COUNT(J217,S217,AB217)=0,"",AVERAGE(J217,S217,AB217))</x:f>
        <x:v>30.666666666666668</x:v>
      </x:c>
      <x:c r="AM217" s="112" t="n">
        <x:f>IF(COUNT(K217,T217,AC217)=0,"",AVERAGE(K217,T217,AC217))</x:f>
        <x:v>320.6666666666667</x:v>
      </x:c>
      <x:c r="AN217" s="112" t="n">
        <x:f>IF(COUNT(L217,U217,AD217)=0,"",AVERAGE(L217,U217,AD217))</x:f>
        <x:v>2</x:v>
      </x:c>
      <x:c r="AO217" s="112" t="n">
        <x:f>IF(COUNT(M217,V217,AE217)=0,"",AVERAGE(M217,V217,AE217))</x:f>
        <x:v>0</x:v>
      </x:c>
    </x:row>
    <x:row r="218">
      <x:c r="A218" s="107" t="str">
        <x:v>Ja'Tavion Sanders</x:v>
      </x:c>
      <x:c r="B218" s="108" t="str">
        <x:v>TE</x:v>
      </x:c>
      <x:c r="C218" s="108" t="str">
        <x:v>CAR</x:v>
      </x:c>
      <x:c r="D218" s="109" t="n">
        <x:v>5</x:v>
      </x:c>
      <x:c r="E218" s="109" t="n">
        <x:f>IFERROR(VLOOKUP($A218,'Mike FLEX'!$A$6:$N$278,5,FALSE),"")</x:f>
        <x:v>187</x:v>
      </x:c>
      <x:c r="F218" s="110" t="n">
        <x:f>IFERROR(VLOOKUP($A218,'Mike FLEX'!$A$6:$N$278,6,FALSE),"")</x:f>
        <x:v>4.5</x:v>
      </x:c>
      <x:c r="G218" s="111" t="n">
        <x:f>IFERROR(VLOOKUP($A218,'Mike FLEX'!$A$6:$N$278,7,FALSE),"")</x:f>
        <x:v>0</x:v>
      </x:c>
      <x:c r="H218" s="111" t="n">
        <x:f>IFERROR(VLOOKUP($A218,'Mike FLEX'!$A$6:$N$278,8,FALSE),"")</x:f>
        <x:v>0</x:v>
      </x:c>
      <x:c r="I218" s="111" t="n">
        <x:f>IFERROR(VLOOKUP($A218,'Mike FLEX'!$A$6:$N$278,9,FALSE),"")</x:f>
        <x:v>0</x:v>
      </x:c>
      <x:c r="J218" s="111" t="n">
        <x:f>IFERROR(VLOOKUP($A218,'Mike FLEX'!$A$6:$N$278,10,FALSE),"")</x:f>
        <x:v>36</x:v>
      </x:c>
      <x:c r="K218" s="111" t="n">
        <x:f>IFERROR(VLOOKUP($A218,'Mike FLEX'!$A$6:$N$278,11,FALSE),"")</x:f>
        <x:v>301</x:v>
      </x:c>
      <x:c r="L218" s="111" t="n">
        <x:f>IFERROR(VLOOKUP($A218,'Mike FLEX'!$A$6:$N$278,12,FALSE),"")</x:f>
        <x:v>2</x:v>
      </x:c>
      <x:c r="M218" s="111" t="n">
        <x:f>IFERROR(VLOOKUP($A218,'Mike FLEX'!$A$6:$N$278,13,FALSE),"")</x:f>
        <x:v>0</x:v>
      </x:c>
      <x:c r="N218" s="109" t="n">
        <x:f>IFERROR(VLOOKUP($A218,'Andy FLEX'!$A$6:$N$278,5,FALSE),"")</x:f>
        <x:v>233</x:v>
      </x:c>
      <x:c r="O218" s="110" t="n">
        <x:f>IFERROR(VLOOKUP($A218,'Andy FLEX'!$A$6:$N$278,6,FALSE),"")</x:f>
        <x:v>3.7</x:v>
      </x:c>
      <x:c r="P218" s="111" t="n">
        <x:f>IFERROR(VLOOKUP($A218,'Andy FLEX'!$A$6:$N$278,7,FALSE),"")</x:f>
        <x:v>0</x:v>
      </x:c>
      <x:c r="Q218" s="111" t="n">
        <x:f>IFERROR(VLOOKUP($A218,'Andy FLEX'!$A$6:$N$278,8,FALSE),"")</x:f>
        <x:v>0</x:v>
      </x:c>
      <x:c r="R218" s="111" t="n">
        <x:f>IFERROR(VLOOKUP($A218,'Andy FLEX'!$A$6:$N$278,9,FALSE),"")</x:f>
        <x:v>0</x:v>
      </x:c>
      <x:c r="S218" s="111" t="n">
        <x:f>IFERROR(VLOOKUP($A218,'Andy FLEX'!$A$6:$N$278,10,FALSE),"")</x:f>
        <x:v>30</x:v>
      </x:c>
      <x:c r="T218" s="111" t="n">
        <x:f>IFERROR(VLOOKUP($A218,'Andy FLEX'!$A$6:$N$278,11,FALSE),"")</x:f>
        <x:v>251</x:v>
      </x:c>
      <x:c r="U218" s="111" t="n">
        <x:f>IFERROR(VLOOKUP($A218,'Andy FLEX'!$A$6:$N$278,12,FALSE),"")</x:f>
        <x:v>1</x:v>
      </x:c>
      <x:c r="V218" s="111" t="n">
        <x:f>IFERROR(VLOOKUP($A218,'Andy FLEX'!$A$6:$N$278,13,FALSE),"")</x:f>
        <x:v>0</x:v>
      </x:c>
      <x:c r="W218" s="109" t="n">
        <x:f>IFERROR(VLOOKUP($A218,'Jason FLEX'!$A$6:$N$268,5,FALSE),"")</x:f>
        <x:v>202</x:v>
      </x:c>
      <x:c r="X218" s="110" t="n">
        <x:f>IFERROR(VLOOKUP($A218,'Jason FLEX'!$A$6:$N$268,6,FALSE),"")</x:f>
        <x:v>4.7</x:v>
      </x:c>
      <x:c r="Y218" s="111" t="n">
        <x:f>IFERROR(VLOOKUP($A218,'Jason FLEX'!$A$6:$N$268,7,FALSE),"")</x:f>
        <x:v>0</x:v>
      </x:c>
      <x:c r="Z218" s="111" t="n">
        <x:f>IFERROR(VLOOKUP($A218,'Jason FLEX'!$A$6:$N$268,8,FALSE),"")</x:f>
        <x:v>0</x:v>
      </x:c>
      <x:c r="AA218" s="111" t="n">
        <x:f>IFERROR(VLOOKUP($A218,'Jason FLEX'!$A$6:$N$268,9,FALSE),"")</x:f>
        <x:v>0</x:v>
      </x:c>
      <x:c r="AB218" s="111" t="n">
        <x:f>IFERROR(VLOOKUP($A218,'Jason FLEX'!$A$6:$N$268,10,FALSE),"")</x:f>
        <x:v>35</x:v>
      </x:c>
      <x:c r="AC218" s="111" t="n">
        <x:f>IFERROR(VLOOKUP($A218,'Jason FLEX'!$A$6:$N$268,11,FALSE),"")</x:f>
        <x:v>357</x:v>
      </x:c>
      <x:c r="AD218" s="111" t="n">
        <x:f>IFERROR(VLOOKUP($A218,'Jason FLEX'!$A$6:$N$268,12,FALSE),"")</x:f>
        <x:v>2</x:v>
      </x:c>
      <x:c r="AE218" s="111" t="n">
        <x:f>IFERROR(VLOOKUP($A218,'Jason FLEX'!$A$6:$N$268,13,FALSE),"")</x:f>
        <x:v>0</x:v>
      </x:c>
      <x:c r="AF218" s="110" t="n">
        <x:f>IF(COUNT(E218,N218,W218)=0,"",AVERAGE(E218,N218,W218))</x:f>
        <x:v>207.33333333333334</x:v>
      </x:c>
      <x:c r="AG218" s="110" t="n">
        <x:f>IF(COUNT(E218,N218,W218)=0,"",MAX(E218,N218,W218)-MIN(E218,N218,W218))</x:f>
        <x:v>46</x:v>
      </x:c>
      <x:c r="AH218" s="110" t="n">
        <x:f>IF(COUNT(F218,O218,X218)=0,"",AVERAGE(F218,O218,X218))</x:f>
        <x:v>4.3</x:v>
      </x:c>
      <x:c r="AI218" s="112" t="n">
        <x:f>IF(COUNT(G218,P218,Y218)=0,"",AVERAGE(G218,P218,Y218))</x:f>
        <x:v>0</x:v>
      </x:c>
      <x:c r="AJ218" s="112" t="n">
        <x:f>IF(COUNT(H218,Q218,Z218)=0,"",AVERAGE(H218,Q218,Z218))</x:f>
        <x:v>0</x:v>
      </x:c>
      <x:c r="AK218" s="112" t="n">
        <x:f>IF(COUNT(I218,R218,AA218)=0,"",AVERAGE(I218,R218,AA218))</x:f>
        <x:v>0</x:v>
      </x:c>
      <x:c r="AL218" s="112" t="n">
        <x:f>IF(COUNT(J218,S218,AB218)=0,"",AVERAGE(J218,S218,AB218))</x:f>
        <x:v>33.666666666666664</x:v>
      </x:c>
      <x:c r="AM218" s="112" t="n">
        <x:f>IF(COUNT(K218,T218,AC218)=0,"",AVERAGE(K218,T218,AC218))</x:f>
        <x:v>303</x:v>
      </x:c>
      <x:c r="AN218" s="112" t="n">
        <x:f>IF(COUNT(L218,U218,AD218)=0,"",AVERAGE(L218,U218,AD218))</x:f>
        <x:v>1.6666666666666667</x:v>
      </x:c>
      <x:c r="AO218" s="112" t="n">
        <x:f>IF(COUNT(M218,V218,AE218)=0,"",AVERAGE(M218,V218,AE218))</x:f>
        <x:v>0</x:v>
      </x:c>
    </x:row>
    <x:row r="219">
      <x:c r="A219" s="107" t="str">
        <x:v>Malik Benson</x:v>
      </x:c>
      <x:c r="B219" s="108" t="str">
        <x:v>WR</x:v>
      </x:c>
      <x:c r="C219" s="108" t="str">
        <x:v>LV</x:v>
      </x:c>
      <x:c r="D219" s="109" t="n">
        <x:v>13</x:v>
      </x:c>
      <x:c r="E219" s="109" t="n">
        <x:f>IFERROR(VLOOKUP($A219,'Mike FLEX'!$A$6:$N$278,5,FALSE),"")</x:f>
        <x:v>249</x:v>
      </x:c>
      <x:c r="F219" s="110" t="n">
        <x:f>IFERROR(VLOOKUP($A219,'Mike FLEX'!$A$6:$N$278,6,FALSE),"")</x:f>
        <x:v>2.1</x:v>
      </x:c>
      <x:c r="G219" s="111" t="n">
        <x:f>IFERROR(VLOOKUP($A219,'Mike FLEX'!$A$6:$N$278,7,FALSE),"")</x:f>
        <x:v>0</x:v>
      </x:c>
      <x:c r="H219" s="111" t="n">
        <x:f>IFERROR(VLOOKUP($A219,'Mike FLEX'!$A$6:$N$278,8,FALSE),"")</x:f>
        <x:v>0</x:v>
      </x:c>
      <x:c r="I219" s="111" t="n">
        <x:f>IFERROR(VLOOKUP($A219,'Mike FLEX'!$A$6:$N$278,9,FALSE),"")</x:f>
        <x:v>0</x:v>
      </x:c>
      <x:c r="J219" s="111" t="n">
        <x:f>IFERROR(VLOOKUP($A219,'Mike FLEX'!$A$6:$N$278,10,FALSE),"")</x:f>
        <x:v>14</x:v>
      </x:c>
      <x:c r="K219" s="111" t="n">
        <x:f>IFERROR(VLOOKUP($A219,'Mike FLEX'!$A$6:$N$278,11,FALSE),"")</x:f>
        <x:v>156</x:v>
      </x:c>
      <x:c r="L219" s="111" t="n">
        <x:f>IFERROR(VLOOKUP($A219,'Mike FLEX'!$A$6:$N$278,12,FALSE),"")</x:f>
        <x:v>1</x:v>
      </x:c>
      <x:c r="M219" s="111" t="n">
        <x:f>IFERROR(VLOOKUP($A219,'Mike FLEX'!$A$6:$N$278,13,FALSE),"")</x:f>
        <x:v>0</x:v>
      </x:c>
      <x:c r="N219" s="109" t="n">
        <x:f>IFERROR(VLOOKUP($A219,'Andy FLEX'!$A$6:$N$278,5,FALSE),"")</x:f>
        <x:v>130</x:v>
      </x:c>
      <x:c r="O219" s="110" t="n">
        <x:f>IFERROR(VLOOKUP($A219,'Andy FLEX'!$A$6:$N$278,6,FALSE),"")</x:f>
        <x:v>7.7</x:v>
      </x:c>
      <x:c r="P219" s="111" t="n">
        <x:f>IFERROR(VLOOKUP($A219,'Andy FLEX'!$A$6:$N$278,7,FALSE),"")</x:f>
        <x:v>6</x:v>
      </x:c>
      <x:c r="Q219" s="111" t="n">
        <x:f>IFERROR(VLOOKUP($A219,'Andy FLEX'!$A$6:$N$278,8,FALSE),"")</x:f>
        <x:v>36</x:v>
      </x:c>
      <x:c r="R219" s="111" t="n">
        <x:f>IFERROR(VLOOKUP($A219,'Andy FLEX'!$A$6:$N$278,9,FALSE),"")</x:f>
        <x:v>0</x:v>
      </x:c>
      <x:c r="S219" s="111" t="n">
        <x:f>IFERROR(VLOOKUP($A219,'Andy FLEX'!$A$6:$N$278,10,FALSE),"")</x:f>
        <x:v>45</x:v>
      </x:c>
      <x:c r="T219" s="111" t="n">
        <x:f>IFERROR(VLOOKUP($A219,'Andy FLEX'!$A$6:$N$278,11,FALSE),"")</x:f>
        <x:v>596</x:v>
      </x:c>
      <x:c r="U219" s="111" t="n">
        <x:f>IFERROR(VLOOKUP($A219,'Andy FLEX'!$A$6:$N$278,12,FALSE),"")</x:f>
        <x:v>4</x:v>
      </x:c>
      <x:c r="V219" s="111" t="n">
        <x:f>IFERROR(VLOOKUP($A219,'Andy FLEX'!$A$6:$N$278,13,FALSE),"")</x:f>
        <x:v>0</x:v>
      </x:c>
      <x:c r="W219" s="109" t="n">
        <x:f>IFERROR(VLOOKUP($A219,'Jason FLEX'!$A$6:$N$268,5,FALSE),"")</x:f>
        <x:v>256</x:v>
      </x:c>
      <x:c r="X219" s="110" t="n">
        <x:f>IFERROR(VLOOKUP($A219,'Jason FLEX'!$A$6:$N$268,6,FALSE),"")</x:f>
        <x:v>1.4</x:v>
      </x:c>
      <x:c r="Y219" s="111" t="n">
        <x:f>IFERROR(VLOOKUP($A219,'Jason FLEX'!$A$6:$N$268,7,FALSE),"")</x:f>
        <x:v>0</x:v>
      </x:c>
      <x:c r="Z219" s="111" t="n">
        <x:f>IFERROR(VLOOKUP($A219,'Jason FLEX'!$A$6:$N$268,8,FALSE),"")</x:f>
        <x:v>0</x:v>
      </x:c>
      <x:c r="AA219" s="111" t="n">
        <x:f>IFERROR(VLOOKUP($A219,'Jason FLEX'!$A$6:$N$268,9,FALSE),"")</x:f>
        <x:v>0</x:v>
      </x:c>
      <x:c r="AB219" s="111" t="n">
        <x:f>IFERROR(VLOOKUP($A219,'Jason FLEX'!$A$6:$N$268,10,FALSE),"")</x:f>
        <x:v>9</x:v>
      </x:c>
      <x:c r="AC219" s="111" t="n">
        <x:f>IFERROR(VLOOKUP($A219,'Jason FLEX'!$A$6:$N$268,11,FALSE),"")</x:f>
        <x:v>130</x:v>
      </x:c>
      <x:c r="AD219" s="111" t="n">
        <x:f>IFERROR(VLOOKUP($A219,'Jason FLEX'!$A$6:$N$268,12,FALSE),"")</x:f>
        <x:v>0</x:v>
      </x:c>
      <x:c r="AE219" s="111" t="n">
        <x:f>IFERROR(VLOOKUP($A219,'Jason FLEX'!$A$6:$N$268,13,FALSE),"")</x:f>
        <x:v>0</x:v>
      </x:c>
      <x:c r="AF219" s="110" t="n">
        <x:f>IF(COUNT(E219,N219,W219)=0,"",AVERAGE(E219,N219,W219))</x:f>
        <x:v>211.66666666666666</x:v>
      </x:c>
      <x:c r="AG219" s="110" t="n">
        <x:f>IF(COUNT(E219,N219,W219)=0,"",MAX(E219,N219,W219)-MIN(E219,N219,W219))</x:f>
        <x:v>126</x:v>
      </x:c>
      <x:c r="AH219" s="110" t="n">
        <x:f>IF(COUNT(F219,O219,X219)=0,"",AVERAGE(F219,O219,X219))</x:f>
        <x:v>3.733333333333334</x:v>
      </x:c>
      <x:c r="AI219" s="112" t="n">
        <x:f>IF(COUNT(G219,P219,Y219)=0,"",AVERAGE(G219,P219,Y219))</x:f>
        <x:v>2</x:v>
      </x:c>
      <x:c r="AJ219" s="112" t="n">
        <x:f>IF(COUNT(H219,Q219,Z219)=0,"",AVERAGE(H219,Q219,Z219))</x:f>
        <x:v>12</x:v>
      </x:c>
      <x:c r="AK219" s="112" t="n">
        <x:f>IF(COUNT(I219,R219,AA219)=0,"",AVERAGE(I219,R219,AA219))</x:f>
        <x:v>0</x:v>
      </x:c>
      <x:c r="AL219" s="112" t="n">
        <x:f>IF(COUNT(J219,S219,AB219)=0,"",AVERAGE(J219,S219,AB219))</x:f>
        <x:v>22.666666666666668</x:v>
      </x:c>
      <x:c r="AM219" s="112" t="n">
        <x:f>IF(COUNT(K219,T219,AC219)=0,"",AVERAGE(K219,T219,AC219))</x:f>
        <x:v>294</x:v>
      </x:c>
      <x:c r="AN219" s="112" t="n">
        <x:f>IF(COUNT(L219,U219,AD219)=0,"",AVERAGE(L219,U219,AD219))</x:f>
        <x:v>1.6666666666666667</x:v>
      </x:c>
      <x:c r="AO219" s="112" t="n">
        <x:f>IF(COUNT(M219,V219,AE219)=0,"",AVERAGE(M219,V219,AE219))</x:f>
        <x:v>0</x:v>
      </x:c>
    </x:row>
    <x:row r="220">
      <x:c r="A220" s="107" t="str">
        <x:v>Jahan Dotson</x:v>
      </x:c>
      <x:c r="B220" s="108" t="str">
        <x:v>WR</x:v>
      </x:c>
      <x:c r="C220" s="108" t="str">
        <x:v>ATL</x:v>
      </x:c>
      <x:c r="D220" s="109" t="n">
        <x:v>11</x:v>
      </x:c>
      <x:c r="E220" s="109" t="n">
        <x:f>IFERROR(VLOOKUP($A220,'Mike FLEX'!$A$6:$N$278,5,FALSE),"")</x:f>
        <x:v>194</x:v>
      </x:c>
      <x:c r="F220" s="110" t="n">
        <x:f>IFERROR(VLOOKUP($A220,'Mike FLEX'!$A$6:$N$278,6,FALSE),"")</x:f>
        <x:v>4.3</x:v>
      </x:c>
      <x:c r="G220" s="111" t="n">
        <x:f>IFERROR(VLOOKUP($A220,'Mike FLEX'!$A$6:$N$278,7,FALSE),"")</x:f>
        <x:v>0</x:v>
      </x:c>
      <x:c r="H220" s="111" t="n">
        <x:f>IFERROR(VLOOKUP($A220,'Mike FLEX'!$A$6:$N$278,8,FALSE),"")</x:f>
        <x:v>0</x:v>
      </x:c>
      <x:c r="I220" s="111" t="n">
        <x:f>IFERROR(VLOOKUP($A220,'Mike FLEX'!$A$6:$N$278,9,FALSE),"")</x:f>
        <x:v>0</x:v>
      </x:c>
      <x:c r="J220" s="111" t="n">
        <x:f>IFERROR(VLOOKUP($A220,'Mike FLEX'!$A$6:$N$278,10,FALSE),"")</x:f>
        <x:v>26</x:v>
      </x:c>
      <x:c r="K220" s="111" t="n">
        <x:f>IFERROR(VLOOKUP($A220,'Mike FLEX'!$A$6:$N$278,11,FALSE),"")</x:f>
        <x:v>331</x:v>
      </x:c>
      <x:c r="L220" s="111" t="n">
        <x:f>IFERROR(VLOOKUP($A220,'Mike FLEX'!$A$6:$N$278,12,FALSE),"")</x:f>
        <x:v>2</x:v>
      </x:c>
      <x:c r="M220" s="111" t="n">
        <x:f>IFERROR(VLOOKUP($A220,'Mike FLEX'!$A$6:$N$278,13,FALSE),"")</x:f>
        <x:v>0</x:v>
      </x:c>
      <x:c r="N220" s="109" t="n">
        <x:f>IFERROR(VLOOKUP($A220,'Andy FLEX'!$A$6:$N$278,5,FALSE),"")</x:f>
        <x:v>258</x:v>
      </x:c>
      <x:c r="O220" s="110" t="n">
        <x:f>IFERROR(VLOOKUP($A220,'Andy FLEX'!$A$6:$N$278,6,FALSE),"")</x:f>
        <x:v>2.8</x:v>
      </x:c>
      <x:c r="P220" s="111" t="n">
        <x:f>IFERROR(VLOOKUP($A220,'Andy FLEX'!$A$6:$N$278,7,FALSE),"")</x:f>
        <x:v>0</x:v>
      </x:c>
      <x:c r="Q220" s="111" t="n">
        <x:f>IFERROR(VLOOKUP($A220,'Andy FLEX'!$A$6:$N$278,8,FALSE),"")</x:f>
        <x:v>0</x:v>
      </x:c>
      <x:c r="R220" s="111" t="n">
        <x:f>IFERROR(VLOOKUP($A220,'Andy FLEX'!$A$6:$N$278,9,FALSE),"")</x:f>
        <x:v>0</x:v>
      </x:c>
      <x:c r="S220" s="111" t="n">
        <x:f>IFERROR(VLOOKUP($A220,'Andy FLEX'!$A$6:$N$278,10,FALSE),"")</x:f>
        <x:v>18</x:v>
      </x:c>
      <x:c r="T220" s="111" t="n">
        <x:f>IFERROR(VLOOKUP($A220,'Andy FLEX'!$A$6:$N$278,11,FALSE),"")</x:f>
        <x:v>233</x:v>
      </x:c>
      <x:c r="U220" s="111" t="n">
        <x:f>IFERROR(VLOOKUP($A220,'Andy FLEX'!$A$6:$N$278,12,FALSE),"")</x:f>
        <x:v>1</x:v>
      </x:c>
      <x:c r="V220" s="111" t="n">
        <x:f>IFERROR(VLOOKUP($A220,'Andy FLEX'!$A$6:$N$278,13,FALSE),"")</x:f>
        <x:v>0</x:v>
      </x:c>
      <x:c r="W220" s="109" t="n">
        <x:f>IFERROR(VLOOKUP($A220,'Jason FLEX'!$A$6:$N$268,5,FALSE),"")</x:f>
        <x:v>185</x:v>
      </x:c>
      <x:c r="X220" s="110" t="n">
        <x:f>IFERROR(VLOOKUP($A220,'Jason FLEX'!$A$6:$N$268,6,FALSE),"")</x:f>
        <x:v>5.3</x:v>
      </x:c>
      <x:c r="Y220" s="111" t="n">
        <x:f>IFERROR(VLOOKUP($A220,'Jason FLEX'!$A$6:$N$268,7,FALSE),"")</x:f>
        <x:v>0</x:v>
      </x:c>
      <x:c r="Z220" s="111" t="n">
        <x:f>IFERROR(VLOOKUP($A220,'Jason FLEX'!$A$6:$N$268,8,FALSE),"")</x:f>
        <x:v>0</x:v>
      </x:c>
      <x:c r="AA220" s="111" t="n">
        <x:f>IFERROR(VLOOKUP($A220,'Jason FLEX'!$A$6:$N$268,9,FALSE),"")</x:f>
        <x:v>0</x:v>
      </x:c>
      <x:c r="AB220" s="111" t="n">
        <x:f>IFERROR(VLOOKUP($A220,'Jason FLEX'!$A$6:$N$268,10,FALSE),"")</x:f>
        <x:v>34</x:v>
      </x:c>
      <x:c r="AC220" s="111" t="n">
        <x:f>IFERROR(VLOOKUP($A220,'Jason FLEX'!$A$6:$N$268,11,FALSE),"")</x:f>
        <x:v>415</x:v>
      </x:c>
      <x:c r="AD220" s="111" t="n">
        <x:f>IFERROR(VLOOKUP($A220,'Jason FLEX'!$A$6:$N$268,12,FALSE),"")</x:f>
        <x:v>3</x:v>
      </x:c>
      <x:c r="AE220" s="111" t="n">
        <x:f>IFERROR(VLOOKUP($A220,'Jason FLEX'!$A$6:$N$268,13,FALSE),"")</x:f>
        <x:v>0</x:v>
      </x:c>
      <x:c r="AF220" s="110" t="n">
        <x:f>IF(COUNT(E220,N220,W220)=0,"",AVERAGE(E220,N220,W220))</x:f>
        <x:v>212.33333333333334</x:v>
      </x:c>
      <x:c r="AG220" s="110" t="n">
        <x:f>IF(COUNT(E220,N220,W220)=0,"",MAX(E220,N220,W220)-MIN(E220,N220,W220))</x:f>
        <x:v>73</x:v>
      </x:c>
      <x:c r="AH220" s="110" t="n">
        <x:f>IF(COUNT(F220,O220,X220)=0,"",AVERAGE(F220,O220,X220))</x:f>
        <x:v>4.133333333333333</x:v>
      </x:c>
      <x:c r="AI220" s="112" t="n">
        <x:f>IF(COUNT(G220,P220,Y220)=0,"",AVERAGE(G220,P220,Y220))</x:f>
        <x:v>0</x:v>
      </x:c>
      <x:c r="AJ220" s="112" t="n">
        <x:f>IF(COUNT(H220,Q220,Z220)=0,"",AVERAGE(H220,Q220,Z220))</x:f>
        <x:v>0</x:v>
      </x:c>
      <x:c r="AK220" s="112" t="n">
        <x:f>IF(COUNT(I220,R220,AA220)=0,"",AVERAGE(I220,R220,AA220))</x:f>
        <x:v>0</x:v>
      </x:c>
      <x:c r="AL220" s="112" t="n">
        <x:f>IF(COUNT(J220,S220,AB220)=0,"",AVERAGE(J220,S220,AB220))</x:f>
        <x:v>26</x:v>
      </x:c>
      <x:c r="AM220" s="112" t="n">
        <x:f>IF(COUNT(K220,T220,AC220)=0,"",AVERAGE(K220,T220,AC220))</x:f>
        <x:v>326.3333333333333</x:v>
      </x:c>
      <x:c r="AN220" s="112" t="n">
        <x:f>IF(COUNT(L220,U220,AD220)=0,"",AVERAGE(L220,U220,AD220))</x:f>
        <x:v>2</x:v>
      </x:c>
      <x:c r="AO220" s="112" t="n">
        <x:f>IF(COUNT(M220,V220,AE220)=0,"",AVERAGE(M220,V220,AE220))</x:f>
        <x:v>0</x:v>
      </x:c>
    </x:row>
    <x:row r="221">
      <x:c r="A221" s="107" t="str">
        <x:v>Braelon Allen</x:v>
      </x:c>
      <x:c r="B221" s="108" t="str">
        <x:v>RB</x:v>
      </x:c>
      <x:c r="C221" s="108" t="str">
        <x:v>NYJ</x:v>
      </x:c>
      <x:c r="D221" s="109" t="n">
        <x:v>13</x:v>
      </x:c>
      <x:c r="E221" s="109" t="n">
        <x:f>IFERROR(VLOOKUP($A221,'Mike FLEX'!$A$6:$N$278,5,FALSE),"")</x:f>
        <x:v>252</x:v>
      </x:c>
      <x:c r="F221" s="110" t="n">
        <x:f>IFERROR(VLOOKUP($A221,'Mike FLEX'!$A$6:$N$278,6,FALSE),"")</x:f>
        <x:v>1.9</x:v>
      </x:c>
      <x:c r="G221" s="111" t="n">
        <x:f>IFERROR(VLOOKUP($A221,'Mike FLEX'!$A$6:$N$278,7,FALSE),"")</x:f>
        <x:v>62</x:v>
      </x:c>
      <x:c r="H221" s="111" t="n">
        <x:f>IFERROR(VLOOKUP($A221,'Mike FLEX'!$A$6:$N$278,8,FALSE),"")</x:f>
        <x:v>236</x:v>
      </x:c>
      <x:c r="I221" s="111" t="n">
        <x:f>IFERROR(VLOOKUP($A221,'Mike FLEX'!$A$6:$N$278,9,FALSE),"")</x:f>
        <x:v>2</x:v>
      </x:c>
      <x:c r="J221" s="111" t="n">
        <x:f>IFERROR(VLOOKUP($A221,'Mike FLEX'!$A$6:$N$278,10,FALSE),"")</x:f>
        <x:v>0</x:v>
      </x:c>
      <x:c r="K221" s="111" t="n">
        <x:f>IFERROR(VLOOKUP($A221,'Mike FLEX'!$A$6:$N$278,11,FALSE),"")</x:f>
        <x:v>0</x:v>
      </x:c>
      <x:c r="L221" s="111" t="n">
        <x:f>IFERROR(VLOOKUP($A221,'Mike FLEX'!$A$6:$N$278,12,FALSE),"")</x:f>
        <x:v>0</x:v>
      </x:c>
      <x:c r="M221" s="111" t="n">
        <x:f>IFERROR(VLOOKUP($A221,'Mike FLEX'!$A$6:$N$278,13,FALSE),"")</x:f>
        <x:v>1</x:v>
      </x:c>
      <x:c r="N221" s="109" t="n">
        <x:f>IFERROR(VLOOKUP($A221,'Andy FLEX'!$A$6:$N$278,5,FALSE),"")</x:f>
        <x:v>169</x:v>
      </x:c>
      <x:c r="O221" s="110" t="n">
        <x:f>IFERROR(VLOOKUP($A221,'Andy FLEX'!$A$6:$N$278,6,FALSE),"")</x:f>
        <x:v>5.8</x:v>
      </x:c>
      <x:c r="P221" s="111" t="n">
        <x:f>IFERROR(VLOOKUP($A221,'Andy FLEX'!$A$6:$N$278,7,FALSE),"")</x:f>
        <x:v>136</x:v>
      </x:c>
      <x:c r="Q221" s="111" t="n">
        <x:f>IFERROR(VLOOKUP($A221,'Andy FLEX'!$A$6:$N$278,8,FALSE),"")</x:f>
        <x:v>592</x:v>
      </x:c>
      <x:c r="R221" s="111" t="n">
        <x:f>IFERROR(VLOOKUP($A221,'Andy FLEX'!$A$6:$N$278,9,FALSE),"")</x:f>
        <x:v>3</x:v>
      </x:c>
      <x:c r="S221" s="111" t="n">
        <x:f>IFERROR(VLOOKUP($A221,'Andy FLEX'!$A$6:$N$278,10,FALSE),"")</x:f>
        <x:v>14</x:v>
      </x:c>
      <x:c r="T221" s="111" t="n">
        <x:f>IFERROR(VLOOKUP($A221,'Andy FLEX'!$A$6:$N$278,11,FALSE),"")</x:f>
        <x:v>139</x:v>
      </x:c>
      <x:c r="U221" s="111" t="n">
        <x:f>IFERROR(VLOOKUP($A221,'Andy FLEX'!$A$6:$N$278,12,FALSE),"")</x:f>
        <x:v>0</x:v>
      </x:c>
      <x:c r="V221" s="111" t="n">
        <x:f>IFERROR(VLOOKUP($A221,'Andy FLEX'!$A$6:$N$278,13,FALSE),"")</x:f>
        <x:v>2</x:v>
      </x:c>
      <x:c r="W221" s="109" t="n">
        <x:f>IFERROR(VLOOKUP($A221,'Jason FLEX'!$A$6:$N$268,5,FALSE),"")</x:f>
        <x:v>221</x:v>
      </x:c>
      <x:c r="X221" s="110" t="n">
        <x:f>IFERROR(VLOOKUP($A221,'Jason FLEX'!$A$6:$N$268,6,FALSE),"")</x:f>
        <x:v>3.6</x:v>
      </x:c>
      <x:c r="Y221" s="111" t="n">
        <x:f>IFERROR(VLOOKUP($A221,'Jason FLEX'!$A$6:$N$268,7,FALSE),"")</x:f>
        <x:v>76</x:v>
      </x:c>
      <x:c r="Z221" s="111" t="n">
        <x:f>IFERROR(VLOOKUP($A221,'Jason FLEX'!$A$6:$N$268,8,FALSE),"")</x:f>
        <x:v>334</x:v>
      </x:c>
      <x:c r="AA221" s="111" t="n">
        <x:f>IFERROR(VLOOKUP($A221,'Jason FLEX'!$A$6:$N$268,9,FALSE),"")</x:f>
        <x:v>3</x:v>
      </x:c>
      <x:c r="AB221" s="111" t="n">
        <x:f>IFERROR(VLOOKUP($A221,'Jason FLEX'!$A$6:$N$268,10,FALSE),"")</x:f>
        <x:v>6</x:v>
      </x:c>
      <x:c r="AC221" s="111" t="n">
        <x:f>IFERROR(VLOOKUP($A221,'Jason FLEX'!$A$6:$N$268,11,FALSE),"")</x:f>
        <x:v>39</x:v>
      </x:c>
      <x:c r="AD221" s="111" t="n">
        <x:f>IFERROR(VLOOKUP($A221,'Jason FLEX'!$A$6:$N$268,12,FALSE),"")</x:f>
        <x:v>0</x:v>
      </x:c>
      <x:c r="AE221" s="111" t="n">
        <x:f>IFERROR(VLOOKUP($A221,'Jason FLEX'!$A$6:$N$268,13,FALSE),"")</x:f>
        <x:v>1</x:v>
      </x:c>
      <x:c r="AF221" s="110" t="n">
        <x:f>IF(COUNT(E221,N221,W221)=0,"",AVERAGE(E221,N221,W221))</x:f>
        <x:v>214</x:v>
      </x:c>
      <x:c r="AG221" s="110" t="n">
        <x:f>IF(COUNT(E221,N221,W221)=0,"",MAX(E221,N221,W221)-MIN(E221,N221,W221))</x:f>
        <x:v>83</x:v>
      </x:c>
      <x:c r="AH221" s="110" t="n">
        <x:f>IF(COUNT(F221,O221,X221)=0,"",AVERAGE(F221,O221,X221))</x:f>
        <x:v>3.766666666666666</x:v>
      </x:c>
      <x:c r="AI221" s="112" t="n">
        <x:f>IF(COUNT(G221,P221,Y221)=0,"",AVERAGE(G221,P221,Y221))</x:f>
        <x:v>91.33333333333333</x:v>
      </x:c>
      <x:c r="AJ221" s="112" t="n">
        <x:f>IF(COUNT(H221,Q221,Z221)=0,"",AVERAGE(H221,Q221,Z221))</x:f>
        <x:v>387.3333333333333</x:v>
      </x:c>
      <x:c r="AK221" s="112" t="n">
        <x:f>IF(COUNT(I221,R221,AA221)=0,"",AVERAGE(I221,R221,AA221))</x:f>
        <x:v>2.6666666666666665</x:v>
      </x:c>
      <x:c r="AL221" s="112" t="n">
        <x:f>IF(COUNT(J221,S221,AB221)=0,"",AVERAGE(J221,S221,AB221))</x:f>
        <x:v>6.666666666666667</x:v>
      </x:c>
      <x:c r="AM221" s="112" t="n">
        <x:f>IF(COUNT(K221,T221,AC221)=0,"",AVERAGE(K221,T221,AC221))</x:f>
        <x:v>59.333333333333336</x:v>
      </x:c>
      <x:c r="AN221" s="112" t="n">
        <x:f>IF(COUNT(L221,U221,AD221)=0,"",AVERAGE(L221,U221,AD221))</x:f>
        <x:v>0</x:v>
      </x:c>
      <x:c r="AO221" s="112" t="n">
        <x:f>IF(COUNT(M221,V221,AE221)=0,"",AVERAGE(M221,V221,AE221))</x:f>
        <x:v>1.3333333333333333</x:v>
      </x:c>
    </x:row>
    <x:row r="222">
      <x:c r="A222" s="107" t="str">
        <x:v>James Conner</x:v>
      </x:c>
      <x:c r="B222" s="108" t="str">
        <x:v>RB</x:v>
      </x:c>
      <x:c r="C222" s="108" t="str">
        <x:v>ARI</x:v>
      </x:c>
      <x:c r="D222" s="109" t="n">
        <x:v>14</x:v>
      </x:c>
      <x:c r="E222" s="109" t="n">
        <x:f>IFERROR(VLOOKUP($A222,'Mike FLEX'!$A$6:$N$278,5,FALSE),"")</x:f>
        <x:v>208</x:v>
      </x:c>
      <x:c r="F222" s="110" t="n">
        <x:f>IFERROR(VLOOKUP($A222,'Mike FLEX'!$A$6:$N$278,6,FALSE),"")</x:f>
        <x:v>3.8</x:v>
      </x:c>
      <x:c r="G222" s="111" t="n">
        <x:f>IFERROR(VLOOKUP($A222,'Mike FLEX'!$A$6:$N$278,7,FALSE),"")</x:f>
        <x:v>55</x:v>
      </x:c>
      <x:c r="H222" s="111" t="n">
        <x:f>IFERROR(VLOOKUP($A222,'Mike FLEX'!$A$6:$N$278,8,FALSE),"")</x:f>
        <x:v>248</x:v>
      </x:c>
      <x:c r="I222" s="111" t="n">
        <x:f>IFERROR(VLOOKUP($A222,'Mike FLEX'!$A$6:$N$278,9,FALSE),"")</x:f>
        <x:v>2</x:v>
      </x:c>
      <x:c r="J222" s="111" t="n">
        <x:f>IFERROR(VLOOKUP($A222,'Mike FLEX'!$A$6:$N$278,10,FALSE),"")</x:f>
        <x:v>15</x:v>
      </x:c>
      <x:c r="K222" s="111" t="n">
        <x:f>IFERROR(VLOOKUP($A222,'Mike FLEX'!$A$6:$N$278,11,FALSE),"")</x:f>
        <x:v>115</x:v>
      </x:c>
      <x:c r="L222" s="111" t="n">
        <x:f>IFERROR(VLOOKUP($A222,'Mike FLEX'!$A$6:$N$278,12,FALSE),"")</x:f>
        <x:v>1</x:v>
      </x:c>
      <x:c r="M222" s="111" t="n">
        <x:f>IFERROR(VLOOKUP($A222,'Mike FLEX'!$A$6:$N$278,13,FALSE),"")</x:f>
        <x:v>2</x:v>
      </x:c>
      <x:c r="N222" s="109" t="n">
        <x:f>IFERROR(VLOOKUP($A222,'Andy FLEX'!$A$6:$N$278,5,FALSE),"")</x:f>
        <x:v>229</x:v>
      </x:c>
      <x:c r="O222" s="110" t="n">
        <x:f>IFERROR(VLOOKUP($A222,'Andy FLEX'!$A$6:$N$278,6,FALSE),"")</x:f>
        <x:v>3.8</x:v>
      </x:c>
      <x:c r="P222" s="111" t="n">
        <x:f>IFERROR(VLOOKUP($A222,'Andy FLEX'!$A$6:$N$278,7,FALSE),"")</x:f>
        <x:v>66</x:v>
      </x:c>
      <x:c r="Q222" s="111" t="n">
        <x:f>IFERROR(VLOOKUP($A222,'Andy FLEX'!$A$6:$N$278,8,FALSE),"")</x:f>
        <x:v>236</x:v>
      </x:c>
      <x:c r="R222" s="111" t="n">
        <x:f>IFERROR(VLOOKUP($A222,'Andy FLEX'!$A$6:$N$278,9,FALSE),"")</x:f>
        <x:v>2</x:v>
      </x:c>
      <x:c r="S222" s="111" t="n">
        <x:f>IFERROR(VLOOKUP($A222,'Andy FLEX'!$A$6:$N$278,10,FALSE),"")</x:f>
        <x:v>14</x:v>
      </x:c>
      <x:c r="T222" s="111" t="n">
        <x:f>IFERROR(VLOOKUP($A222,'Andy FLEX'!$A$6:$N$278,11,FALSE),"")</x:f>
        <x:v>65</x:v>
      </x:c>
      <x:c r="U222" s="111" t="n">
        <x:f>IFERROR(VLOOKUP($A222,'Andy FLEX'!$A$6:$N$278,12,FALSE),"")</x:f>
        <x:v>2</x:v>
      </x:c>
      <x:c r="V222" s="111" t="n">
        <x:f>IFERROR(VLOOKUP($A222,'Andy FLEX'!$A$6:$N$278,13,FALSE),"")</x:f>
        <x:v>0</x:v>
      </x:c>
      <x:c r="W222" s="109" t="n">
        <x:f>IFERROR(VLOOKUP($A222,'Jason FLEX'!$A$6:$N$268,5,FALSE),"")</x:f>
        <x:v>209</x:v>
      </x:c>
      <x:c r="X222" s="110" t="n">
        <x:f>IFERROR(VLOOKUP($A222,'Jason FLEX'!$A$6:$N$268,6,FALSE),"")</x:f>
        <x:v>4.2</x:v>
      </x:c>
      <x:c r="Y222" s="111" t="n">
        <x:f>IFERROR(VLOOKUP($A222,'Jason FLEX'!$A$6:$N$268,7,FALSE),"")</x:f>
        <x:v>65</x:v>
      </x:c>
      <x:c r="Z222" s="111" t="n">
        <x:f>IFERROR(VLOOKUP($A222,'Jason FLEX'!$A$6:$N$268,8,FALSE),"")</x:f>
        <x:v>270</x:v>
      </x:c>
      <x:c r="AA222" s="111" t="n">
        <x:f>IFERROR(VLOOKUP($A222,'Jason FLEX'!$A$6:$N$268,9,FALSE),"")</x:f>
        <x:v>2</x:v>
      </x:c>
      <x:c r="AB222" s="111" t="n">
        <x:f>IFERROR(VLOOKUP($A222,'Jason FLEX'!$A$6:$N$268,10,FALSE),"")</x:f>
        <x:v>15</x:v>
      </x:c>
      <x:c r="AC222" s="111" t="n">
        <x:f>IFERROR(VLOOKUP($A222,'Jason FLEX'!$A$6:$N$268,11,FALSE),"")</x:f>
        <x:v>112</x:v>
      </x:c>
      <x:c r="AD222" s="111" t="n">
        <x:f>IFERROR(VLOOKUP($A222,'Jason FLEX'!$A$6:$N$268,12,FALSE),"")</x:f>
        <x:v>1</x:v>
      </x:c>
      <x:c r="AE222" s="111" t="n">
        <x:f>IFERROR(VLOOKUP($A222,'Jason FLEX'!$A$6:$N$268,13,FALSE),"")</x:f>
        <x:v>0</x:v>
      </x:c>
      <x:c r="AF222" s="110" t="n">
        <x:f>IF(COUNT(E222,N222,W222)=0,"",AVERAGE(E222,N222,W222))</x:f>
        <x:v>215.33333333333334</x:v>
      </x:c>
      <x:c r="AG222" s="110" t="n">
        <x:f>IF(COUNT(E222,N222,W222)=0,"",MAX(E222,N222,W222)-MIN(E222,N222,W222))</x:f>
        <x:v>21</x:v>
      </x:c>
      <x:c r="AH222" s="110" t="n">
        <x:f>IF(COUNT(F222,O222,X222)=0,"",AVERAGE(F222,O222,X222))</x:f>
        <x:v>3.9333333333333336</x:v>
      </x:c>
      <x:c r="AI222" s="112" t="n">
        <x:f>IF(COUNT(G222,P222,Y222)=0,"",AVERAGE(G222,P222,Y222))</x:f>
        <x:v>62</x:v>
      </x:c>
      <x:c r="AJ222" s="112" t="n">
        <x:f>IF(COUNT(H222,Q222,Z222)=0,"",AVERAGE(H222,Q222,Z222))</x:f>
        <x:v>251.33333333333334</x:v>
      </x:c>
      <x:c r="AK222" s="112" t="n">
        <x:f>IF(COUNT(I222,R222,AA222)=0,"",AVERAGE(I222,R222,AA222))</x:f>
        <x:v>2</x:v>
      </x:c>
      <x:c r="AL222" s="112" t="n">
        <x:f>IF(COUNT(J222,S222,AB222)=0,"",AVERAGE(J222,S222,AB222))</x:f>
        <x:v>14.666666666666666</x:v>
      </x:c>
      <x:c r="AM222" s="112" t="n">
        <x:f>IF(COUNT(K222,T222,AC222)=0,"",AVERAGE(K222,T222,AC222))</x:f>
        <x:v>97.33333333333333</x:v>
      </x:c>
      <x:c r="AN222" s="112" t="n">
        <x:f>IF(COUNT(L222,U222,AD222)=0,"",AVERAGE(L222,U222,AD222))</x:f>
        <x:v>1.3333333333333333</x:v>
      </x:c>
      <x:c r="AO222" s="112" t="n">
        <x:f>IF(COUNT(M222,V222,AE222)=0,"",AVERAGE(M222,V222,AE222))</x:f>
        <x:v>0.6666666666666666</x:v>
      </x:c>
    </x:row>
    <x:row r="223">
      <x:c r="A223" s="107" t="str">
        <x:v>Christian Kirk</x:v>
      </x:c>
      <x:c r="B223" s="108" t="str">
        <x:v>WR</x:v>
      </x:c>
      <x:c r="C223" s="108" t="str">
        <x:v>SF</x:v>
      </x:c>
      <x:c r="D223" s="109" t="n">
        <x:v>8</x:v>
      </x:c>
      <x:c r="E223" s="109" t="n">
        <x:f>IFERROR(VLOOKUP($A223,'Mike FLEX'!$A$6:$N$278,5,FALSE),"")</x:f>
        <x:v>195</x:v>
      </x:c>
      <x:c r="F223" s="110" t="n">
        <x:f>IFERROR(VLOOKUP($A223,'Mike FLEX'!$A$6:$N$278,6,FALSE),"")</x:f>
        <x:v>4.3</x:v>
      </x:c>
      <x:c r="G223" s="111" t="n">
        <x:f>IFERROR(VLOOKUP($A223,'Mike FLEX'!$A$6:$N$278,7,FALSE),"")</x:f>
        <x:v>0</x:v>
      </x:c>
      <x:c r="H223" s="111" t="n">
        <x:f>IFERROR(VLOOKUP($A223,'Mike FLEX'!$A$6:$N$278,8,FALSE),"")</x:f>
        <x:v>0</x:v>
      </x:c>
      <x:c r="I223" s="111" t="n">
        <x:f>IFERROR(VLOOKUP($A223,'Mike FLEX'!$A$6:$N$278,9,FALSE),"")</x:f>
        <x:v>0</x:v>
      </x:c>
      <x:c r="J223" s="111" t="n">
        <x:f>IFERROR(VLOOKUP($A223,'Mike FLEX'!$A$6:$N$278,10,FALSE),"")</x:f>
        <x:v>28</x:v>
      </x:c>
      <x:c r="K223" s="111" t="n">
        <x:f>IFERROR(VLOOKUP($A223,'Mike FLEX'!$A$6:$N$278,11,FALSE),"")</x:f>
        <x:v>340</x:v>
      </x:c>
      <x:c r="L223" s="111" t="n">
        <x:f>IFERROR(VLOOKUP($A223,'Mike FLEX'!$A$6:$N$278,12,FALSE),"")</x:f>
        <x:v>2</x:v>
      </x:c>
      <x:c r="M223" s="111" t="n">
        <x:f>IFERROR(VLOOKUP($A223,'Mike FLEX'!$A$6:$N$278,13,FALSE),"")</x:f>
        <x:v>0</x:v>
      </x:c>
      <x:c r="N223" s="109" t="n">
        <x:f>IFERROR(VLOOKUP($A223,'Andy FLEX'!$A$6:$N$278,5,FALSE),"")</x:f>
        <x:v>246</x:v>
      </x:c>
      <x:c r="O223" s="110" t="n">
        <x:f>IFERROR(VLOOKUP($A223,'Andy FLEX'!$A$6:$N$278,6,FALSE),"")</x:f>
        <x:v>3.2</x:v>
      </x:c>
      <x:c r="P223" s="111" t="n">
        <x:f>IFERROR(VLOOKUP($A223,'Andy FLEX'!$A$6:$N$278,7,FALSE),"")</x:f>
        <x:v>2</x:v>
      </x:c>
      <x:c r="Q223" s="111" t="n">
        <x:f>IFERROR(VLOOKUP($A223,'Andy FLEX'!$A$6:$N$278,8,FALSE),"")</x:f>
        <x:v>7</x:v>
      </x:c>
      <x:c r="R223" s="111" t="n">
        <x:f>IFERROR(VLOOKUP($A223,'Andy FLEX'!$A$6:$N$278,9,FALSE),"")</x:f>
        <x:v>0</x:v>
      </x:c>
      <x:c r="S223" s="111" t="n">
        <x:f>IFERROR(VLOOKUP($A223,'Andy FLEX'!$A$6:$N$278,10,FALSE),"")</x:f>
        <x:v>21</x:v>
      </x:c>
      <x:c r="T223" s="111" t="n">
        <x:f>IFERROR(VLOOKUP($A223,'Andy FLEX'!$A$6:$N$278,11,FALSE),"")</x:f>
        <x:v>237</x:v>
      </x:c>
      <x:c r="U223" s="111" t="n">
        <x:f>IFERROR(VLOOKUP($A223,'Andy FLEX'!$A$6:$N$278,12,FALSE),"")</x:f>
        <x:v>2</x:v>
      </x:c>
      <x:c r="V223" s="111" t="n">
        <x:f>IFERROR(VLOOKUP($A223,'Andy FLEX'!$A$6:$N$278,13,FALSE),"")</x:f>
        <x:v>0</x:v>
      </x:c>
      <x:c r="W223" s="109" t="n">
        <x:f>IFERROR(VLOOKUP($A223,'Jason FLEX'!$A$6:$N$268,5,FALSE),"")</x:f>
        <x:v>206</x:v>
      </x:c>
      <x:c r="X223" s="110" t="n">
        <x:f>IFERROR(VLOOKUP($A223,'Jason FLEX'!$A$6:$N$268,6,FALSE),"")</x:f>
        <x:v>4.3</x:v>
      </x:c>
      <x:c r="Y223" s="111" t="n">
        <x:f>IFERROR(VLOOKUP($A223,'Jason FLEX'!$A$6:$N$268,7,FALSE),"")</x:f>
        <x:v>3</x:v>
      </x:c>
      <x:c r="Z223" s="111" t="n">
        <x:f>IFERROR(VLOOKUP($A223,'Jason FLEX'!$A$6:$N$268,8,FALSE),"")</x:f>
        <x:v>15</x:v>
      </x:c>
      <x:c r="AA223" s="111" t="n">
        <x:f>IFERROR(VLOOKUP($A223,'Jason FLEX'!$A$6:$N$268,9,FALSE),"")</x:f>
        <x:v>0</x:v>
      </x:c>
      <x:c r="AB223" s="111" t="n">
        <x:f>IFERROR(VLOOKUP($A223,'Jason FLEX'!$A$6:$N$268,10,FALSE),"")</x:f>
        <x:v>25</x:v>
      </x:c>
      <x:c r="AC223" s="111" t="n">
        <x:f>IFERROR(VLOOKUP($A223,'Jason FLEX'!$A$6:$N$268,11,FALSE),"")</x:f>
        <x:v>280</x:v>
      </x:c>
      <x:c r="AD223" s="111" t="n">
        <x:f>IFERROR(VLOOKUP($A223,'Jason FLEX'!$A$6:$N$268,12,FALSE),"")</x:f>
        <x:v>3</x:v>
      </x:c>
      <x:c r="AE223" s="111" t="n">
        <x:f>IFERROR(VLOOKUP($A223,'Jason FLEX'!$A$6:$N$268,13,FALSE),"")</x:f>
        <x:v>0</x:v>
      </x:c>
      <x:c r="AF223" s="110" t="n">
        <x:f>IF(COUNT(E223,N223,W223)=0,"",AVERAGE(E223,N223,W223))</x:f>
        <x:v>215.66666666666666</x:v>
      </x:c>
      <x:c r="AG223" s="110" t="n">
        <x:f>IF(COUNT(E223,N223,W223)=0,"",MAX(E223,N223,W223)-MIN(E223,N223,W223))</x:f>
        <x:v>51</x:v>
      </x:c>
      <x:c r="AH223" s="110" t="n">
        <x:f>IF(COUNT(F223,O223,X223)=0,"",AVERAGE(F223,O223,X223))</x:f>
        <x:v>3.9333333333333336</x:v>
      </x:c>
      <x:c r="AI223" s="112" t="n">
        <x:f>IF(COUNT(G223,P223,Y223)=0,"",AVERAGE(G223,P223,Y223))</x:f>
        <x:v>1.6666666666666667</x:v>
      </x:c>
      <x:c r="AJ223" s="112" t="n">
        <x:f>IF(COUNT(H223,Q223,Z223)=0,"",AVERAGE(H223,Q223,Z223))</x:f>
        <x:v>7.333333333333333</x:v>
      </x:c>
      <x:c r="AK223" s="112" t="n">
        <x:f>IF(COUNT(I223,R223,AA223)=0,"",AVERAGE(I223,R223,AA223))</x:f>
        <x:v>0</x:v>
      </x:c>
      <x:c r="AL223" s="112" t="n">
        <x:f>IF(COUNT(J223,S223,AB223)=0,"",AVERAGE(J223,S223,AB223))</x:f>
        <x:v>24.666666666666668</x:v>
      </x:c>
      <x:c r="AM223" s="112" t="n">
        <x:f>IF(COUNT(K223,T223,AC223)=0,"",AVERAGE(K223,T223,AC223))</x:f>
        <x:v>285.6666666666667</x:v>
      </x:c>
      <x:c r="AN223" s="112" t="n">
        <x:f>IF(COUNT(L223,U223,AD223)=0,"",AVERAGE(L223,U223,AD223))</x:f>
        <x:v>2.3333333333333335</x:v>
      </x:c>
      <x:c r="AO223" s="112" t="n">
        <x:f>IF(COUNT(M223,V223,AE223)=0,"",AVERAGE(M223,V223,AE223))</x:f>
        <x:v>0</x:v>
      </x:c>
    </x:row>
    <x:row r="224">
      <x:c r="A224" s="107" t="str">
        <x:v>Kendrick Bourne</x:v>
      </x:c>
      <x:c r="B224" s="108" t="str">
        <x:v>WR</x:v>
      </x:c>
      <x:c r="C224" s="108" t="str">
        <x:v>ARI</x:v>
      </x:c>
      <x:c r="D224" s="109" t="n">
        <x:v>14</x:v>
      </x:c>
      <x:c r="E224" s="109" t="n">
        <x:f>IFERROR(VLOOKUP($A224,'Mike FLEX'!$A$6:$N$278,5,FALSE),"")</x:f>
        <x:v>255</x:v>
      </x:c>
      <x:c r="F224" s="110" t="n">
        <x:f>IFERROR(VLOOKUP($A224,'Mike FLEX'!$A$6:$N$278,6,FALSE),"")</x:f>
        <x:v>1.7</x:v>
      </x:c>
      <x:c r="G224" s="111" t="n">
        <x:f>IFERROR(VLOOKUP($A224,'Mike FLEX'!$A$6:$N$278,7,FALSE),"")</x:f>
        <x:v>0</x:v>
      </x:c>
      <x:c r="H224" s="111" t="n">
        <x:f>IFERROR(VLOOKUP($A224,'Mike FLEX'!$A$6:$N$278,8,FALSE),"")</x:f>
        <x:v>0</x:v>
      </x:c>
      <x:c r="I224" s="111" t="n">
        <x:f>IFERROR(VLOOKUP($A224,'Mike FLEX'!$A$6:$N$278,9,FALSE),"")</x:f>
        <x:v>0</x:v>
      </x:c>
      <x:c r="J224" s="111" t="n">
        <x:f>IFERROR(VLOOKUP($A224,'Mike FLEX'!$A$6:$N$278,10,FALSE),"")</x:f>
        <x:v>11</x:v>
      </x:c>
      <x:c r="K224" s="111" t="n">
        <x:f>IFERROR(VLOOKUP($A224,'Mike FLEX'!$A$6:$N$278,11,FALSE),"")</x:f>
        <x:v>140</x:v>
      </x:c>
      <x:c r="L224" s="111" t="n">
        <x:f>IFERROR(VLOOKUP($A224,'Mike FLEX'!$A$6:$N$278,12,FALSE),"")</x:f>
        <x:v>1</x:v>
      </x:c>
      <x:c r="M224" s="111" t="n">
        <x:f>IFERROR(VLOOKUP($A224,'Mike FLEX'!$A$6:$N$278,13,FALSE),"")</x:f>
        <x:v>0</x:v>
      </x:c>
      <x:c r="N224" s="109" t="n">
        <x:f>IFERROR(VLOOKUP($A224,'Andy FLEX'!$A$6:$N$278,5,FALSE),"")</x:f>
        <x:v>202</x:v>
      </x:c>
      <x:c r="O224" s="110" t="n">
        <x:f>IFERROR(VLOOKUP($A224,'Andy FLEX'!$A$6:$N$278,6,FALSE),"")</x:f>
        <x:v>4.8</x:v>
      </x:c>
      <x:c r="P224" s="111" t="n">
        <x:f>IFERROR(VLOOKUP($A224,'Andy FLEX'!$A$6:$N$278,7,FALSE),"")</x:f>
        <x:v>0</x:v>
      </x:c>
      <x:c r="Q224" s="111" t="n">
        <x:f>IFERROR(VLOOKUP($A224,'Andy FLEX'!$A$6:$N$278,8,FALSE),"")</x:f>
        <x:v>0</x:v>
      </x:c>
      <x:c r="R224" s="111" t="n">
        <x:f>IFERROR(VLOOKUP($A224,'Andy FLEX'!$A$6:$N$278,9,FALSE),"")</x:f>
        <x:v>0</x:v>
      </x:c>
      <x:c r="S224" s="111" t="n">
        <x:f>IFERROR(VLOOKUP($A224,'Andy FLEX'!$A$6:$N$278,10,FALSE),"")</x:f>
        <x:v>34</x:v>
      </x:c>
      <x:c r="T224" s="111" t="n">
        <x:f>IFERROR(VLOOKUP($A224,'Andy FLEX'!$A$6:$N$278,11,FALSE),"")</x:f>
        <x:v>472</x:v>
      </x:c>
      <x:c r="U224" s="111" t="n">
        <x:f>IFERROR(VLOOKUP($A224,'Andy FLEX'!$A$6:$N$278,12,FALSE),"")</x:f>
        <x:v>0</x:v>
      </x:c>
      <x:c r="V224" s="111" t="n">
        <x:f>IFERROR(VLOOKUP($A224,'Andy FLEX'!$A$6:$N$278,13,FALSE),"")</x:f>
        <x:v>0</x:v>
      </x:c>
      <x:c r="W224" s="109" t="n">
        <x:f>IFERROR(VLOOKUP($A224,'Jason FLEX'!$A$6:$N$268,5,FALSE),"")</x:f>
        <x:v>191</x:v>
      </x:c>
      <x:c r="X224" s="110" t="n">
        <x:f>IFERROR(VLOOKUP($A224,'Jason FLEX'!$A$6:$N$268,6,FALSE),"")</x:f>
        <x:v>4.9</x:v>
      </x:c>
      <x:c r="Y224" s="111" t="n">
        <x:f>IFERROR(VLOOKUP($A224,'Jason FLEX'!$A$6:$N$268,7,FALSE),"")</x:f>
        <x:v>0</x:v>
      </x:c>
      <x:c r="Z224" s="111" t="n">
        <x:f>IFERROR(VLOOKUP($A224,'Jason FLEX'!$A$6:$N$268,8,FALSE),"")</x:f>
        <x:v>0</x:v>
      </x:c>
      <x:c r="AA224" s="111" t="n">
        <x:f>IFERROR(VLOOKUP($A224,'Jason FLEX'!$A$6:$N$268,9,FALSE),"")</x:f>
        <x:v>0</x:v>
      </x:c>
      <x:c r="AB224" s="111" t="n">
        <x:f>IFERROR(VLOOKUP($A224,'Jason FLEX'!$A$6:$N$268,10,FALSE),"")</x:f>
        <x:v>37</x:v>
      </x:c>
      <x:c r="AC224" s="111" t="n">
        <x:f>IFERROR(VLOOKUP($A224,'Jason FLEX'!$A$6:$N$268,11,FALSE),"")</x:f>
        <x:v>393</x:v>
      </x:c>
      <x:c r="AD224" s="111" t="n">
        <x:f>IFERROR(VLOOKUP($A224,'Jason FLEX'!$A$6:$N$268,12,FALSE),"")</x:f>
        <x:v>1</x:v>
      </x:c>
      <x:c r="AE224" s="111" t="n">
        <x:f>IFERROR(VLOOKUP($A224,'Jason FLEX'!$A$6:$N$268,13,FALSE),"")</x:f>
        <x:v>0</x:v>
      </x:c>
      <x:c r="AF224" s="110" t="n">
        <x:f>IF(COUNT(E224,N224,W224)=0,"",AVERAGE(E224,N224,W224))</x:f>
        <x:v>216</x:v>
      </x:c>
      <x:c r="AG224" s="110" t="n">
        <x:f>IF(COUNT(E224,N224,W224)=0,"",MAX(E224,N224,W224)-MIN(E224,N224,W224))</x:f>
        <x:v>64</x:v>
      </x:c>
      <x:c r="AH224" s="110" t="n">
        <x:f>IF(COUNT(F224,O224,X224)=0,"",AVERAGE(F224,O224,X224))</x:f>
        <x:v>3.8000000000000003</x:v>
      </x:c>
      <x:c r="AI224" s="112" t="n">
        <x:f>IF(COUNT(G224,P224,Y224)=0,"",AVERAGE(G224,P224,Y224))</x:f>
        <x:v>0</x:v>
      </x:c>
      <x:c r="AJ224" s="112" t="n">
        <x:f>IF(COUNT(H224,Q224,Z224)=0,"",AVERAGE(H224,Q224,Z224))</x:f>
        <x:v>0</x:v>
      </x:c>
      <x:c r="AK224" s="112" t="n">
        <x:f>IF(COUNT(I224,R224,AA224)=0,"",AVERAGE(I224,R224,AA224))</x:f>
        <x:v>0</x:v>
      </x:c>
      <x:c r="AL224" s="112" t="n">
        <x:f>IF(COUNT(J224,S224,AB224)=0,"",AVERAGE(J224,S224,AB224))</x:f>
        <x:v>27.333333333333332</x:v>
      </x:c>
      <x:c r="AM224" s="112" t="n">
        <x:f>IF(COUNT(K224,T224,AC224)=0,"",AVERAGE(K224,T224,AC224))</x:f>
        <x:v>335</x:v>
      </x:c>
      <x:c r="AN224" s="112" t="n">
        <x:f>IF(COUNT(L224,U224,AD224)=0,"",AVERAGE(L224,U224,AD224))</x:f>
        <x:v>0.6666666666666666</x:v>
      </x:c>
      <x:c r="AO224" s="112" t="n">
        <x:f>IF(COUNT(M224,V224,AE224)=0,"",AVERAGE(M224,V224,AE224))</x:f>
        <x:v>0</x:v>
      </x:c>
    </x:row>
    <x:row r="225">
      <x:c r="A225" s="107" t="str">
        <x:v>Noah Gray</x:v>
      </x:c>
      <x:c r="B225" s="108" t="str">
        <x:v>TE</x:v>
      </x:c>
      <x:c r="C225" s="108" t="str">
        <x:v>KC</x:v>
      </x:c>
      <x:c r="D225" s="109" t="n">
        <x:v>5</x:v>
      </x:c>
      <x:c r="E225" s="109" t="n">
        <x:f>IFERROR(VLOOKUP($A225,'Mike FLEX'!$A$6:$N$278,5,FALSE),"")</x:f>
        <x:v>169</x:v>
      </x:c>
      <x:c r="F225" s="110" t="n">
        <x:f>IFERROR(VLOOKUP($A225,'Mike FLEX'!$A$6:$N$278,6,FALSE),"")</x:f>
        <x:v>5.5</x:v>
      </x:c>
      <x:c r="G225" s="111" t="n">
        <x:f>IFERROR(VLOOKUP($A225,'Mike FLEX'!$A$6:$N$278,7,FALSE),"")</x:f>
        <x:v>0</x:v>
      </x:c>
      <x:c r="H225" s="111" t="n">
        <x:f>IFERROR(VLOOKUP($A225,'Mike FLEX'!$A$6:$N$278,8,FALSE),"")</x:f>
        <x:v>0</x:v>
      </x:c>
      <x:c r="I225" s="111" t="n">
        <x:f>IFERROR(VLOOKUP($A225,'Mike FLEX'!$A$6:$N$278,9,FALSE),"")</x:f>
        <x:v>0</x:v>
      </x:c>
      <x:c r="J225" s="111" t="n">
        <x:f>IFERROR(VLOOKUP($A225,'Mike FLEX'!$A$6:$N$278,10,FALSE),"")</x:f>
        <x:v>38</x:v>
      </x:c>
      <x:c r="K225" s="111" t="n">
        <x:f>IFERROR(VLOOKUP($A225,'Mike FLEX'!$A$6:$N$278,11,FALSE),"")</x:f>
        <x:v>386</x:v>
      </x:c>
      <x:c r="L225" s="111" t="n">
        <x:f>IFERROR(VLOOKUP($A225,'Mike FLEX'!$A$6:$N$278,12,FALSE),"")</x:f>
        <x:v>3</x:v>
      </x:c>
      <x:c r="M225" s="111" t="n">
        <x:f>IFERROR(VLOOKUP($A225,'Mike FLEX'!$A$6:$N$278,13,FALSE),"")</x:f>
        <x:v>0</x:v>
      </x:c>
      <x:c r="N225" s="109" t="n">
        <x:f>IFERROR(VLOOKUP($A225,'Andy FLEX'!$A$6:$N$278,5,FALSE),"")</x:f>
        <x:v>240</x:v>
      </x:c>
      <x:c r="O225" s="110" t="n">
        <x:f>IFERROR(VLOOKUP($A225,'Andy FLEX'!$A$6:$N$278,6,FALSE),"")</x:f>
        <x:v>3.4</x:v>
      </x:c>
      <x:c r="P225" s="111" t="n">
        <x:f>IFERROR(VLOOKUP($A225,'Andy FLEX'!$A$6:$N$278,7,FALSE),"")</x:f>
        <x:v>0</x:v>
      </x:c>
      <x:c r="Q225" s="111" t="n">
        <x:f>IFERROR(VLOOKUP($A225,'Andy FLEX'!$A$6:$N$278,8,FALSE),"")</x:f>
        <x:v>0</x:v>
      </x:c>
      <x:c r="R225" s="111" t="n">
        <x:f>IFERROR(VLOOKUP($A225,'Andy FLEX'!$A$6:$N$278,9,FALSE),"")</x:f>
        <x:v>0</x:v>
      </x:c>
      <x:c r="S225" s="111" t="n">
        <x:f>IFERROR(VLOOKUP($A225,'Andy FLEX'!$A$6:$N$278,10,FALSE),"")</x:f>
        <x:v>28</x:v>
      </x:c>
      <x:c r="T225" s="111" t="n">
        <x:f>IFERROR(VLOOKUP($A225,'Andy FLEX'!$A$6:$N$278,11,FALSE),"")</x:f>
        <x:v>245</x:v>
      </x:c>
      <x:c r="U225" s="111" t="n">
        <x:f>IFERROR(VLOOKUP($A225,'Andy FLEX'!$A$6:$N$278,12,FALSE),"")</x:f>
        <x:v>1</x:v>
      </x:c>
      <x:c r="V225" s="111" t="n">
        <x:f>IFERROR(VLOOKUP($A225,'Andy FLEX'!$A$6:$N$278,13,FALSE),"")</x:f>
        <x:v>0</x:v>
      </x:c>
      <x:c r="W225" s="109" t="n">
        <x:f>IFERROR(VLOOKUP($A225,'Jason FLEX'!$A$6:$N$268,5,FALSE),"")</x:f>
        <x:v>247</x:v>
      </x:c>
      <x:c r="X225" s="110" t="n">
        <x:f>IFERROR(VLOOKUP($A225,'Jason FLEX'!$A$6:$N$268,6,FALSE),"")</x:f>
        <x:v>2.3</x:v>
      </x:c>
      <x:c r="Y225" s="111" t="n">
        <x:f>IFERROR(VLOOKUP($A225,'Jason FLEX'!$A$6:$N$268,7,FALSE),"")</x:f>
        <x:v>0</x:v>
      </x:c>
      <x:c r="Z225" s="111" t="n">
        <x:f>IFERROR(VLOOKUP($A225,'Jason FLEX'!$A$6:$N$268,8,FALSE),"")</x:f>
        <x:v>0</x:v>
      </x:c>
      <x:c r="AA225" s="111" t="n">
        <x:f>IFERROR(VLOOKUP($A225,'Jason FLEX'!$A$6:$N$268,9,FALSE),"")</x:f>
        <x:v>0</x:v>
      </x:c>
      <x:c r="AB225" s="111" t="n">
        <x:f>IFERROR(VLOOKUP($A225,'Jason FLEX'!$A$6:$N$268,10,FALSE),"")</x:f>
        <x:v>22</x:v>
      </x:c>
      <x:c r="AC225" s="111" t="n">
        <x:f>IFERROR(VLOOKUP($A225,'Jason FLEX'!$A$6:$N$268,11,FALSE),"")</x:f>
        <x:v>135</x:v>
      </x:c>
      <x:c r="AD225" s="111" t="n">
        <x:f>IFERROR(VLOOKUP($A225,'Jason FLEX'!$A$6:$N$268,12,FALSE),"")</x:f>
        <x:v>1</x:v>
      </x:c>
      <x:c r="AE225" s="111" t="n">
        <x:f>IFERROR(VLOOKUP($A225,'Jason FLEX'!$A$6:$N$268,13,FALSE),"")</x:f>
        <x:v>0</x:v>
      </x:c>
      <x:c r="AF225" s="110" t="n">
        <x:f>IF(COUNT(E225,N225,W225)=0,"",AVERAGE(E225,N225,W225))</x:f>
        <x:v>218.66666666666666</x:v>
      </x:c>
      <x:c r="AG225" s="110" t="n">
        <x:f>IF(COUNT(E225,N225,W225)=0,"",MAX(E225,N225,W225)-MIN(E225,N225,W225))</x:f>
        <x:v>78</x:v>
      </x:c>
      <x:c r="AH225" s="110" t="n">
        <x:f>IF(COUNT(F225,O225,X225)=0,"",AVERAGE(F225,O225,X225))</x:f>
        <x:v>3.733333333333333</x:v>
      </x:c>
      <x:c r="AI225" s="112" t="n">
        <x:f>IF(COUNT(G225,P225,Y225)=0,"",AVERAGE(G225,P225,Y225))</x:f>
        <x:v>0</x:v>
      </x:c>
      <x:c r="AJ225" s="112" t="n">
        <x:f>IF(COUNT(H225,Q225,Z225)=0,"",AVERAGE(H225,Q225,Z225))</x:f>
        <x:v>0</x:v>
      </x:c>
      <x:c r="AK225" s="112" t="n">
        <x:f>IF(COUNT(I225,R225,AA225)=0,"",AVERAGE(I225,R225,AA225))</x:f>
        <x:v>0</x:v>
      </x:c>
      <x:c r="AL225" s="112" t="n">
        <x:f>IF(COUNT(J225,S225,AB225)=0,"",AVERAGE(J225,S225,AB225))</x:f>
        <x:v>29.333333333333332</x:v>
      </x:c>
      <x:c r="AM225" s="112" t="n">
        <x:f>IF(COUNT(K225,T225,AC225)=0,"",AVERAGE(K225,T225,AC225))</x:f>
        <x:v>255.33333333333334</x:v>
      </x:c>
      <x:c r="AN225" s="112" t="n">
        <x:f>IF(COUNT(L225,U225,AD225)=0,"",AVERAGE(L225,U225,AD225))</x:f>
        <x:v>1.6666666666666667</x:v>
      </x:c>
      <x:c r="AO225" s="112" t="n">
        <x:f>IF(COUNT(M225,V225,AE225)=0,"",AVERAGE(M225,V225,AE225))</x:f>
        <x:v>0</x:v>
      </x:c>
    </x:row>
    <x:row r="226">
      <x:c r="A226" s="107" t="str">
        <x:v>DJ Giddens</x:v>
      </x:c>
      <x:c r="B226" s="108" t="str">
        <x:v>RB</x:v>
      </x:c>
      <x:c r="C226" s="108" t="str">
        <x:v>IND</x:v>
      </x:c>
      <x:c r="D226" s="109" t="n">
        <x:v>13</x:v>
      </x:c>
      <x:c r="E226" s="109" t="n">
        <x:f>IFERROR(VLOOKUP($A226,'Mike FLEX'!$A$6:$N$278,5,FALSE),"")</x:f>
        <x:v>237</x:v>
      </x:c>
      <x:c r="F226" s="110" t="n">
        <x:f>IFERROR(VLOOKUP($A226,'Mike FLEX'!$A$6:$N$278,6,FALSE),"")</x:f>
        <x:v>2.6</x:v>
      </x:c>
      <x:c r="G226" s="111" t="n">
        <x:f>IFERROR(VLOOKUP($A226,'Mike FLEX'!$A$6:$N$278,7,FALSE),"")</x:f>
        <x:v>55</x:v>
      </x:c>
      <x:c r="H226" s="111" t="n">
        <x:f>IFERROR(VLOOKUP($A226,'Mike FLEX'!$A$6:$N$278,8,FALSE),"")</x:f>
        <x:v>203</x:v>
      </x:c>
      <x:c r="I226" s="111" t="n">
        <x:f>IFERROR(VLOOKUP($A226,'Mike FLEX'!$A$6:$N$278,9,FALSE),"")</x:f>
        <x:v>1</x:v>
      </x:c>
      <x:c r="J226" s="111" t="n">
        <x:f>IFERROR(VLOOKUP($A226,'Mike FLEX'!$A$6:$N$278,10,FALSE),"")</x:f>
        <x:v>8</x:v>
      </x:c>
      <x:c r="K226" s="111" t="n">
        <x:f>IFERROR(VLOOKUP($A226,'Mike FLEX'!$A$6:$N$278,11,FALSE),"")</x:f>
        <x:v>58</x:v>
      </x:c>
      <x:c r="L226" s="111" t="n">
        <x:f>IFERROR(VLOOKUP($A226,'Mike FLEX'!$A$6:$N$278,12,FALSE),"")</x:f>
        <x:v>0</x:v>
      </x:c>
      <x:c r="M226" s="111" t="n">
        <x:f>IFERROR(VLOOKUP($A226,'Mike FLEX'!$A$6:$N$278,13,FALSE),"")</x:f>
        <x:v>0</x:v>
      </x:c>
      <x:c r="N226" s="109" t="n">
        <x:f>IFERROR(VLOOKUP($A226,'Andy FLEX'!$A$6:$N$278,5,FALSE),"")</x:f>
        <x:v>195</x:v>
      </x:c>
      <x:c r="O226" s="110" t="n">
        <x:f>IFERROR(VLOOKUP($A226,'Andy FLEX'!$A$6:$N$278,6,FALSE),"")</x:f>
        <x:v>5.1</x:v>
      </x:c>
      <x:c r="P226" s="111" t="n">
        <x:f>IFERROR(VLOOKUP($A226,'Andy FLEX'!$A$6:$N$278,7,FALSE),"")</x:f>
        <x:v>85</x:v>
      </x:c>
      <x:c r="Q226" s="111" t="n">
        <x:f>IFERROR(VLOOKUP($A226,'Andy FLEX'!$A$6:$N$278,8,FALSE),"")</x:f>
        <x:v>360</x:v>
      </x:c>
      <x:c r="R226" s="111" t="n">
        <x:f>IFERROR(VLOOKUP($A226,'Andy FLEX'!$A$6:$N$278,9,FALSE),"")</x:f>
        <x:v>3</x:v>
      </x:c>
      <x:c r="S226" s="111" t="n">
        <x:f>IFERROR(VLOOKUP($A226,'Andy FLEX'!$A$6:$N$278,10,FALSE),"")</x:f>
        <x:v>16</x:v>
      </x:c>
      <x:c r="T226" s="111" t="n">
        <x:f>IFERROR(VLOOKUP($A226,'Andy FLEX'!$A$6:$N$278,11,FALSE),"")</x:f>
        <x:v>120</x:v>
      </x:c>
      <x:c r="U226" s="111" t="n">
        <x:f>IFERROR(VLOOKUP($A226,'Andy FLEX'!$A$6:$N$278,12,FALSE),"")</x:f>
        <x:v>1</x:v>
      </x:c>
      <x:c r="V226" s="111" t="n">
        <x:f>IFERROR(VLOOKUP($A226,'Andy FLEX'!$A$6:$N$278,13,FALSE),"")</x:f>
        <x:v>1</x:v>
      </x:c>
      <x:c r="W226" s="109" t="n">
        <x:f>IFERROR(VLOOKUP($A226,'Jason FLEX'!$A$6:$N$268,5,FALSE),"")</x:f>
        <x:v>226</x:v>
      </x:c>
      <x:c r="X226" s="110" t="n">
        <x:f>IFERROR(VLOOKUP($A226,'Jason FLEX'!$A$6:$N$268,6,FALSE),"")</x:f>
        <x:v>3.3</x:v>
      </x:c>
      <x:c r="Y226" s="111" t="n">
        <x:f>IFERROR(VLOOKUP($A226,'Jason FLEX'!$A$6:$N$268,7,FALSE),"")</x:f>
        <x:v>55</x:v>
      </x:c>
      <x:c r="Z226" s="111" t="n">
        <x:f>IFERROR(VLOOKUP($A226,'Jason FLEX'!$A$6:$N$268,8,FALSE),"")</x:f>
        <x:v>215</x:v>
      </x:c>
      <x:c r="AA226" s="111" t="n">
        <x:f>IFERROR(VLOOKUP($A226,'Jason FLEX'!$A$6:$N$268,9,FALSE),"")</x:f>
        <x:v>2</x:v>
      </x:c>
      <x:c r="AB226" s="111" t="n">
        <x:f>IFERROR(VLOOKUP($A226,'Jason FLEX'!$A$6:$N$268,10,FALSE),"")</x:f>
        <x:v>13</x:v>
      </x:c>
      <x:c r="AC226" s="111" t="n">
        <x:f>IFERROR(VLOOKUP($A226,'Jason FLEX'!$A$6:$N$268,11,FALSE),"")</x:f>
        <x:v>100</x:v>
      </x:c>
      <x:c r="AD226" s="111" t="n">
        <x:f>IFERROR(VLOOKUP($A226,'Jason FLEX'!$A$6:$N$268,12,FALSE),"")</x:f>
        <x:v>1</x:v>
      </x:c>
      <x:c r="AE226" s="111" t="n">
        <x:f>IFERROR(VLOOKUP($A226,'Jason FLEX'!$A$6:$N$268,13,FALSE),"")</x:f>
        <x:v>1</x:v>
      </x:c>
      <x:c r="AF226" s="110" t="n">
        <x:f>IF(COUNT(E226,N226,W226)=0,"",AVERAGE(E226,N226,W226))</x:f>
        <x:v>219.33333333333334</x:v>
      </x:c>
      <x:c r="AG226" s="110" t="n">
        <x:f>IF(COUNT(E226,N226,W226)=0,"",MAX(E226,N226,W226)-MIN(E226,N226,W226))</x:f>
        <x:v>42</x:v>
      </x:c>
      <x:c r="AH226" s="110" t="n">
        <x:f>IF(COUNT(F226,O226,X226)=0,"",AVERAGE(F226,O226,X226))</x:f>
        <x:v>3.6666666666666665</x:v>
      </x:c>
      <x:c r="AI226" s="112" t="n">
        <x:f>IF(COUNT(G226,P226,Y226)=0,"",AVERAGE(G226,P226,Y226))</x:f>
        <x:v>65</x:v>
      </x:c>
      <x:c r="AJ226" s="112" t="n">
        <x:f>IF(COUNT(H226,Q226,Z226)=0,"",AVERAGE(H226,Q226,Z226))</x:f>
        <x:v>259.3333333333333</x:v>
      </x:c>
      <x:c r="AK226" s="112" t="n">
        <x:f>IF(COUNT(I226,R226,AA226)=0,"",AVERAGE(I226,R226,AA226))</x:f>
        <x:v>2</x:v>
      </x:c>
      <x:c r="AL226" s="112" t="n">
        <x:f>IF(COUNT(J226,S226,AB226)=0,"",AVERAGE(J226,S226,AB226))</x:f>
        <x:v>12.333333333333334</x:v>
      </x:c>
      <x:c r="AM226" s="112" t="n">
        <x:f>IF(COUNT(K226,T226,AC226)=0,"",AVERAGE(K226,T226,AC226))</x:f>
        <x:v>92.66666666666667</x:v>
      </x:c>
      <x:c r="AN226" s="112" t="n">
        <x:f>IF(COUNT(L226,U226,AD226)=0,"",AVERAGE(L226,U226,AD226))</x:f>
        <x:v>0.6666666666666666</x:v>
      </x:c>
      <x:c r="AO226" s="112" t="n">
        <x:f>IF(COUNT(M226,V226,AE226)=0,"",AVERAGE(M226,V226,AE226))</x:f>
        <x:v>0.6666666666666666</x:v>
      </x:c>
    </x:row>
    <x:row r="227">
      <x:c r="A227" s="107" t="str">
        <x:v>Isaiah Davis</x:v>
      </x:c>
      <x:c r="B227" s="108" t="str">
        <x:v>RB</x:v>
      </x:c>
      <x:c r="C227" s="108" t="str">
        <x:v>NYJ</x:v>
      </x:c>
      <x:c r="D227" s="109" t="n">
        <x:v>13</x:v>
      </x:c>
      <x:c r="E227" s="109" t="n">
        <x:f>IFERROR(VLOOKUP($A227,'Mike FLEX'!$A$6:$N$278,5,FALSE),"")</x:f>
        <x:v>241</x:v>
      </x:c>
      <x:c r="F227" s="110" t="n">
        <x:f>IFERROR(VLOOKUP($A227,'Mike FLEX'!$A$6:$N$278,6,FALSE),"")</x:f>
        <x:v>2.5</x:v>
      </x:c>
      <x:c r="G227" s="111" t="n">
        <x:f>IFERROR(VLOOKUP($A227,'Mike FLEX'!$A$6:$N$278,7,FALSE),"")</x:f>
        <x:v>31</x:v>
      </x:c>
      <x:c r="H227" s="111" t="n">
        <x:f>IFERROR(VLOOKUP($A227,'Mike FLEX'!$A$6:$N$278,8,FALSE),"")</x:f>
        <x:v>174</x:v>
      </x:c>
      <x:c r="I227" s="111" t="n">
        <x:f>IFERROR(VLOOKUP($A227,'Mike FLEX'!$A$6:$N$278,9,FALSE),"")</x:f>
        <x:v>1</x:v>
      </x:c>
      <x:c r="J227" s="111" t="n">
        <x:f>IFERROR(VLOOKUP($A227,'Mike FLEX'!$A$6:$N$278,10,FALSE),"")</x:f>
        <x:v>9</x:v>
      </x:c>
      <x:c r="K227" s="111" t="n">
        <x:f>IFERROR(VLOOKUP($A227,'Mike FLEX'!$A$6:$N$278,11,FALSE),"")</x:f>
        <x:v>72</x:v>
      </x:c>
      <x:c r="L227" s="111" t="n">
        <x:f>IFERROR(VLOOKUP($A227,'Mike FLEX'!$A$6:$N$278,12,FALSE),"")</x:f>
        <x:v>0</x:v>
      </x:c>
      <x:c r="M227" s="111" t="n">
        <x:f>IFERROR(VLOOKUP($A227,'Mike FLEX'!$A$6:$N$278,13,FALSE),"")</x:f>
        <x:v>0</x:v>
      </x:c>
      <x:c r="N227" s="109" t="n">
        <x:f>IFERROR(VLOOKUP($A227,'Andy FLEX'!$A$6:$N$278,5,FALSE),"")</x:f>
        <x:v>217</x:v>
      </x:c>
      <x:c r="O227" s="110" t="n">
        <x:f>IFERROR(VLOOKUP($A227,'Andy FLEX'!$A$6:$N$278,6,FALSE),"")</x:f>
        <x:v>4.2</x:v>
      </x:c>
      <x:c r="P227" s="111" t="n">
        <x:f>IFERROR(VLOOKUP($A227,'Andy FLEX'!$A$6:$N$278,7,FALSE),"")</x:f>
        <x:v>51</x:v>
      </x:c>
      <x:c r="Q227" s="111" t="n">
        <x:f>IFERROR(VLOOKUP($A227,'Andy FLEX'!$A$6:$N$278,8,FALSE),"")</x:f>
        <x:v>223</x:v>
      </x:c>
      <x:c r="R227" s="111" t="n">
        <x:f>IFERROR(VLOOKUP($A227,'Andy FLEX'!$A$6:$N$278,9,FALSE),"")</x:f>
        <x:v>1</x:v>
      </x:c>
      <x:c r="S227" s="111" t="n">
        <x:f>IFERROR(VLOOKUP($A227,'Andy FLEX'!$A$6:$N$278,10,FALSE),"")</x:f>
        <x:v>21</x:v>
      </x:c>
      <x:c r="T227" s="111" t="n">
        <x:f>IFERROR(VLOOKUP($A227,'Andy FLEX'!$A$6:$N$278,11,FALSE),"")</x:f>
        <x:v>177</x:v>
      </x:c>
      <x:c r="U227" s="111" t="n">
        <x:f>IFERROR(VLOOKUP($A227,'Andy FLEX'!$A$6:$N$278,12,FALSE),"")</x:f>
        <x:v>1</x:v>
      </x:c>
      <x:c r="V227" s="111" t="n">
        <x:f>IFERROR(VLOOKUP($A227,'Andy FLEX'!$A$6:$N$278,13,FALSE),"")</x:f>
        <x:v>1</x:v>
      </x:c>
      <x:c r="W227" s="109" t="n">
        <x:f>IFERROR(VLOOKUP($A227,'Jason FLEX'!$A$6:$N$268,5,FALSE),"")</x:f>
        <x:v>205</x:v>
      </x:c>
      <x:c r="X227" s="110" t="n">
        <x:f>IFERROR(VLOOKUP($A227,'Jason FLEX'!$A$6:$N$268,6,FALSE),"")</x:f>
        <x:v>4.4</x:v>
      </x:c>
      <x:c r="Y227" s="111" t="n">
        <x:f>IFERROR(VLOOKUP($A227,'Jason FLEX'!$A$6:$N$268,7,FALSE),"")</x:f>
        <x:v>62</x:v>
      </x:c>
      <x:c r="Z227" s="111" t="n">
        <x:f>IFERROR(VLOOKUP($A227,'Jason FLEX'!$A$6:$N$268,8,FALSE),"")</x:f>
        <x:v>285</x:v>
      </x:c>
      <x:c r="AA227" s="111" t="n">
        <x:f>IFERROR(VLOOKUP($A227,'Jason FLEX'!$A$6:$N$268,9,FALSE),"")</x:f>
        <x:v>2</x:v>
      </x:c>
      <x:c r="AB227" s="111" t="n">
        <x:f>IFERROR(VLOOKUP($A227,'Jason FLEX'!$A$6:$N$268,10,FALSE),"")</x:f>
        <x:v>20</x:v>
      </x:c>
      <x:c r="AC227" s="111" t="n">
        <x:f>IFERROR(VLOOKUP($A227,'Jason FLEX'!$A$6:$N$268,11,FALSE),"")</x:f>
        <x:v>140</x:v>
      </x:c>
      <x:c r="AD227" s="111" t="n">
        <x:f>IFERROR(VLOOKUP($A227,'Jason FLEX'!$A$6:$N$268,12,FALSE),"")</x:f>
        <x:v>0</x:v>
      </x:c>
      <x:c r="AE227" s="111" t="n">
        <x:f>IFERROR(VLOOKUP($A227,'Jason FLEX'!$A$6:$N$268,13,FALSE),"")</x:f>
        <x:v>1</x:v>
      </x:c>
      <x:c r="AF227" s="110" t="n">
        <x:f>IF(COUNT(E227,N227,W227)=0,"",AVERAGE(E227,N227,W227))</x:f>
        <x:v>221</x:v>
      </x:c>
      <x:c r="AG227" s="110" t="n">
        <x:f>IF(COUNT(E227,N227,W227)=0,"",MAX(E227,N227,W227)-MIN(E227,N227,W227))</x:f>
        <x:v>36</x:v>
      </x:c>
      <x:c r="AH227" s="110" t="n">
        <x:f>IF(COUNT(F227,O227,X227)=0,"",AVERAGE(F227,O227,X227))</x:f>
        <x:v>3.7000000000000006</x:v>
      </x:c>
      <x:c r="AI227" s="112" t="n">
        <x:f>IF(COUNT(G227,P227,Y227)=0,"",AVERAGE(G227,P227,Y227))</x:f>
        <x:v>48</x:v>
      </x:c>
      <x:c r="AJ227" s="112" t="n">
        <x:f>IF(COUNT(H227,Q227,Z227)=0,"",AVERAGE(H227,Q227,Z227))</x:f>
        <x:v>227.33333333333334</x:v>
      </x:c>
      <x:c r="AK227" s="112" t="n">
        <x:f>IF(COUNT(I227,R227,AA227)=0,"",AVERAGE(I227,R227,AA227))</x:f>
        <x:v>1.3333333333333333</x:v>
      </x:c>
      <x:c r="AL227" s="112" t="n">
        <x:f>IF(COUNT(J227,S227,AB227)=0,"",AVERAGE(J227,S227,AB227))</x:f>
        <x:v>16.666666666666668</x:v>
      </x:c>
      <x:c r="AM227" s="112" t="n">
        <x:f>IF(COUNT(K227,T227,AC227)=0,"",AVERAGE(K227,T227,AC227))</x:f>
        <x:v>129.66666666666666</x:v>
      </x:c>
      <x:c r="AN227" s="112" t="n">
        <x:f>IF(COUNT(L227,U227,AD227)=0,"",AVERAGE(L227,U227,AD227))</x:f>
        <x:v>0.3333333333333333</x:v>
      </x:c>
      <x:c r="AO227" s="112" t="n">
        <x:f>IF(COUNT(M227,V227,AE227)=0,"",AVERAGE(M227,V227,AE227))</x:f>
        <x:v>0.6666666666666666</x:v>
      </x:c>
    </x:row>
    <x:row r="228">
      <x:c r="A228" s="107" t="str">
        <x:v>Kalif Raymond</x:v>
      </x:c>
      <x:c r="B228" s="108" t="str">
        <x:v>WR</x:v>
      </x:c>
      <x:c r="C228" s="108" t="str">
        <x:v>CHI</x:v>
      </x:c>
      <x:c r="D228" s="109" t="n">
        <x:v>10</x:v>
      </x:c>
      <x:c r="E228" s="109" t="n">
        <x:f>IFERROR(VLOOKUP($A228,'Mike FLEX'!$A$6:$N$278,5,FALSE),"")</x:f>
        <x:v>205</x:v>
      </x:c>
      <x:c r="F228" s="110" t="n">
        <x:f>IFERROR(VLOOKUP($A228,'Mike FLEX'!$A$6:$N$278,6,FALSE),"")</x:f>
        <x:v>3.9</x:v>
      </x:c>
      <x:c r="G228" s="111" t="n">
        <x:f>IFERROR(VLOOKUP($A228,'Mike FLEX'!$A$6:$N$278,7,FALSE),"")</x:f>
        <x:v>3</x:v>
      </x:c>
      <x:c r="H228" s="111" t="n">
        <x:f>IFERROR(VLOOKUP($A228,'Mike FLEX'!$A$6:$N$278,8,FALSE),"")</x:f>
        <x:v>24</x:v>
      </x:c>
      <x:c r="I228" s="111" t="n">
        <x:f>IFERROR(VLOOKUP($A228,'Mike FLEX'!$A$6:$N$278,9,FALSE),"")</x:f>
        <x:v>0</x:v>
      </x:c>
      <x:c r="J228" s="111" t="n">
        <x:f>IFERROR(VLOOKUP($A228,'Mike FLEX'!$A$6:$N$278,10,FALSE),"")</x:f>
        <x:v>24</x:v>
      </x:c>
      <x:c r="K228" s="111" t="n">
        <x:f>IFERROR(VLOOKUP($A228,'Mike FLEX'!$A$6:$N$278,11,FALSE),"")</x:f>
        <x:v>312</x:v>
      </x:c>
      <x:c r="L228" s="111" t="n">
        <x:f>IFERROR(VLOOKUP($A228,'Mike FLEX'!$A$6:$N$278,12,FALSE),"")</x:f>
        <x:v>1</x:v>
      </x:c>
      <x:c r="M228" s="111" t="n">
        <x:f>IFERROR(VLOOKUP($A228,'Mike FLEX'!$A$6:$N$278,13,FALSE),"")</x:f>
        <x:v>0</x:v>
      </x:c>
      <x:c r="N228" s="109" t="n">
        <x:f>IFERROR(VLOOKUP($A228,'Andy FLEX'!$A$6:$N$278,5,FALSE),"")</x:f>
        <x:v>223</x:v>
      </x:c>
      <x:c r="O228" s="110" t="n">
        <x:f>IFERROR(VLOOKUP($A228,'Andy FLEX'!$A$6:$N$278,6,FALSE),"")</x:f>
        <x:v>3.9</x:v>
      </x:c>
      <x:c r="P228" s="111" t="n">
        <x:f>IFERROR(VLOOKUP($A228,'Andy FLEX'!$A$6:$N$278,7,FALSE),"")</x:f>
        <x:v>1</x:v>
      </x:c>
      <x:c r="Q228" s="111" t="n">
        <x:f>IFERROR(VLOOKUP($A228,'Andy FLEX'!$A$6:$N$278,8,FALSE),"")</x:f>
        <x:v>16</x:v>
      </x:c>
      <x:c r="R228" s="111" t="n">
        <x:f>IFERROR(VLOOKUP($A228,'Andy FLEX'!$A$6:$N$278,9,FALSE),"")</x:f>
        <x:v>0</x:v>
      </x:c>
      <x:c r="S228" s="111" t="n">
        <x:f>IFERROR(VLOOKUP($A228,'Andy FLEX'!$A$6:$N$278,10,FALSE),"")</x:f>
        <x:v>26</x:v>
      </x:c>
      <x:c r="T228" s="111" t="n">
        <x:f>IFERROR(VLOOKUP($A228,'Andy FLEX'!$A$6:$N$278,11,FALSE),"")</x:f>
        <x:v>306</x:v>
      </x:c>
      <x:c r="U228" s="111" t="n">
        <x:f>IFERROR(VLOOKUP($A228,'Andy FLEX'!$A$6:$N$278,12,FALSE),"")</x:f>
        <x:v>1</x:v>
      </x:c>
      <x:c r="V228" s="111" t="n">
        <x:f>IFERROR(VLOOKUP($A228,'Andy FLEX'!$A$6:$N$278,13,FALSE),"")</x:f>
        <x:v>0</x:v>
      </x:c>
      <x:c r="W228" s="109" t="n">
        <x:f>IFERROR(VLOOKUP($A228,'Jason FLEX'!$A$6:$N$268,5,FALSE),"")</x:f>
        <x:v>235</x:v>
      </x:c>
      <x:c r="X228" s="110" t="n">
        <x:f>IFERROR(VLOOKUP($A228,'Jason FLEX'!$A$6:$N$268,6,FALSE),"")</x:f>
        <x:v>2.9</x:v>
      </x:c>
      <x:c r="Y228" s="111" t="n">
        <x:f>IFERROR(VLOOKUP($A228,'Jason FLEX'!$A$6:$N$268,7,FALSE),"")</x:f>
        <x:v>2</x:v>
      </x:c>
      <x:c r="Z228" s="111" t="n">
        <x:f>IFERROR(VLOOKUP($A228,'Jason FLEX'!$A$6:$N$268,8,FALSE),"")</x:f>
        <x:v>12</x:v>
      </x:c>
      <x:c r="AA228" s="111" t="n">
        <x:f>IFERROR(VLOOKUP($A228,'Jason FLEX'!$A$6:$N$268,9,FALSE),"")</x:f>
        <x:v>0</x:v>
      </x:c>
      <x:c r="AB228" s="111" t="n">
        <x:f>IFERROR(VLOOKUP($A228,'Jason FLEX'!$A$6:$N$268,10,FALSE),"")</x:f>
        <x:v>19</x:v>
      </x:c>
      <x:c r="AC228" s="111" t="n">
        <x:f>IFERROR(VLOOKUP($A228,'Jason FLEX'!$A$6:$N$268,11,FALSE),"")</x:f>
        <x:v>205</x:v>
      </x:c>
      <x:c r="AD228" s="111" t="n">
        <x:f>IFERROR(VLOOKUP($A228,'Jason FLEX'!$A$6:$N$268,12,FALSE),"")</x:f>
        <x:v>2</x:v>
      </x:c>
      <x:c r="AE228" s="111" t="n">
        <x:f>IFERROR(VLOOKUP($A228,'Jason FLEX'!$A$6:$N$268,13,FALSE),"")</x:f>
        <x:v>0</x:v>
      </x:c>
      <x:c r="AF228" s="110" t="n">
        <x:f>IF(COUNT(E228,N228,W228)=0,"",AVERAGE(E228,N228,W228))</x:f>
        <x:v>221</x:v>
      </x:c>
      <x:c r="AG228" s="110" t="n">
        <x:f>IF(COUNT(E228,N228,W228)=0,"",MAX(E228,N228,W228)-MIN(E228,N228,W228))</x:f>
        <x:v>30</x:v>
      </x:c>
      <x:c r="AH228" s="110" t="n">
        <x:f>IF(COUNT(F228,O228,X228)=0,"",AVERAGE(F228,O228,X228))</x:f>
        <x:v>3.5666666666666664</x:v>
      </x:c>
      <x:c r="AI228" s="112" t="n">
        <x:f>IF(COUNT(G228,P228,Y228)=0,"",AVERAGE(G228,P228,Y228))</x:f>
        <x:v>2</x:v>
      </x:c>
      <x:c r="AJ228" s="112" t="n">
        <x:f>IF(COUNT(H228,Q228,Z228)=0,"",AVERAGE(H228,Q228,Z228))</x:f>
        <x:v>17.333333333333332</x:v>
      </x:c>
      <x:c r="AK228" s="112" t="n">
        <x:f>IF(COUNT(I228,R228,AA228)=0,"",AVERAGE(I228,R228,AA228))</x:f>
        <x:v>0</x:v>
      </x:c>
      <x:c r="AL228" s="112" t="n">
        <x:f>IF(COUNT(J228,S228,AB228)=0,"",AVERAGE(J228,S228,AB228))</x:f>
        <x:v>23</x:v>
      </x:c>
      <x:c r="AM228" s="112" t="n">
        <x:f>IF(COUNT(K228,T228,AC228)=0,"",AVERAGE(K228,T228,AC228))</x:f>
        <x:v>274.3333333333333</x:v>
      </x:c>
      <x:c r="AN228" s="112" t="n">
        <x:f>IF(COUNT(L228,U228,AD228)=0,"",AVERAGE(L228,U228,AD228))</x:f>
        <x:v>1.3333333333333333</x:v>
      </x:c>
      <x:c r="AO228" s="112" t="n">
        <x:f>IF(COUNT(M228,V228,AE228)=0,"",AVERAGE(M228,V228,AE228))</x:f>
        <x:v>0</x:v>
      </x:c>
    </x:row>
    <x:row r="229">
      <x:c r="A229" s="107" t="str">
        <x:v>George Holani</x:v>
      </x:c>
      <x:c r="B229" s="108" t="str">
        <x:v>RB</x:v>
      </x:c>
      <x:c r="C229" s="108" t="str">
        <x:v>SEA</x:v>
      </x:c>
      <x:c r="D229" s="109" t="n">
        <x:v>11</x:v>
      </x:c>
      <x:c r="E229" s="109" t="n">
        <x:f>IFERROR(VLOOKUP($A229,'Mike FLEX'!$A$6:$N$278,5,FALSE),"")</x:f>
        <x:v>213</x:v>
      </x:c>
      <x:c r="F229" s="110" t="n">
        <x:f>IFERROR(VLOOKUP($A229,'Mike FLEX'!$A$6:$N$278,6,FALSE),"")</x:f>
        <x:v>3.7</x:v>
      </x:c>
      <x:c r="G229" s="111" t="n">
        <x:f>IFERROR(VLOOKUP($A229,'Mike FLEX'!$A$6:$N$278,7,FALSE),"")</x:f>
        <x:v>123</x:v>
      </x:c>
      <x:c r="H229" s="111" t="n">
        <x:f>IFERROR(VLOOKUP($A229,'Mike FLEX'!$A$6:$N$278,8,FALSE),"")</x:f>
        <x:v>407</x:v>
      </x:c>
      <x:c r="I229" s="111" t="n">
        <x:f>IFERROR(VLOOKUP($A229,'Mike FLEX'!$A$6:$N$278,9,FALSE),"")</x:f>
        <x:v>3</x:v>
      </x:c>
      <x:c r="J229" s="111" t="n">
        <x:f>IFERROR(VLOOKUP($A229,'Mike FLEX'!$A$6:$N$278,10,FALSE),"")</x:f>
        <x:v>4</x:v>
      </x:c>
      <x:c r="K229" s="111" t="n">
        <x:f>IFERROR(VLOOKUP($A229,'Mike FLEX'!$A$6:$N$278,11,FALSE),"")</x:f>
        <x:v>27</x:v>
      </x:c>
      <x:c r="L229" s="111" t="n">
        <x:f>IFERROR(VLOOKUP($A229,'Mike FLEX'!$A$6:$N$278,12,FALSE),"")</x:f>
        <x:v>0</x:v>
      </x:c>
      <x:c r="M229" s="111" t="n">
        <x:f>IFERROR(VLOOKUP($A229,'Mike FLEX'!$A$6:$N$278,13,FALSE),"")</x:f>
        <x:v>1</x:v>
      </x:c>
      <x:c r="N229" s="109" t="n">
        <x:f>IFERROR(VLOOKUP($A229,'Andy FLEX'!$A$6:$N$278,5,FALSE),"")</x:f>
        <x:v>230</x:v>
      </x:c>
      <x:c r="O229" s="110" t="n">
        <x:f>IFERROR(VLOOKUP($A229,'Andy FLEX'!$A$6:$N$278,6,FALSE),"")</x:f>
        <x:v>3.8</x:v>
      </x:c>
      <x:c r="P229" s="111" t="n">
        <x:f>IFERROR(VLOOKUP($A229,'Andy FLEX'!$A$6:$N$278,7,FALSE),"")</x:f>
        <x:v>63</x:v>
      </x:c>
      <x:c r="Q229" s="111" t="n">
        <x:f>IFERROR(VLOOKUP($A229,'Andy FLEX'!$A$6:$N$278,8,FALSE),"")</x:f>
        <x:v>247</x:v>
      </x:c>
      <x:c r="R229" s="111" t="n">
        <x:f>IFERROR(VLOOKUP($A229,'Andy FLEX'!$A$6:$N$278,9,FALSE),"")</x:f>
        <x:v>2</x:v>
      </x:c>
      <x:c r="S229" s="111" t="n">
        <x:f>IFERROR(VLOOKUP($A229,'Andy FLEX'!$A$6:$N$278,10,FALSE),"")</x:f>
        <x:v>16</x:v>
      </x:c>
      <x:c r="T229" s="111" t="n">
        <x:f>IFERROR(VLOOKUP($A229,'Andy FLEX'!$A$6:$N$278,11,FALSE),"")</x:f>
        <x:v>121</x:v>
      </x:c>
      <x:c r="U229" s="111" t="n">
        <x:f>IFERROR(VLOOKUP($A229,'Andy FLEX'!$A$6:$N$278,12,FALSE),"")</x:f>
        <x:v>0</x:v>
      </x:c>
      <x:c r="V229" s="111" t="n">
        <x:f>IFERROR(VLOOKUP($A229,'Andy FLEX'!$A$6:$N$278,13,FALSE),"")</x:f>
        <x:v>1</x:v>
      </x:c>
      <x:c r="W229" s="109" t="str">
        <x:f>IFERROR(VLOOKUP($A229,'Jason FLEX'!$A$6:$N$268,5,FALSE),"")</x:f>
      </x:c>
      <x:c r="X229" s="110" t="str">
        <x:f>IFERROR(VLOOKUP($A229,'Jason FLEX'!$A$6:$N$268,6,FALSE),"")</x:f>
      </x:c>
      <x:c r="Y229" s="111" t="str">
        <x:f>IFERROR(VLOOKUP($A229,'Jason FLEX'!$A$6:$N$268,7,FALSE),"")</x:f>
      </x:c>
      <x:c r="Z229" s="111" t="str">
        <x:f>IFERROR(VLOOKUP($A229,'Jason FLEX'!$A$6:$N$268,8,FALSE),"")</x:f>
      </x:c>
      <x:c r="AA229" s="111" t="str">
        <x:f>IFERROR(VLOOKUP($A229,'Jason FLEX'!$A$6:$N$268,9,FALSE),"")</x:f>
      </x:c>
      <x:c r="AB229" s="111" t="str">
        <x:f>IFERROR(VLOOKUP($A229,'Jason FLEX'!$A$6:$N$268,10,FALSE),"")</x:f>
      </x:c>
      <x:c r="AC229" s="111" t="str">
        <x:f>IFERROR(VLOOKUP($A229,'Jason FLEX'!$A$6:$N$268,11,FALSE),"")</x:f>
      </x:c>
      <x:c r="AD229" s="111" t="str">
        <x:f>IFERROR(VLOOKUP($A229,'Jason FLEX'!$A$6:$N$268,12,FALSE),"")</x:f>
      </x:c>
      <x:c r="AE229" s="111" t="str">
        <x:f>IFERROR(VLOOKUP($A229,'Jason FLEX'!$A$6:$N$268,13,FALSE),"")</x:f>
      </x:c>
      <x:c r="AF229" s="110" t="n">
        <x:f>IF(COUNT(E229,N229,W229)=0,"",AVERAGE(E229,N229,W229))</x:f>
        <x:v>221.5</x:v>
      </x:c>
      <x:c r="AG229" s="110" t="n">
        <x:f>IF(COUNT(E229,N229,W229)=0,"",MAX(E229,N229,W229)-MIN(E229,N229,W229))</x:f>
        <x:v>17</x:v>
      </x:c>
      <x:c r="AH229" s="110" t="n">
        <x:f>IF(COUNT(F229,O229,X229)=0,"",AVERAGE(F229,O229,X229))</x:f>
        <x:v>3.75</x:v>
      </x:c>
      <x:c r="AI229" s="112" t="n">
        <x:f>IF(COUNT(G229,P229,Y229)=0,"",AVERAGE(G229,P229,Y229))</x:f>
        <x:v>93</x:v>
      </x:c>
      <x:c r="AJ229" s="112" t="n">
        <x:f>IF(COUNT(H229,Q229,Z229)=0,"",AVERAGE(H229,Q229,Z229))</x:f>
        <x:v>327</x:v>
      </x:c>
      <x:c r="AK229" s="112" t="n">
        <x:f>IF(COUNT(I229,R229,AA229)=0,"",AVERAGE(I229,R229,AA229))</x:f>
        <x:v>2.5</x:v>
      </x:c>
      <x:c r="AL229" s="112" t="n">
        <x:f>IF(COUNT(J229,S229,AB229)=0,"",AVERAGE(J229,S229,AB229))</x:f>
        <x:v>10</x:v>
      </x:c>
      <x:c r="AM229" s="112" t="n">
        <x:f>IF(COUNT(K229,T229,AC229)=0,"",AVERAGE(K229,T229,AC229))</x:f>
        <x:v>74</x:v>
      </x:c>
      <x:c r="AN229" s="112" t="n">
        <x:f>IF(COUNT(L229,U229,AD229)=0,"",AVERAGE(L229,U229,AD229))</x:f>
        <x:v>0</x:v>
      </x:c>
      <x:c r="AO229" s="112" t="n">
        <x:f>IF(COUNT(M229,V229,AE229)=0,"",AVERAGE(M229,V229,AE229))</x:f>
        <x:v>1</x:v>
      </x:c>
    </x:row>
    <x:row r="230">
      <x:c r="A230" s="107" t="str">
        <x:v>Elijah Arroyo</x:v>
      </x:c>
      <x:c r="B230" s="108" t="str">
        <x:v>TE</x:v>
      </x:c>
      <x:c r="C230" s="108" t="str">
        <x:v>SEA</x:v>
      </x:c>
      <x:c r="D230" s="109" t="n">
        <x:v>11</x:v>
      </x:c>
      <x:c r="E230" s="109" t="n">
        <x:f>IFERROR(VLOOKUP($A230,'Mike FLEX'!$A$6:$N$278,5,FALSE),"")</x:f>
        <x:v>233</x:v>
      </x:c>
      <x:c r="F230" s="110" t="n">
        <x:f>IFERROR(VLOOKUP($A230,'Mike FLEX'!$A$6:$N$278,6,FALSE),"")</x:f>
        <x:v>2.8</x:v>
      </x:c>
      <x:c r="G230" s="111" t="n">
        <x:f>IFERROR(VLOOKUP($A230,'Mike FLEX'!$A$6:$N$278,7,FALSE),"")</x:f>
        <x:v>0</x:v>
      </x:c>
      <x:c r="H230" s="111" t="n">
        <x:f>IFERROR(VLOOKUP($A230,'Mike FLEX'!$A$6:$N$278,8,FALSE),"")</x:f>
        <x:v>0</x:v>
      </x:c>
      <x:c r="I230" s="111" t="n">
        <x:f>IFERROR(VLOOKUP($A230,'Mike FLEX'!$A$6:$N$278,9,FALSE),"")</x:f>
        <x:v>0</x:v>
      </x:c>
      <x:c r="J230" s="111" t="n">
        <x:f>IFERROR(VLOOKUP($A230,'Mike FLEX'!$A$6:$N$278,10,FALSE),"")</x:f>
        <x:v>19</x:v>
      </x:c>
      <x:c r="K230" s="111" t="n">
        <x:f>IFERROR(VLOOKUP($A230,'Mike FLEX'!$A$6:$N$278,11,FALSE),"")</x:f>
        <x:v>217</x:v>
      </x:c>
      <x:c r="L230" s="111" t="n">
        <x:f>IFERROR(VLOOKUP($A230,'Mike FLEX'!$A$6:$N$278,12,FALSE),"")</x:f>
        <x:v>2</x:v>
      </x:c>
      <x:c r="M230" s="111" t="n">
        <x:f>IFERROR(VLOOKUP($A230,'Mike FLEX'!$A$6:$N$278,13,FALSE),"")</x:f>
        <x:v>1</x:v>
      </x:c>
      <x:c r="N230" s="109" t="n">
        <x:f>IFERROR(VLOOKUP($A230,'Andy FLEX'!$A$6:$N$278,5,FALSE),"")</x:f>
        <x:v>180</x:v>
      </x:c>
      <x:c r="O230" s="110" t="n">
        <x:f>IFERROR(VLOOKUP($A230,'Andy FLEX'!$A$6:$N$278,6,FALSE),"")</x:f>
        <x:v>5.6</x:v>
      </x:c>
      <x:c r="P230" s="111" t="n">
        <x:f>IFERROR(VLOOKUP($A230,'Andy FLEX'!$A$6:$N$278,7,FALSE),"")</x:f>
        <x:v>2</x:v>
      </x:c>
      <x:c r="Q230" s="111" t="n">
        <x:f>IFERROR(VLOOKUP($A230,'Andy FLEX'!$A$6:$N$278,8,FALSE),"")</x:f>
        <x:v>11</x:v>
      </x:c>
      <x:c r="R230" s="111" t="n">
        <x:f>IFERROR(VLOOKUP($A230,'Andy FLEX'!$A$6:$N$278,9,FALSE),"")</x:f>
        <x:v>0</x:v>
      </x:c>
      <x:c r="S230" s="111" t="n">
        <x:f>IFERROR(VLOOKUP($A230,'Andy FLEX'!$A$6:$N$278,10,FALSE),"")</x:f>
        <x:v>38</x:v>
      </x:c>
      <x:c r="T230" s="111" t="n">
        <x:f>IFERROR(VLOOKUP($A230,'Andy FLEX'!$A$6:$N$278,11,FALSE),"")</x:f>
        <x:v>418</x:v>
      </x:c>
      <x:c r="U230" s="111" t="n">
        <x:f>IFERROR(VLOOKUP($A230,'Andy FLEX'!$A$6:$N$278,12,FALSE),"")</x:f>
        <x:v>3</x:v>
      </x:c>
      <x:c r="V230" s="111" t="n">
        <x:f>IFERROR(VLOOKUP($A230,'Andy FLEX'!$A$6:$N$278,13,FALSE),"")</x:f>
        <x:v>1</x:v>
      </x:c>
      <x:c r="W230" s="109" t="n">
        <x:f>IFERROR(VLOOKUP($A230,'Jason FLEX'!$A$6:$N$268,5,FALSE),"")</x:f>
        <x:v>253</x:v>
      </x:c>
      <x:c r="X230" s="110" t="n">
        <x:f>IFERROR(VLOOKUP($A230,'Jason FLEX'!$A$6:$N$268,6,FALSE),"")</x:f>
        <x:v>1.7</x:v>
      </x:c>
      <x:c r="Y230" s="111" t="n">
        <x:f>IFERROR(VLOOKUP($A230,'Jason FLEX'!$A$6:$N$268,7,FALSE),"")</x:f>
        <x:v>0</x:v>
      </x:c>
      <x:c r="Z230" s="111" t="n">
        <x:f>IFERROR(VLOOKUP($A230,'Jason FLEX'!$A$6:$N$268,8,FALSE),"")</x:f>
        <x:v>0</x:v>
      </x:c>
      <x:c r="AA230" s="111" t="n">
        <x:f>IFERROR(VLOOKUP($A230,'Jason FLEX'!$A$6:$N$268,9,FALSE),"")</x:f>
        <x:v>0</x:v>
      </x:c>
      <x:c r="AB230" s="111" t="n">
        <x:f>IFERROR(VLOOKUP($A230,'Jason FLEX'!$A$6:$N$268,10,FALSE),"")</x:f>
        <x:v>10</x:v>
      </x:c>
      <x:c r="AC230" s="111" t="n">
        <x:f>IFERROR(VLOOKUP($A230,'Jason FLEX'!$A$6:$N$268,11,FALSE),"")</x:f>
        <x:v>103</x:v>
      </x:c>
      <x:c r="AD230" s="111" t="n">
        <x:f>IFERROR(VLOOKUP($A230,'Jason FLEX'!$A$6:$N$268,12,FALSE),"")</x:f>
        <x:v>2</x:v>
      </x:c>
      <x:c r="AE230" s="111" t="n">
        <x:f>IFERROR(VLOOKUP($A230,'Jason FLEX'!$A$6:$N$268,13,FALSE),"")</x:f>
        <x:v>0</x:v>
      </x:c>
      <x:c r="AF230" s="110" t="n">
        <x:f>IF(COUNT(E230,N230,W230)=0,"",AVERAGE(E230,N230,W230))</x:f>
        <x:v>222</x:v>
      </x:c>
      <x:c r="AG230" s="110" t="n">
        <x:f>IF(COUNT(E230,N230,W230)=0,"",MAX(E230,N230,W230)-MIN(E230,N230,W230))</x:f>
        <x:v>73</x:v>
      </x:c>
      <x:c r="AH230" s="110" t="n">
        <x:f>IF(COUNT(F230,O230,X230)=0,"",AVERAGE(F230,O230,X230))</x:f>
        <x:v>3.366666666666666</x:v>
      </x:c>
      <x:c r="AI230" s="112" t="n">
        <x:f>IF(COUNT(G230,P230,Y230)=0,"",AVERAGE(G230,P230,Y230))</x:f>
        <x:v>0.6666666666666666</x:v>
      </x:c>
      <x:c r="AJ230" s="112" t="n">
        <x:f>IF(COUNT(H230,Q230,Z230)=0,"",AVERAGE(H230,Q230,Z230))</x:f>
        <x:v>3.6666666666666665</x:v>
      </x:c>
      <x:c r="AK230" s="112" t="n">
        <x:f>IF(COUNT(I230,R230,AA230)=0,"",AVERAGE(I230,R230,AA230))</x:f>
        <x:v>0</x:v>
      </x:c>
      <x:c r="AL230" s="112" t="n">
        <x:f>IF(COUNT(J230,S230,AB230)=0,"",AVERAGE(J230,S230,AB230))</x:f>
        <x:v>22.333333333333332</x:v>
      </x:c>
      <x:c r="AM230" s="112" t="n">
        <x:f>IF(COUNT(K230,T230,AC230)=0,"",AVERAGE(K230,T230,AC230))</x:f>
        <x:v>246</x:v>
      </x:c>
      <x:c r="AN230" s="112" t="n">
        <x:f>IF(COUNT(L230,U230,AD230)=0,"",AVERAGE(L230,U230,AD230))</x:f>
        <x:v>2.3333333333333335</x:v>
      </x:c>
      <x:c r="AO230" s="112" t="n">
        <x:f>IF(COUNT(M230,V230,AE230)=0,"",AVERAGE(M230,V230,AE230))</x:f>
        <x:v>0.6666666666666666</x:v>
      </x:c>
    </x:row>
    <x:row r="231">
      <x:c r="A231" s="107" t="str">
        <x:v>Roman Wilson</x:v>
      </x:c>
      <x:c r="B231" s="108" t="str">
        <x:v>WR</x:v>
      </x:c>
      <x:c r="C231" s="108" t="str">
        <x:v>PIT</x:v>
      </x:c>
      <x:c r="D231" s="109" t="n">
        <x:v>9</x:v>
      </x:c>
      <x:c r="E231" s="109" t="n">
        <x:f>IFERROR(VLOOKUP($A231,'Mike FLEX'!$A$6:$N$278,5,FALSE),"")</x:f>
        <x:v>216</x:v>
      </x:c>
      <x:c r="F231" s="110" t="n">
        <x:f>IFERROR(VLOOKUP($A231,'Mike FLEX'!$A$6:$N$278,6,FALSE),"")</x:f>
        <x:v>3.6</x:v>
      </x:c>
      <x:c r="G231" s="111" t="n">
        <x:f>IFERROR(VLOOKUP($A231,'Mike FLEX'!$A$6:$N$278,7,FALSE),"")</x:f>
        <x:v>0</x:v>
      </x:c>
      <x:c r="H231" s="111" t="n">
        <x:f>IFERROR(VLOOKUP($A231,'Mike FLEX'!$A$6:$N$278,8,FALSE),"")</x:f>
        <x:v>0</x:v>
      </x:c>
      <x:c r="I231" s="111" t="n">
        <x:f>IFERROR(VLOOKUP($A231,'Mike FLEX'!$A$6:$N$278,9,FALSE),"")</x:f>
        <x:v>0</x:v>
      </x:c>
      <x:c r="J231" s="111" t="n">
        <x:f>IFERROR(VLOOKUP($A231,'Mike FLEX'!$A$6:$N$278,10,FALSE),"")</x:f>
        <x:v>23</x:v>
      </x:c>
      <x:c r="K231" s="111" t="n">
        <x:f>IFERROR(VLOOKUP($A231,'Mike FLEX'!$A$6:$N$278,11,FALSE),"")</x:f>
        <x:v>298</x:v>
      </x:c>
      <x:c r="L231" s="111" t="n">
        <x:f>IFERROR(VLOOKUP($A231,'Mike FLEX'!$A$6:$N$278,12,FALSE),"")</x:f>
        <x:v>2</x:v>
      </x:c>
      <x:c r="M231" s="111" t="n">
        <x:f>IFERROR(VLOOKUP($A231,'Mike FLEX'!$A$6:$N$278,13,FALSE),"")</x:f>
        <x:v>1</x:v>
      </x:c>
      <x:c r="N231" s="109" t="n">
        <x:f>IFERROR(VLOOKUP($A231,'Andy FLEX'!$A$6:$N$278,5,FALSE),"")</x:f>
        <x:v>219</x:v>
      </x:c>
      <x:c r="O231" s="110" t="n">
        <x:f>IFERROR(VLOOKUP($A231,'Andy FLEX'!$A$6:$N$278,6,FALSE),"")</x:f>
        <x:v>4.1</x:v>
      </x:c>
      <x:c r="P231" s="111" t="n">
        <x:f>IFERROR(VLOOKUP($A231,'Andy FLEX'!$A$6:$N$278,7,FALSE),"")</x:f>
        <x:v>2</x:v>
      </x:c>
      <x:c r="Q231" s="111" t="n">
        <x:f>IFERROR(VLOOKUP($A231,'Andy FLEX'!$A$6:$N$278,8,FALSE),"")</x:f>
        <x:v>14</x:v>
      </x:c>
      <x:c r="R231" s="111" t="n">
        <x:f>IFERROR(VLOOKUP($A231,'Andy FLEX'!$A$6:$N$278,9,FALSE),"")</x:f>
        <x:v>0</x:v>
      </x:c>
      <x:c r="S231" s="111" t="n">
        <x:f>IFERROR(VLOOKUP($A231,'Andy FLEX'!$A$6:$N$278,10,FALSE),"")</x:f>
        <x:v>25</x:v>
      </x:c>
      <x:c r="T231" s="111" t="n">
        <x:f>IFERROR(VLOOKUP($A231,'Andy FLEX'!$A$6:$N$278,11,FALSE),"")</x:f>
        <x:v>310</x:v>
      </x:c>
      <x:c r="U231" s="111" t="n">
        <x:f>IFERROR(VLOOKUP($A231,'Andy FLEX'!$A$6:$N$278,12,FALSE),"")</x:f>
        <x:v>2</x:v>
      </x:c>
      <x:c r="V231" s="111" t="n">
        <x:f>IFERROR(VLOOKUP($A231,'Andy FLEX'!$A$6:$N$278,13,FALSE),"")</x:f>
        <x:v>0</x:v>
      </x:c>
      <x:c r="W231" s="109" t="n">
        <x:f>IFERROR(VLOOKUP($A231,'Jason FLEX'!$A$6:$N$268,5,FALSE),"")</x:f>
        <x:v>233</x:v>
      </x:c>
      <x:c r="X231" s="110" t="n">
        <x:f>IFERROR(VLOOKUP($A231,'Jason FLEX'!$A$6:$N$268,6,FALSE),"")</x:f>
        <x:v>3</x:v>
      </x:c>
      <x:c r="Y231" s="111" t="n">
        <x:f>IFERROR(VLOOKUP($A231,'Jason FLEX'!$A$6:$N$268,7,FALSE),"")</x:f>
        <x:v>3</x:v>
      </x:c>
      <x:c r="Z231" s="111" t="n">
        <x:f>IFERROR(VLOOKUP($A231,'Jason FLEX'!$A$6:$N$268,8,FALSE),"")</x:f>
        <x:v>15</x:v>
      </x:c>
      <x:c r="AA231" s="111" t="n">
        <x:f>IFERROR(VLOOKUP($A231,'Jason FLEX'!$A$6:$N$268,9,FALSE),"")</x:f>
        <x:v>0</x:v>
      </x:c>
      <x:c r="AB231" s="111" t="n">
        <x:f>IFERROR(VLOOKUP($A231,'Jason FLEX'!$A$6:$N$268,10,FALSE),"")</x:f>
        <x:v>18</x:v>
      </x:c>
      <x:c r="AC231" s="111" t="n">
        <x:f>IFERROR(VLOOKUP($A231,'Jason FLEX'!$A$6:$N$268,11,FALSE),"")</x:f>
        <x:v>225</x:v>
      </x:c>
      <x:c r="AD231" s="111" t="n">
        <x:f>IFERROR(VLOOKUP($A231,'Jason FLEX'!$A$6:$N$268,12,FALSE),"")</x:f>
        <x:v>2</x:v>
      </x:c>
      <x:c r="AE231" s="111" t="n">
        <x:f>IFERROR(VLOOKUP($A231,'Jason FLEX'!$A$6:$N$268,13,FALSE),"")</x:f>
        <x:v>0</x:v>
      </x:c>
      <x:c r="AF231" s="110" t="n">
        <x:f>IF(COUNT(E231,N231,W231)=0,"",AVERAGE(E231,N231,W231))</x:f>
        <x:v>222.66666666666666</x:v>
      </x:c>
      <x:c r="AG231" s="110" t="n">
        <x:f>IF(COUNT(E231,N231,W231)=0,"",MAX(E231,N231,W231)-MIN(E231,N231,W231))</x:f>
        <x:v>17</x:v>
      </x:c>
      <x:c r="AH231" s="110" t="n">
        <x:f>IF(COUNT(F231,O231,X231)=0,"",AVERAGE(F231,O231,X231))</x:f>
        <x:v>3.5666666666666664</x:v>
      </x:c>
      <x:c r="AI231" s="112" t="n">
        <x:f>IF(COUNT(G231,P231,Y231)=0,"",AVERAGE(G231,P231,Y231))</x:f>
        <x:v>1.6666666666666667</x:v>
      </x:c>
      <x:c r="AJ231" s="112" t="n">
        <x:f>IF(COUNT(H231,Q231,Z231)=0,"",AVERAGE(H231,Q231,Z231))</x:f>
        <x:v>9.666666666666666</x:v>
      </x:c>
      <x:c r="AK231" s="112" t="n">
        <x:f>IF(COUNT(I231,R231,AA231)=0,"",AVERAGE(I231,R231,AA231))</x:f>
        <x:v>0</x:v>
      </x:c>
      <x:c r="AL231" s="112" t="n">
        <x:f>IF(COUNT(J231,S231,AB231)=0,"",AVERAGE(J231,S231,AB231))</x:f>
        <x:v>22</x:v>
      </x:c>
      <x:c r="AM231" s="112" t="n">
        <x:f>IF(COUNT(K231,T231,AC231)=0,"",AVERAGE(K231,T231,AC231))</x:f>
        <x:v>277.6666666666667</x:v>
      </x:c>
      <x:c r="AN231" s="112" t="n">
        <x:f>IF(COUNT(L231,U231,AD231)=0,"",AVERAGE(L231,U231,AD231))</x:f>
        <x:v>2</x:v>
      </x:c>
      <x:c r="AO231" s="112" t="n">
        <x:f>IF(COUNT(M231,V231,AE231)=0,"",AVERAGE(M231,V231,AE231))</x:f>
        <x:v>0.3333333333333333</x:v>
      </x:c>
    </x:row>
    <x:row r="232">
      <x:c r="A232" s="107" t="str">
        <x:v>Kaelon Black</x:v>
      </x:c>
      <x:c r="B232" s="108" t="str">
        <x:v>RB</x:v>
      </x:c>
      <x:c r="C232" s="108" t="str">
        <x:v>SF</x:v>
      </x:c>
      <x:c r="D232" s="109" t="n">
        <x:v>8</x:v>
      </x:c>
      <x:c r="E232" s="109" t="n">
        <x:f>IFERROR(VLOOKUP($A232,'Mike FLEX'!$A$6:$N$278,5,FALSE),"")</x:f>
        <x:v>192</x:v>
      </x:c>
      <x:c r="F232" s="110" t="n">
        <x:f>IFERROR(VLOOKUP($A232,'Mike FLEX'!$A$6:$N$278,6,FALSE),"")</x:f>
        <x:v>4.3</x:v>
      </x:c>
      <x:c r="G232" s="111" t="n">
        <x:f>IFERROR(VLOOKUP($A232,'Mike FLEX'!$A$6:$N$278,7,FALSE),"")</x:f>
        <x:v>93</x:v>
      </x:c>
      <x:c r="H232" s="111" t="n">
        <x:f>IFERROR(VLOOKUP($A232,'Mike FLEX'!$A$6:$N$278,8,FALSE),"")</x:f>
        <x:v>401</x:v>
      </x:c>
      <x:c r="I232" s="111" t="n">
        <x:f>IFERROR(VLOOKUP($A232,'Mike FLEX'!$A$6:$N$278,9,FALSE),"")</x:f>
        <x:v>3</x:v>
      </x:c>
      <x:c r="J232" s="111" t="n">
        <x:f>IFERROR(VLOOKUP($A232,'Mike FLEX'!$A$6:$N$278,10,FALSE),"")</x:f>
        <x:v>9</x:v>
      </x:c>
      <x:c r="K232" s="111" t="n">
        <x:f>IFERROR(VLOOKUP($A232,'Mike FLEX'!$A$6:$N$278,11,FALSE),"")</x:f>
        <x:v>60</x:v>
      </x:c>
      <x:c r="L232" s="111" t="n">
        <x:f>IFERROR(VLOOKUP($A232,'Mike FLEX'!$A$6:$N$278,12,FALSE),"")</x:f>
        <x:v>0</x:v>
      </x:c>
      <x:c r="M232" s="111" t="n">
        <x:f>IFERROR(VLOOKUP($A232,'Mike FLEX'!$A$6:$N$278,13,FALSE),"")</x:f>
        <x:v>0</x:v>
      </x:c>
      <x:c r="N232" s="109" t="n">
        <x:f>IFERROR(VLOOKUP($A232,'Andy FLEX'!$A$6:$N$278,5,FALSE),"")</x:f>
        <x:v>248</x:v>
      </x:c>
      <x:c r="O232" s="110" t="n">
        <x:f>IFERROR(VLOOKUP($A232,'Andy FLEX'!$A$6:$N$278,6,FALSE),"")</x:f>
        <x:v>3.1</x:v>
      </x:c>
      <x:c r="P232" s="111" t="n">
        <x:f>IFERROR(VLOOKUP($A232,'Andy FLEX'!$A$6:$N$278,7,FALSE),"")</x:f>
        <x:v>47</x:v>
      </x:c>
      <x:c r="Q232" s="111" t="n">
        <x:f>IFERROR(VLOOKUP($A232,'Andy FLEX'!$A$6:$N$278,8,FALSE),"")</x:f>
        <x:v>194</x:v>
      </x:c>
      <x:c r="R232" s="111" t="n">
        <x:f>IFERROR(VLOOKUP($A232,'Andy FLEX'!$A$6:$N$278,9,FALSE),"")</x:f>
        <x:v>2</x:v>
      </x:c>
      <x:c r="S232" s="111" t="n">
        <x:f>IFERROR(VLOOKUP($A232,'Andy FLEX'!$A$6:$N$278,10,FALSE),"")</x:f>
        <x:v>13</x:v>
      </x:c>
      <x:c r="T232" s="111" t="n">
        <x:f>IFERROR(VLOOKUP($A232,'Andy FLEX'!$A$6:$N$278,11,FALSE),"")</x:f>
        <x:v>100</x:v>
      </x:c>
      <x:c r="U232" s="111" t="n">
        <x:f>IFERROR(VLOOKUP($A232,'Andy FLEX'!$A$6:$N$278,12,FALSE),"")</x:f>
        <x:v>0</x:v>
      </x:c>
      <x:c r="V232" s="111" t="n">
        <x:f>IFERROR(VLOOKUP($A232,'Andy FLEX'!$A$6:$N$278,13,FALSE),"")</x:f>
        <x:v>1</x:v>
      </x:c>
      <x:c r="W232" s="109" t="n">
        <x:f>IFERROR(VLOOKUP($A232,'Jason FLEX'!$A$6:$N$268,5,FALSE),"")</x:f>
        <x:v>229</x:v>
      </x:c>
      <x:c r="X232" s="110" t="n">
        <x:f>IFERROR(VLOOKUP($A232,'Jason FLEX'!$A$6:$N$268,6,FALSE),"")</x:f>
        <x:v>3.2</x:v>
      </x:c>
      <x:c r="Y232" s="111" t="n">
        <x:f>IFERROR(VLOOKUP($A232,'Jason FLEX'!$A$6:$N$268,7,FALSE),"")</x:f>
        <x:v>65</x:v>
      </x:c>
      <x:c r="Z232" s="111" t="n">
        <x:f>IFERROR(VLOOKUP($A232,'Jason FLEX'!$A$6:$N$268,8,FALSE),"")</x:f>
        <x:v>285</x:v>
      </x:c>
      <x:c r="AA232" s="111" t="n">
        <x:f>IFERROR(VLOOKUP($A232,'Jason FLEX'!$A$6:$N$268,9,FALSE),"")</x:f>
        <x:v>3</x:v>
      </x:c>
      <x:c r="AB232" s="111" t="n">
        <x:f>IFERROR(VLOOKUP($A232,'Jason FLEX'!$A$6:$N$268,10,FALSE),"")</x:f>
        <x:v>4</x:v>
      </x:c>
      <x:c r="AC232" s="111" t="n">
        <x:f>IFERROR(VLOOKUP($A232,'Jason FLEX'!$A$6:$N$268,11,FALSE),"")</x:f>
        <x:v>26</x:v>
      </x:c>
      <x:c r="AD232" s="111" t="n">
        <x:f>IFERROR(VLOOKUP($A232,'Jason FLEX'!$A$6:$N$268,12,FALSE),"")</x:f>
        <x:v>0</x:v>
      </x:c>
      <x:c r="AE232" s="111" t="n">
        <x:f>IFERROR(VLOOKUP($A232,'Jason FLEX'!$A$6:$N$268,13,FALSE),"")</x:f>
        <x:v>0</x:v>
      </x:c>
      <x:c r="AF232" s="110" t="n">
        <x:f>IF(COUNT(E232,N232,W232)=0,"",AVERAGE(E232,N232,W232))</x:f>
        <x:v>223</x:v>
      </x:c>
      <x:c r="AG232" s="110" t="n">
        <x:f>IF(COUNT(E232,N232,W232)=0,"",MAX(E232,N232,W232)-MIN(E232,N232,W232))</x:f>
        <x:v>56</x:v>
      </x:c>
      <x:c r="AH232" s="110" t="n">
        <x:f>IF(COUNT(F232,O232,X232)=0,"",AVERAGE(F232,O232,X232))</x:f>
        <x:v>3.5333333333333337</x:v>
      </x:c>
      <x:c r="AI232" s="112" t="n">
        <x:f>IF(COUNT(G232,P232,Y232)=0,"",AVERAGE(G232,P232,Y232))</x:f>
        <x:v>68.33333333333333</x:v>
      </x:c>
      <x:c r="AJ232" s="112" t="n">
        <x:f>IF(COUNT(H232,Q232,Z232)=0,"",AVERAGE(H232,Q232,Z232))</x:f>
        <x:v>293.3333333333333</x:v>
      </x:c>
      <x:c r="AK232" s="112" t="n">
        <x:f>IF(COUNT(I232,R232,AA232)=0,"",AVERAGE(I232,R232,AA232))</x:f>
        <x:v>2.6666666666666665</x:v>
      </x:c>
      <x:c r="AL232" s="112" t="n">
        <x:f>IF(COUNT(J232,S232,AB232)=0,"",AVERAGE(J232,S232,AB232))</x:f>
        <x:v>8.666666666666666</x:v>
      </x:c>
      <x:c r="AM232" s="112" t="n">
        <x:f>IF(COUNT(K232,T232,AC232)=0,"",AVERAGE(K232,T232,AC232))</x:f>
        <x:v>62</x:v>
      </x:c>
      <x:c r="AN232" s="112" t="n">
        <x:f>IF(COUNT(L232,U232,AD232)=0,"",AVERAGE(L232,U232,AD232))</x:f>
        <x:v>0</x:v>
      </x:c>
      <x:c r="AO232" s="112" t="n">
        <x:f>IF(COUNT(M232,V232,AE232)=0,"",AVERAGE(M232,V232,AE232))</x:f>
        <x:v>0.3333333333333333</x:v>
      </x:c>
    </x:row>
    <x:row r="233">
      <x:c r="A233" s="107" t="str">
        <x:v>Marvin Mims Jr.</x:v>
      </x:c>
      <x:c r="B233" s="108" t="str">
        <x:v>WR</x:v>
      </x:c>
      <x:c r="C233" s="108" t="str">
        <x:v>DEN</x:v>
      </x:c>
      <x:c r="D233" s="109" t="n">
        <x:v>10</x:v>
      </x:c>
      <x:c r="E233" s="109" t="n">
        <x:f>IFERROR(VLOOKUP($A233,'Mike FLEX'!$A$6:$N$278,5,FALSE),"")</x:f>
        <x:v>215</x:v>
      </x:c>
      <x:c r="F233" s="110" t="n">
        <x:f>IFERROR(VLOOKUP($A233,'Mike FLEX'!$A$6:$N$278,6,FALSE),"")</x:f>
        <x:v>3.6</x:v>
      </x:c>
      <x:c r="G233" s="111" t="n">
        <x:f>IFERROR(VLOOKUP($A233,'Mike FLEX'!$A$6:$N$278,7,FALSE),"")</x:f>
        <x:v>12</x:v>
      </x:c>
      <x:c r="H233" s="111" t="n">
        <x:f>IFERROR(VLOOKUP($A233,'Mike FLEX'!$A$6:$N$278,8,FALSE),"")</x:f>
        <x:v>58</x:v>
      </x:c>
      <x:c r="I233" s="111" t="n">
        <x:f>IFERROR(VLOOKUP($A233,'Mike FLEX'!$A$6:$N$278,9,FALSE),"")</x:f>
        <x:v>1</x:v>
      </x:c>
      <x:c r="J233" s="111" t="n">
        <x:f>IFERROR(VLOOKUP($A233,'Mike FLEX'!$A$6:$N$278,10,FALSE),"")</x:f>
        <x:v>22</x:v>
      </x:c>
      <x:c r="K233" s="111" t="n">
        <x:f>IFERROR(VLOOKUP($A233,'Mike FLEX'!$A$6:$N$278,11,FALSE),"")</x:f>
        <x:v>256</x:v>
      </x:c>
      <x:c r="L233" s="111" t="n">
        <x:f>IFERROR(VLOOKUP($A233,'Mike FLEX'!$A$6:$N$278,12,FALSE),"")</x:f>
        <x:v>1</x:v>
      </x:c>
      <x:c r="M233" s="111" t="n">
        <x:f>IFERROR(VLOOKUP($A233,'Mike FLEX'!$A$6:$N$278,13,FALSE),"")</x:f>
        <x:v>1</x:v>
      </x:c>
      <x:c r="N233" s="109" t="n">
        <x:f>IFERROR(VLOOKUP($A233,'Andy FLEX'!$A$6:$N$278,5,FALSE),"")</x:f>
        <x:v>205</x:v>
      </x:c>
      <x:c r="O233" s="110" t="n">
        <x:f>IFERROR(VLOOKUP($A233,'Andy FLEX'!$A$6:$N$278,6,FALSE),"")</x:f>
        <x:v>4.6</x:v>
      </x:c>
      <x:c r="P233" s="111" t="n">
        <x:f>IFERROR(VLOOKUP($A233,'Andy FLEX'!$A$6:$N$278,7,FALSE),"")</x:f>
        <x:v>10</x:v>
      </x:c>
      <x:c r="Q233" s="111" t="n">
        <x:f>IFERROR(VLOOKUP($A233,'Andy FLEX'!$A$6:$N$278,8,FALSE),"")</x:f>
        <x:v>69</x:v>
      </x:c>
      <x:c r="R233" s="111" t="n">
        <x:f>IFERROR(VLOOKUP($A233,'Andy FLEX'!$A$6:$N$278,9,FALSE),"")</x:f>
        <x:v>1</x:v>
      </x:c>
      <x:c r="S233" s="111" t="n">
        <x:f>IFERROR(VLOOKUP($A233,'Andy FLEX'!$A$6:$N$278,10,FALSE),"")</x:f>
        <x:v>24</x:v>
      </x:c>
      <x:c r="T233" s="111" t="n">
        <x:f>IFERROR(VLOOKUP($A233,'Andy FLEX'!$A$6:$N$278,11,FALSE),"")</x:f>
        <x:v>340</x:v>
      </x:c>
      <x:c r="U233" s="111" t="n">
        <x:f>IFERROR(VLOOKUP($A233,'Andy FLEX'!$A$6:$N$278,12,FALSE),"")</x:f>
        <x:v>2</x:v>
      </x:c>
      <x:c r="V233" s="111" t="n">
        <x:f>IFERROR(VLOOKUP($A233,'Andy FLEX'!$A$6:$N$278,13,FALSE),"")</x:f>
        <x:v>1</x:v>
      </x:c>
      <x:c r="W233" s="109" t="n">
        <x:f>IFERROR(VLOOKUP($A233,'Jason FLEX'!$A$6:$N$268,5,FALSE),"")</x:f>
        <x:v>249</x:v>
      </x:c>
      <x:c r="X233" s="110" t="n">
        <x:f>IFERROR(VLOOKUP($A233,'Jason FLEX'!$A$6:$N$268,6,FALSE),"")</x:f>
        <x:v>2.2</x:v>
      </x:c>
      <x:c r="Y233" s="111" t="n">
        <x:f>IFERROR(VLOOKUP($A233,'Jason FLEX'!$A$6:$N$268,7,FALSE),"")</x:f>
        <x:v>3</x:v>
      </x:c>
      <x:c r="Z233" s="111" t="n">
        <x:f>IFERROR(VLOOKUP($A233,'Jason FLEX'!$A$6:$N$268,8,FALSE),"")</x:f>
        <x:v>20</x:v>
      </x:c>
      <x:c r="AA233" s="111" t="n">
        <x:f>IFERROR(VLOOKUP($A233,'Jason FLEX'!$A$6:$N$268,9,FALSE),"")</x:f>
        <x:v>0</x:v>
      </x:c>
      <x:c r="AB233" s="111" t="n">
        <x:f>IFERROR(VLOOKUP($A233,'Jason FLEX'!$A$6:$N$268,10,FALSE),"")</x:f>
        <x:v>16</x:v>
      </x:c>
      <x:c r="AC233" s="111" t="n">
        <x:f>IFERROR(VLOOKUP($A233,'Jason FLEX'!$A$6:$N$268,11,FALSE),"")</x:f>
        <x:v>150</x:v>
      </x:c>
      <x:c r="AD233" s="111" t="n">
        <x:f>IFERROR(VLOOKUP($A233,'Jason FLEX'!$A$6:$N$268,12,FALSE),"")</x:f>
        <x:v>1</x:v>
      </x:c>
      <x:c r="AE233" s="111" t="n">
        <x:f>IFERROR(VLOOKUP($A233,'Jason FLEX'!$A$6:$N$268,13,FALSE),"")</x:f>
        <x:v>1</x:v>
      </x:c>
      <x:c r="AF233" s="110" t="n">
        <x:f>IF(COUNT(E233,N233,W233)=0,"",AVERAGE(E233,N233,W233))</x:f>
        <x:v>223</x:v>
      </x:c>
      <x:c r="AG233" s="110" t="n">
        <x:f>IF(COUNT(E233,N233,W233)=0,"",MAX(E233,N233,W233)-MIN(E233,N233,W233))</x:f>
        <x:v>44</x:v>
      </x:c>
      <x:c r="AH233" s="110" t="n">
        <x:f>IF(COUNT(F233,O233,X233)=0,"",AVERAGE(F233,O233,X233))</x:f>
        <x:v>3.4666666666666663</x:v>
      </x:c>
      <x:c r="AI233" s="112" t="n">
        <x:f>IF(COUNT(G233,P233,Y233)=0,"",AVERAGE(G233,P233,Y233))</x:f>
        <x:v>8.333333333333334</x:v>
      </x:c>
      <x:c r="AJ233" s="112" t="n">
        <x:f>IF(COUNT(H233,Q233,Z233)=0,"",AVERAGE(H233,Q233,Z233))</x:f>
        <x:v>49</x:v>
      </x:c>
      <x:c r="AK233" s="112" t="n">
        <x:f>IF(COUNT(I233,R233,AA233)=0,"",AVERAGE(I233,R233,AA233))</x:f>
        <x:v>0.6666666666666666</x:v>
      </x:c>
      <x:c r="AL233" s="112" t="n">
        <x:f>IF(COUNT(J233,S233,AB233)=0,"",AVERAGE(J233,S233,AB233))</x:f>
        <x:v>20.666666666666668</x:v>
      </x:c>
      <x:c r="AM233" s="112" t="n">
        <x:f>IF(COUNT(K233,T233,AC233)=0,"",AVERAGE(K233,T233,AC233))</x:f>
        <x:v>248.66666666666666</x:v>
      </x:c>
      <x:c r="AN233" s="112" t="n">
        <x:f>IF(COUNT(L233,U233,AD233)=0,"",AVERAGE(L233,U233,AD233))</x:f>
        <x:v>1.3333333333333333</x:v>
      </x:c>
      <x:c r="AO233" s="112" t="n">
        <x:f>IF(COUNT(M233,V233,AE233)=0,"",AVERAGE(M233,V233,AE233))</x:f>
        <x:v>1</x:v>
      </x:c>
    </x:row>
    <x:row r="234">
      <x:c r="A234" s="107" t="str">
        <x:v>Olamide Zaccheaus</x:v>
      </x:c>
      <x:c r="B234" s="108" t="str">
        <x:v>WR</x:v>
      </x:c>
      <x:c r="C234" s="108" t="str">
        <x:v>ATL</x:v>
      </x:c>
      <x:c r="D234" s="109" t="n">
        <x:v>11</x:v>
      </x:c>
      <x:c r="E234" s="109" t="n">
        <x:f>IFERROR(VLOOKUP($A234,'Mike FLEX'!$A$6:$N$278,5,FALSE),"")</x:f>
        <x:v>250</x:v>
      </x:c>
      <x:c r="F234" s="110" t="n">
        <x:f>IFERROR(VLOOKUP($A234,'Mike FLEX'!$A$6:$N$278,6,FALSE),"")</x:f>
        <x:v>2</x:v>
      </x:c>
      <x:c r="G234" s="111" t="n">
        <x:f>IFERROR(VLOOKUP($A234,'Mike FLEX'!$A$6:$N$278,7,FALSE),"")</x:f>
        <x:v>2</x:v>
      </x:c>
      <x:c r="H234" s="111" t="n">
        <x:f>IFERROR(VLOOKUP($A234,'Mike FLEX'!$A$6:$N$278,8,FALSE),"")</x:f>
        <x:v>14</x:v>
      </x:c>
      <x:c r="I234" s="111" t="n">
        <x:f>IFERROR(VLOOKUP($A234,'Mike FLEX'!$A$6:$N$278,9,FALSE),"")</x:f>
        <x:v>0</x:v>
      </x:c>
      <x:c r="J234" s="111" t="n">
        <x:f>IFERROR(VLOOKUP($A234,'Mike FLEX'!$A$6:$N$278,10,FALSE),"")</x:f>
        <x:v>13</x:v>
      </x:c>
      <x:c r="K234" s="111" t="n">
        <x:f>IFERROR(VLOOKUP($A234,'Mike FLEX'!$A$6:$N$278,11,FALSE),"")</x:f>
        <x:v>143</x:v>
      </x:c>
      <x:c r="L234" s="111" t="n">
        <x:f>IFERROR(VLOOKUP($A234,'Mike FLEX'!$A$6:$N$278,12,FALSE),"")</x:f>
        <x:v>1</x:v>
      </x:c>
      <x:c r="M234" s="111" t="n">
        <x:f>IFERROR(VLOOKUP($A234,'Mike FLEX'!$A$6:$N$278,13,FALSE),"")</x:f>
        <x:v>0</x:v>
      </x:c>
      <x:c r="N234" s="109" t="n">
        <x:f>IFERROR(VLOOKUP($A234,'Andy FLEX'!$A$6:$N$278,5,FALSE),"")</x:f>
        <x:v>198</x:v>
      </x:c>
      <x:c r="O234" s="110" t="n">
        <x:f>IFERROR(VLOOKUP($A234,'Andy FLEX'!$A$6:$N$278,6,FALSE),"")</x:f>
        <x:v>5</x:v>
      </x:c>
      <x:c r="P234" s="111" t="n">
        <x:f>IFERROR(VLOOKUP($A234,'Andy FLEX'!$A$6:$N$278,7,FALSE),"")</x:f>
        <x:v>5</x:v>
      </x:c>
      <x:c r="Q234" s="111" t="n">
        <x:f>IFERROR(VLOOKUP($A234,'Andy FLEX'!$A$6:$N$278,8,FALSE),"")</x:f>
        <x:v>30</x:v>
      </x:c>
      <x:c r="R234" s="111" t="n">
        <x:f>IFERROR(VLOOKUP($A234,'Andy FLEX'!$A$6:$N$278,9,FALSE),"")</x:f>
        <x:v>0</x:v>
      </x:c>
      <x:c r="S234" s="111" t="n">
        <x:f>IFERROR(VLOOKUP($A234,'Andy FLEX'!$A$6:$N$278,10,FALSE),"")</x:f>
        <x:v>36</x:v>
      </x:c>
      <x:c r="T234" s="111" t="n">
        <x:f>IFERROR(VLOOKUP($A234,'Andy FLEX'!$A$6:$N$278,11,FALSE),"")</x:f>
        <x:v>299</x:v>
      </x:c>
      <x:c r="U234" s="111" t="n">
        <x:f>IFERROR(VLOOKUP($A234,'Andy FLEX'!$A$6:$N$278,12,FALSE),"")</x:f>
        <x:v>3</x:v>
      </x:c>
      <x:c r="V234" s="111" t="n">
        <x:f>IFERROR(VLOOKUP($A234,'Andy FLEX'!$A$6:$N$278,13,FALSE),"")</x:f>
        <x:v>0</x:v>
      </x:c>
      <x:c r="W234" s="109" t="str">
        <x:f>IFERROR(VLOOKUP($A234,'Jason FLEX'!$A$6:$N$268,5,FALSE),"")</x:f>
      </x:c>
      <x:c r="X234" s="110" t="str">
        <x:f>IFERROR(VLOOKUP($A234,'Jason FLEX'!$A$6:$N$268,6,FALSE),"")</x:f>
      </x:c>
      <x:c r="Y234" s="111" t="str">
        <x:f>IFERROR(VLOOKUP($A234,'Jason FLEX'!$A$6:$N$268,7,FALSE),"")</x:f>
      </x:c>
      <x:c r="Z234" s="111" t="str">
        <x:f>IFERROR(VLOOKUP($A234,'Jason FLEX'!$A$6:$N$268,8,FALSE),"")</x:f>
      </x:c>
      <x:c r="AA234" s="111" t="str">
        <x:f>IFERROR(VLOOKUP($A234,'Jason FLEX'!$A$6:$N$268,9,FALSE),"")</x:f>
      </x:c>
      <x:c r="AB234" s="111" t="str">
        <x:f>IFERROR(VLOOKUP($A234,'Jason FLEX'!$A$6:$N$268,10,FALSE),"")</x:f>
      </x:c>
      <x:c r="AC234" s="111" t="str">
        <x:f>IFERROR(VLOOKUP($A234,'Jason FLEX'!$A$6:$N$268,11,FALSE),"")</x:f>
      </x:c>
      <x:c r="AD234" s="111" t="str">
        <x:f>IFERROR(VLOOKUP($A234,'Jason FLEX'!$A$6:$N$268,12,FALSE),"")</x:f>
      </x:c>
      <x:c r="AE234" s="111" t="str">
        <x:f>IFERROR(VLOOKUP($A234,'Jason FLEX'!$A$6:$N$268,13,FALSE),"")</x:f>
      </x:c>
      <x:c r="AF234" s="110" t="n">
        <x:f>IF(COUNT(E234,N234,W234)=0,"",AVERAGE(E234,N234,W234))</x:f>
        <x:v>224</x:v>
      </x:c>
      <x:c r="AG234" s="110" t="n">
        <x:f>IF(COUNT(E234,N234,W234)=0,"",MAX(E234,N234,W234)-MIN(E234,N234,W234))</x:f>
        <x:v>52</x:v>
      </x:c>
      <x:c r="AH234" s="110" t="n">
        <x:f>IF(COUNT(F234,O234,X234)=0,"",AVERAGE(F234,O234,X234))</x:f>
        <x:v>3.5</x:v>
      </x:c>
      <x:c r="AI234" s="112" t="n">
        <x:f>IF(COUNT(G234,P234,Y234)=0,"",AVERAGE(G234,P234,Y234))</x:f>
        <x:v>3.5</x:v>
      </x:c>
      <x:c r="AJ234" s="112" t="n">
        <x:f>IF(COUNT(H234,Q234,Z234)=0,"",AVERAGE(H234,Q234,Z234))</x:f>
        <x:v>22</x:v>
      </x:c>
      <x:c r="AK234" s="112" t="n">
        <x:f>IF(COUNT(I234,R234,AA234)=0,"",AVERAGE(I234,R234,AA234))</x:f>
        <x:v>0</x:v>
      </x:c>
      <x:c r="AL234" s="112" t="n">
        <x:f>IF(COUNT(J234,S234,AB234)=0,"",AVERAGE(J234,S234,AB234))</x:f>
        <x:v>24.5</x:v>
      </x:c>
      <x:c r="AM234" s="112" t="n">
        <x:f>IF(COUNT(K234,T234,AC234)=0,"",AVERAGE(K234,T234,AC234))</x:f>
        <x:v>221</x:v>
      </x:c>
      <x:c r="AN234" s="112" t="n">
        <x:f>IF(COUNT(L234,U234,AD234)=0,"",AVERAGE(L234,U234,AD234))</x:f>
        <x:v>2</x:v>
      </x:c>
      <x:c r="AO234" s="112" t="n">
        <x:f>IF(COUNT(M234,V234,AE234)=0,"",AVERAGE(M234,V234,AE234))</x:f>
        <x:v>0</x:v>
      </x:c>
    </x:row>
    <x:row r="235">
      <x:c r="A235" s="107" t="str">
        <x:v>Jerome Ford</x:v>
      </x:c>
      <x:c r="B235" s="108" t="str">
        <x:v>RB</x:v>
      </x:c>
      <x:c r="C235" s="108" t="str">
        <x:v>FA</x:v>
      </x:c>
      <x:c r="D235" s="109"/>
      <x:c r="E235" s="109" t="n">
        <x:f>IFERROR(VLOOKUP($A235,'Mike FLEX'!$A$6:$N$278,5,FALSE),"")</x:f>
        <x:v>189</x:v>
      </x:c>
      <x:c r="F235" s="110" t="n">
        <x:f>IFERROR(VLOOKUP($A235,'Mike FLEX'!$A$6:$N$278,6,FALSE),"")</x:f>
        <x:v>4.4</x:v>
      </x:c>
      <x:c r="G235" s="111" t="n">
        <x:f>IFERROR(VLOOKUP($A235,'Mike FLEX'!$A$6:$N$278,7,FALSE),"")</x:f>
        <x:v>19</x:v>
      </x:c>
      <x:c r="H235" s="111" t="n">
        <x:f>IFERROR(VLOOKUP($A235,'Mike FLEX'!$A$6:$N$278,8,FALSE),"")</x:f>
        <x:v>86</x:v>
      </x:c>
      <x:c r="I235" s="111" t="n">
        <x:f>IFERROR(VLOOKUP($A235,'Mike FLEX'!$A$6:$N$278,9,FALSE),"")</x:f>
        <x:v>1</x:v>
      </x:c>
      <x:c r="J235" s="111" t="n">
        <x:f>IFERROR(VLOOKUP($A235,'Mike FLEX'!$A$6:$N$278,10,FALSE),"")</x:f>
        <x:v>35</x:v>
      </x:c>
      <x:c r="K235" s="111" t="n">
        <x:f>IFERROR(VLOOKUP($A235,'Mike FLEX'!$A$6:$N$278,11,FALSE),"")</x:f>
        <x:v>208</x:v>
      </x:c>
      <x:c r="L235" s="111" t="n">
        <x:f>IFERROR(VLOOKUP($A235,'Mike FLEX'!$A$6:$N$278,12,FALSE),"")</x:f>
        <x:v>1</x:v>
      </x:c>
      <x:c r="M235" s="111" t="n">
        <x:f>IFERROR(VLOOKUP($A235,'Mike FLEX'!$A$6:$N$278,13,FALSE),"")</x:f>
        <x:v>0</x:v>
      </x:c>
      <x:c r="N235" s="109" t="n">
        <x:f>IFERROR(VLOOKUP($A235,'Andy FLEX'!$A$6:$N$278,5,FALSE),"")</x:f>
        <x:v>270</x:v>
      </x:c>
      <x:c r="O235" s="110" t="n">
        <x:f>IFERROR(VLOOKUP($A235,'Andy FLEX'!$A$6:$N$278,6,FALSE),"")</x:f>
        <x:v>2</x:v>
      </x:c>
      <x:c r="P235" s="111" t="n">
        <x:f>IFERROR(VLOOKUP($A235,'Andy FLEX'!$A$6:$N$278,7,FALSE),"")</x:f>
        <x:v>17</x:v>
      </x:c>
      <x:c r="Q235" s="111" t="n">
        <x:f>IFERROR(VLOOKUP($A235,'Andy FLEX'!$A$6:$N$278,8,FALSE),"")</x:f>
        <x:v>67</x:v>
      </x:c>
      <x:c r="R235" s="111" t="n">
        <x:f>IFERROR(VLOOKUP($A235,'Andy FLEX'!$A$6:$N$278,9,FALSE),"")</x:f>
        <x:v>1</x:v>
      </x:c>
      <x:c r="S235" s="111" t="n">
        <x:f>IFERROR(VLOOKUP($A235,'Andy FLEX'!$A$6:$N$278,10,FALSE),"")</x:f>
        <x:v>16</x:v>
      </x:c>
      <x:c r="T235" s="111" t="n">
        <x:f>IFERROR(VLOOKUP($A235,'Andy FLEX'!$A$6:$N$278,11,FALSE),"")</x:f>
        <x:v>71</x:v>
      </x:c>
      <x:c r="U235" s="111" t="n">
        <x:f>IFERROR(VLOOKUP($A235,'Andy FLEX'!$A$6:$N$278,12,FALSE),"")</x:f>
        <x:v>0</x:v>
      </x:c>
      <x:c r="V235" s="111" t="n">
        <x:f>IFERROR(VLOOKUP($A235,'Andy FLEX'!$A$6:$N$278,13,FALSE),"")</x:f>
        <x:v>0</x:v>
      </x:c>
      <x:c r="W235" s="109" t="n">
        <x:f>IFERROR(VLOOKUP($A235,'Jason FLEX'!$A$6:$N$268,5,FALSE),"")</x:f>
        <x:v>214</x:v>
      </x:c>
      <x:c r="X235" s="110" t="n">
        <x:f>IFERROR(VLOOKUP($A235,'Jason FLEX'!$A$6:$N$268,6,FALSE),"")</x:f>
        <x:v>3.9</x:v>
      </x:c>
      <x:c r="Y235" s="111" t="n">
        <x:f>IFERROR(VLOOKUP($A235,'Jason FLEX'!$A$6:$N$268,7,FALSE),"")</x:f>
        <x:v>66</x:v>
      </x:c>
      <x:c r="Z235" s="111" t="n">
        <x:f>IFERROR(VLOOKUP($A235,'Jason FLEX'!$A$6:$N$268,8,FALSE),"")</x:f>
        <x:v>304</x:v>
      </x:c>
      <x:c r="AA235" s="111" t="n">
        <x:f>IFERROR(VLOOKUP($A235,'Jason FLEX'!$A$6:$N$268,9,FALSE),"")</x:f>
        <x:v>3</x:v>
      </x:c>
      <x:c r="AB235" s="111" t="n">
        <x:f>IFERROR(VLOOKUP($A235,'Jason FLEX'!$A$6:$N$268,10,FALSE),"")</x:f>
        <x:v>12</x:v>
      </x:c>
      <x:c r="AC235" s="111" t="n">
        <x:f>IFERROR(VLOOKUP($A235,'Jason FLEX'!$A$6:$N$268,11,FALSE),"")</x:f>
        <x:v>95</x:v>
      </x:c>
      <x:c r="AD235" s="111" t="n">
        <x:f>IFERROR(VLOOKUP($A235,'Jason FLEX'!$A$6:$N$268,12,FALSE),"")</x:f>
        <x:v>0</x:v>
      </x:c>
      <x:c r="AE235" s="111" t="n">
        <x:f>IFERROR(VLOOKUP($A235,'Jason FLEX'!$A$6:$N$268,13,FALSE),"")</x:f>
        <x:v>1</x:v>
      </x:c>
      <x:c r="AF235" s="110" t="n">
        <x:f>IF(COUNT(E235,N235,W235)=0,"",AVERAGE(E235,N235,W235))</x:f>
        <x:v>224.33333333333334</x:v>
      </x:c>
      <x:c r="AG235" s="110" t="n">
        <x:f>IF(COUNT(E235,N235,W235)=0,"",MAX(E235,N235,W235)-MIN(E235,N235,W235))</x:f>
        <x:v>81</x:v>
      </x:c>
      <x:c r="AH235" s="110" t="n">
        <x:f>IF(COUNT(F235,O235,X235)=0,"",AVERAGE(F235,O235,X235))</x:f>
        <x:v>3.4333333333333336</x:v>
      </x:c>
      <x:c r="AI235" s="112" t="n">
        <x:f>IF(COUNT(G235,P235,Y235)=0,"",AVERAGE(G235,P235,Y235))</x:f>
        <x:v>34</x:v>
      </x:c>
      <x:c r="AJ235" s="112" t="n">
        <x:f>IF(COUNT(H235,Q235,Z235)=0,"",AVERAGE(H235,Q235,Z235))</x:f>
        <x:v>152.33333333333334</x:v>
      </x:c>
      <x:c r="AK235" s="112" t="n">
        <x:f>IF(COUNT(I235,R235,AA235)=0,"",AVERAGE(I235,R235,AA235))</x:f>
        <x:v>1.6666666666666667</x:v>
      </x:c>
      <x:c r="AL235" s="112" t="n">
        <x:f>IF(COUNT(J235,S235,AB235)=0,"",AVERAGE(J235,S235,AB235))</x:f>
        <x:v>21</x:v>
      </x:c>
      <x:c r="AM235" s="112" t="n">
        <x:f>IF(COUNT(K235,T235,AC235)=0,"",AVERAGE(K235,T235,AC235))</x:f>
        <x:v>124.66666666666667</x:v>
      </x:c>
      <x:c r="AN235" s="112" t="n">
        <x:f>IF(COUNT(L235,U235,AD235)=0,"",AVERAGE(L235,U235,AD235))</x:f>
        <x:v>0.3333333333333333</x:v>
      </x:c>
      <x:c r="AO235" s="112" t="n">
        <x:f>IF(COUNT(M235,V235,AE235)=0,"",AVERAGE(M235,V235,AE235))</x:f>
        <x:v>0.3333333333333333</x:v>
      </x:c>
    </x:row>
    <x:row r="236">
      <x:c r="A236" s="107" t="str">
        <x:v>Tommy Tremble</x:v>
      </x:c>
      <x:c r="B236" s="108" t="str">
        <x:v>TE</x:v>
      </x:c>
      <x:c r="C236" s="108" t="str">
        <x:v>CAR</x:v>
      </x:c>
      <x:c r="D236" s="109" t="n">
        <x:v>5</x:v>
      </x:c>
      <x:c r="E236" s="109" t="n">
        <x:f>IFERROR(VLOOKUP($A236,'Mike FLEX'!$A$6:$N$278,5,FALSE),"")</x:f>
        <x:v>203</x:v>
      </x:c>
      <x:c r="F236" s="110" t="n">
        <x:f>IFERROR(VLOOKUP($A236,'Mike FLEX'!$A$6:$N$278,6,FALSE),"")</x:f>
        <x:v>4</x:v>
      </x:c>
      <x:c r="G236" s="111" t="n">
        <x:f>IFERROR(VLOOKUP($A236,'Mike FLEX'!$A$6:$N$278,7,FALSE),"")</x:f>
        <x:v>0</x:v>
      </x:c>
      <x:c r="H236" s="111" t="n">
        <x:f>IFERROR(VLOOKUP($A236,'Mike FLEX'!$A$6:$N$278,8,FALSE),"")</x:f>
        <x:v>0</x:v>
      </x:c>
      <x:c r="I236" s="111" t="n">
        <x:f>IFERROR(VLOOKUP($A236,'Mike FLEX'!$A$6:$N$278,9,FALSE),"")</x:f>
        <x:v>0</x:v>
      </x:c>
      <x:c r="J236" s="111" t="n">
        <x:f>IFERROR(VLOOKUP($A236,'Mike FLEX'!$A$6:$N$278,10,FALSE),"")</x:f>
        <x:v>28</x:v>
      </x:c>
      <x:c r="K236" s="111" t="n">
        <x:f>IFERROR(VLOOKUP($A236,'Mike FLEX'!$A$6:$N$278,11,FALSE),"")</x:f>
        <x:v>260</x:v>
      </x:c>
      <x:c r="L236" s="111" t="n">
        <x:f>IFERROR(VLOOKUP($A236,'Mike FLEX'!$A$6:$N$278,12,FALSE),"")</x:f>
        <x:v>2</x:v>
      </x:c>
      <x:c r="M236" s="111" t="n">
        <x:f>IFERROR(VLOOKUP($A236,'Mike FLEX'!$A$6:$N$278,13,FALSE),"")</x:f>
        <x:v>0</x:v>
      </x:c>
      <x:c r="N236" s="109" t="n">
        <x:f>IFERROR(VLOOKUP($A236,'Andy FLEX'!$A$6:$N$278,5,FALSE),"")</x:f>
        <x:v>249</x:v>
      </x:c>
      <x:c r="O236" s="110" t="n">
        <x:f>IFERROR(VLOOKUP($A236,'Andy FLEX'!$A$6:$N$278,6,FALSE),"")</x:f>
        <x:v>3.1</x:v>
      </x:c>
      <x:c r="P236" s="111" t="n">
        <x:f>IFERROR(VLOOKUP($A236,'Andy FLEX'!$A$6:$N$278,7,FALSE),"")</x:f>
        <x:v>0</x:v>
      </x:c>
      <x:c r="Q236" s="111" t="n">
        <x:f>IFERROR(VLOOKUP($A236,'Andy FLEX'!$A$6:$N$278,8,FALSE),"")</x:f>
        <x:v>0</x:v>
      </x:c>
      <x:c r="R236" s="111" t="n">
        <x:f>IFERROR(VLOOKUP($A236,'Andy FLEX'!$A$6:$N$278,9,FALSE),"")</x:f>
        <x:v>0</x:v>
      </x:c>
      <x:c r="S236" s="111" t="n">
        <x:f>IFERROR(VLOOKUP($A236,'Andy FLEX'!$A$6:$N$278,10,FALSE),"")</x:f>
        <x:v>21</x:v>
      </x:c>
      <x:c r="T236" s="111" t="n">
        <x:f>IFERROR(VLOOKUP($A236,'Andy FLEX'!$A$6:$N$278,11,FALSE),"")</x:f>
        <x:v>217</x:v>
      </x:c>
      <x:c r="U236" s="111" t="n">
        <x:f>IFERROR(VLOOKUP($A236,'Andy FLEX'!$A$6:$N$278,12,FALSE),"")</x:f>
        <x:v>2</x:v>
      </x:c>
      <x:c r="V236" s="111" t="n">
        <x:f>IFERROR(VLOOKUP($A236,'Andy FLEX'!$A$6:$N$278,13,FALSE),"")</x:f>
        <x:v>0</x:v>
      </x:c>
      <x:c r="W236" s="109" t="str">
        <x:f>IFERROR(VLOOKUP($A236,'Jason FLEX'!$A$6:$N$268,5,FALSE),"")</x:f>
      </x:c>
      <x:c r="X236" s="110" t="str">
        <x:f>IFERROR(VLOOKUP($A236,'Jason FLEX'!$A$6:$N$268,6,FALSE),"")</x:f>
      </x:c>
      <x:c r="Y236" s="111" t="str">
        <x:f>IFERROR(VLOOKUP($A236,'Jason FLEX'!$A$6:$N$268,7,FALSE),"")</x:f>
      </x:c>
      <x:c r="Z236" s="111" t="str">
        <x:f>IFERROR(VLOOKUP($A236,'Jason FLEX'!$A$6:$N$268,8,FALSE),"")</x:f>
      </x:c>
      <x:c r="AA236" s="111" t="str">
        <x:f>IFERROR(VLOOKUP($A236,'Jason FLEX'!$A$6:$N$268,9,FALSE),"")</x:f>
      </x:c>
      <x:c r="AB236" s="111" t="str">
        <x:f>IFERROR(VLOOKUP($A236,'Jason FLEX'!$A$6:$N$268,10,FALSE),"")</x:f>
      </x:c>
      <x:c r="AC236" s="111" t="str">
        <x:f>IFERROR(VLOOKUP($A236,'Jason FLEX'!$A$6:$N$268,11,FALSE),"")</x:f>
      </x:c>
      <x:c r="AD236" s="111" t="str">
        <x:f>IFERROR(VLOOKUP($A236,'Jason FLEX'!$A$6:$N$268,12,FALSE),"")</x:f>
      </x:c>
      <x:c r="AE236" s="111" t="str">
        <x:f>IFERROR(VLOOKUP($A236,'Jason FLEX'!$A$6:$N$268,13,FALSE),"")</x:f>
      </x:c>
      <x:c r="AF236" s="110" t="n">
        <x:f>IF(COUNT(E236,N236,W236)=0,"",AVERAGE(E236,N236,W236))</x:f>
        <x:v>226</x:v>
      </x:c>
      <x:c r="AG236" s="110" t="n">
        <x:f>IF(COUNT(E236,N236,W236)=0,"",MAX(E236,N236,W236)-MIN(E236,N236,W236))</x:f>
        <x:v>46</x:v>
      </x:c>
      <x:c r="AH236" s="110" t="n">
        <x:f>IF(COUNT(F236,O236,X236)=0,"",AVERAGE(F236,O236,X236))</x:f>
        <x:v>3.55</x:v>
      </x:c>
      <x:c r="AI236" s="112" t="n">
        <x:f>IF(COUNT(G236,P236,Y236)=0,"",AVERAGE(G236,P236,Y236))</x:f>
        <x:v>0</x:v>
      </x:c>
      <x:c r="AJ236" s="112" t="n">
        <x:f>IF(COUNT(H236,Q236,Z236)=0,"",AVERAGE(H236,Q236,Z236))</x:f>
        <x:v>0</x:v>
      </x:c>
      <x:c r="AK236" s="112" t="n">
        <x:f>IF(COUNT(I236,R236,AA236)=0,"",AVERAGE(I236,R236,AA236))</x:f>
        <x:v>0</x:v>
      </x:c>
      <x:c r="AL236" s="112" t="n">
        <x:f>IF(COUNT(J236,S236,AB236)=0,"",AVERAGE(J236,S236,AB236))</x:f>
        <x:v>24.5</x:v>
      </x:c>
      <x:c r="AM236" s="112" t="n">
        <x:f>IF(COUNT(K236,T236,AC236)=0,"",AVERAGE(K236,T236,AC236))</x:f>
        <x:v>238.5</x:v>
      </x:c>
      <x:c r="AN236" s="112" t="n">
        <x:f>IF(COUNT(L236,U236,AD236)=0,"",AVERAGE(L236,U236,AD236))</x:f>
        <x:v>2</x:v>
      </x:c>
      <x:c r="AO236" s="112" t="n">
        <x:f>IF(COUNT(M236,V236,AE236)=0,"",AVERAGE(M236,V236,AE236))</x:f>
        <x:v>0</x:v>
      </x:c>
    </x:row>
    <x:row r="237">
      <x:c r="A237" s="107" t="str">
        <x:v>Mack Hollins</x:v>
      </x:c>
      <x:c r="B237" s="108" t="str">
        <x:v>WR</x:v>
      </x:c>
      <x:c r="C237" s="108" t="str">
        <x:v>NE</x:v>
      </x:c>
      <x:c r="D237" s="109" t="n">
        <x:v>11</x:v>
      </x:c>
      <x:c r="E237" s="109" t="n">
        <x:f>IFERROR(VLOOKUP($A237,'Mike FLEX'!$A$6:$N$278,5,FALSE),"")</x:f>
        <x:v>243</x:v>
      </x:c>
      <x:c r="F237" s="110" t="n">
        <x:f>IFERROR(VLOOKUP($A237,'Mike FLEX'!$A$6:$N$278,6,FALSE),"")</x:f>
        <x:v>2.4</x:v>
      </x:c>
      <x:c r="G237" s="111" t="n">
        <x:f>IFERROR(VLOOKUP($A237,'Mike FLEX'!$A$6:$N$278,7,FALSE),"")</x:f>
        <x:v>0</x:v>
      </x:c>
      <x:c r="H237" s="111" t="n">
        <x:f>IFERROR(VLOOKUP($A237,'Mike FLEX'!$A$6:$N$278,8,FALSE),"")</x:f>
        <x:v>0</x:v>
      </x:c>
      <x:c r="I237" s="111" t="n">
        <x:f>IFERROR(VLOOKUP($A237,'Mike FLEX'!$A$6:$N$278,9,FALSE),"")</x:f>
        <x:v>0</x:v>
      </x:c>
      <x:c r="J237" s="111" t="n">
        <x:f>IFERROR(VLOOKUP($A237,'Mike FLEX'!$A$6:$N$278,10,FALSE),"")</x:f>
        <x:v>15</x:v>
      </x:c>
      <x:c r="K237" s="111" t="n">
        <x:f>IFERROR(VLOOKUP($A237,'Mike FLEX'!$A$6:$N$278,11,FALSE),"")</x:f>
        <x:v>184</x:v>
      </x:c>
      <x:c r="L237" s="111" t="n">
        <x:f>IFERROR(VLOOKUP($A237,'Mike FLEX'!$A$6:$N$278,12,FALSE),"")</x:f>
        <x:v>1</x:v>
      </x:c>
      <x:c r="M237" s="111" t="n">
        <x:f>IFERROR(VLOOKUP($A237,'Mike FLEX'!$A$6:$N$278,13,FALSE),"")</x:f>
        <x:v>0</x:v>
      </x:c>
      <x:c r="N237" s="109" t="n">
        <x:f>IFERROR(VLOOKUP($A237,'Andy FLEX'!$A$6:$N$278,5,FALSE),"")</x:f>
        <x:v>203</x:v>
      </x:c>
      <x:c r="O237" s="110" t="n">
        <x:f>IFERROR(VLOOKUP($A237,'Andy FLEX'!$A$6:$N$278,6,FALSE),"")</x:f>
        <x:v>4.7</x:v>
      </x:c>
      <x:c r="P237" s="111" t="n">
        <x:f>IFERROR(VLOOKUP($A237,'Andy FLEX'!$A$6:$N$278,7,FALSE),"")</x:f>
        <x:v>2</x:v>
      </x:c>
      <x:c r="Q237" s="111" t="n">
        <x:f>IFERROR(VLOOKUP($A237,'Andy FLEX'!$A$6:$N$278,8,FALSE),"")</x:f>
        <x:v>8</x:v>
      </x:c>
      <x:c r="R237" s="111" t="n">
        <x:f>IFERROR(VLOOKUP($A237,'Andy FLEX'!$A$6:$N$278,9,FALSE),"")</x:f>
        <x:v>0</x:v>
      </x:c>
      <x:c r="S237" s="111" t="n">
        <x:f>IFERROR(VLOOKUP($A237,'Andy FLEX'!$A$6:$N$278,10,FALSE),"")</x:f>
        <x:v>34</x:v>
      </x:c>
      <x:c r="T237" s="111" t="n">
        <x:f>IFERROR(VLOOKUP($A237,'Andy FLEX'!$A$6:$N$278,11,FALSE),"")</x:f>
        <x:v>402</x:v>
      </x:c>
      <x:c r="U237" s="111" t="n">
        <x:f>IFERROR(VLOOKUP($A237,'Andy FLEX'!$A$6:$N$278,12,FALSE),"")</x:f>
        <x:v>1</x:v>
      </x:c>
      <x:c r="V237" s="111" t="n">
        <x:f>IFERROR(VLOOKUP($A237,'Andy FLEX'!$A$6:$N$278,13,FALSE),"")</x:f>
        <x:v>0</x:v>
      </x:c>
      <x:c r="W237" s="109" t="n">
        <x:f>IFERROR(VLOOKUP($A237,'Jason FLEX'!$A$6:$N$268,5,FALSE),"")</x:f>
        <x:v>234</x:v>
      </x:c>
      <x:c r="X237" s="110" t="n">
        <x:f>IFERROR(VLOOKUP($A237,'Jason FLEX'!$A$6:$N$268,6,FALSE),"")</x:f>
        <x:v>3</x:v>
      </x:c>
      <x:c r="Y237" s="111" t="n">
        <x:f>IFERROR(VLOOKUP($A237,'Jason FLEX'!$A$6:$N$268,7,FALSE),"")</x:f>
        <x:v>1</x:v>
      </x:c>
      <x:c r="Z237" s="111" t="n">
        <x:f>IFERROR(VLOOKUP($A237,'Jason FLEX'!$A$6:$N$268,8,FALSE),"")</x:f>
        <x:v>4</x:v>
      </x:c>
      <x:c r="AA237" s="111" t="n">
        <x:f>IFERROR(VLOOKUP($A237,'Jason FLEX'!$A$6:$N$268,9,FALSE),"")</x:f>
        <x:v>0</x:v>
      </x:c>
      <x:c r="AB237" s="111" t="n">
        <x:f>IFERROR(VLOOKUP($A237,'Jason FLEX'!$A$6:$N$268,10,FALSE),"")</x:f>
        <x:v>17</x:v>
      </x:c>
      <x:c r="AC237" s="111" t="n">
        <x:f>IFERROR(VLOOKUP($A237,'Jason FLEX'!$A$6:$N$268,11,FALSE),"")</x:f>
        <x:v>207</x:v>
      </x:c>
      <x:c r="AD237" s="111" t="n">
        <x:f>IFERROR(VLOOKUP($A237,'Jason FLEX'!$A$6:$N$268,12,FALSE),"")</x:f>
        <x:v>2</x:v>
      </x:c>
      <x:c r="AE237" s="111" t="n">
        <x:f>IFERROR(VLOOKUP($A237,'Jason FLEX'!$A$6:$N$268,13,FALSE),"")</x:f>
        <x:v>0</x:v>
      </x:c>
      <x:c r="AF237" s="110" t="n">
        <x:f>IF(COUNT(E237,N237,W237)=0,"",AVERAGE(E237,N237,W237))</x:f>
        <x:v>226.66666666666666</x:v>
      </x:c>
      <x:c r="AG237" s="110" t="n">
        <x:f>IF(COUNT(E237,N237,W237)=0,"",MAX(E237,N237,W237)-MIN(E237,N237,W237))</x:f>
        <x:v>40</x:v>
      </x:c>
      <x:c r="AH237" s="110" t="n">
        <x:f>IF(COUNT(F237,O237,X237)=0,"",AVERAGE(F237,O237,X237))</x:f>
        <x:v>3.3666666666666667</x:v>
      </x:c>
      <x:c r="AI237" s="112" t="n">
        <x:f>IF(COUNT(G237,P237,Y237)=0,"",AVERAGE(G237,P237,Y237))</x:f>
        <x:v>1</x:v>
      </x:c>
      <x:c r="AJ237" s="112" t="n">
        <x:f>IF(COUNT(H237,Q237,Z237)=0,"",AVERAGE(H237,Q237,Z237))</x:f>
        <x:v>4</x:v>
      </x:c>
      <x:c r="AK237" s="112" t="n">
        <x:f>IF(COUNT(I237,R237,AA237)=0,"",AVERAGE(I237,R237,AA237))</x:f>
        <x:v>0</x:v>
      </x:c>
      <x:c r="AL237" s="112" t="n">
        <x:f>IF(COUNT(J237,S237,AB237)=0,"",AVERAGE(J237,S237,AB237))</x:f>
        <x:v>22</x:v>
      </x:c>
      <x:c r="AM237" s="112" t="n">
        <x:f>IF(COUNT(K237,T237,AC237)=0,"",AVERAGE(K237,T237,AC237))</x:f>
        <x:v>264.3333333333333</x:v>
      </x:c>
      <x:c r="AN237" s="112" t="n">
        <x:f>IF(COUNT(L237,U237,AD237)=0,"",AVERAGE(L237,U237,AD237))</x:f>
        <x:v>1.3333333333333333</x:v>
      </x:c>
      <x:c r="AO237" s="112" t="n">
        <x:f>IF(COUNT(M237,V237,AE237)=0,"",AVERAGE(M237,V237,AE237))</x:f>
        <x:v>0</x:v>
      </x:c>
    </x:row>
    <x:row r="238">
      <x:c r="A238" s="107" t="str">
        <x:v>Treylon Burks</x:v>
      </x:c>
      <x:c r="B238" s="108" t="str">
        <x:v>WR</x:v>
      </x:c>
      <x:c r="C238" s="108" t="str">
        <x:v>WAS</x:v>
      </x:c>
      <x:c r="D238" s="109" t="n">
        <x:v>7</x:v>
      </x:c>
      <x:c r="E238" s="109" t="n">
        <x:f>IFERROR(VLOOKUP($A238,'Mike FLEX'!$A$6:$N$278,5,FALSE),"")</x:f>
        <x:v>232</x:v>
      </x:c>
      <x:c r="F238" s="110" t="n">
        <x:f>IFERROR(VLOOKUP($A238,'Mike FLEX'!$A$6:$N$278,6,FALSE),"")</x:f>
        <x:v>2.8</x:v>
      </x:c>
      <x:c r="G238" s="111" t="n">
        <x:f>IFERROR(VLOOKUP($A238,'Mike FLEX'!$A$6:$N$278,7,FALSE),"")</x:f>
        <x:v>0</x:v>
      </x:c>
      <x:c r="H238" s="111" t="n">
        <x:f>IFERROR(VLOOKUP($A238,'Mike FLEX'!$A$6:$N$278,8,FALSE),"")</x:f>
        <x:v>0</x:v>
      </x:c>
      <x:c r="I238" s="111" t="n">
        <x:f>IFERROR(VLOOKUP($A238,'Mike FLEX'!$A$6:$N$278,9,FALSE),"")</x:f>
        <x:v>0</x:v>
      </x:c>
      <x:c r="J238" s="111" t="n">
        <x:f>IFERROR(VLOOKUP($A238,'Mike FLEX'!$A$6:$N$278,10,FALSE),"")</x:f>
        <x:v>18</x:v>
      </x:c>
      <x:c r="K238" s="111" t="n">
        <x:f>IFERROR(VLOOKUP($A238,'Mike FLEX'!$A$6:$N$278,11,FALSE),"")</x:f>
        <x:v>238</x:v>
      </x:c>
      <x:c r="L238" s="111" t="n">
        <x:f>IFERROR(VLOOKUP($A238,'Mike FLEX'!$A$6:$N$278,12,FALSE),"")</x:f>
        <x:v>1</x:v>
      </x:c>
      <x:c r="M238" s="111" t="n">
        <x:f>IFERROR(VLOOKUP($A238,'Mike FLEX'!$A$6:$N$278,13,FALSE),"")</x:f>
        <x:v>0</x:v>
      </x:c>
      <x:c r="N238" s="109" t="n">
        <x:f>IFERROR(VLOOKUP($A238,'Andy FLEX'!$A$6:$N$278,5,FALSE),"")</x:f>
        <x:v>209</x:v>
      </x:c>
      <x:c r="O238" s="110" t="n">
        <x:f>IFERROR(VLOOKUP($A238,'Andy FLEX'!$A$6:$N$278,6,FALSE),"")</x:f>
        <x:v>4.5</x:v>
      </x:c>
      <x:c r="P238" s="111" t="n">
        <x:f>IFERROR(VLOOKUP($A238,'Andy FLEX'!$A$6:$N$278,7,FALSE),"")</x:f>
        <x:v>5</x:v>
      </x:c>
      <x:c r="Q238" s="111" t="n">
        <x:f>IFERROR(VLOOKUP($A238,'Andy FLEX'!$A$6:$N$278,8,FALSE),"")</x:f>
        <x:v>26</x:v>
      </x:c>
      <x:c r="R238" s="111" t="n">
        <x:f>IFERROR(VLOOKUP($A238,'Andy FLEX'!$A$6:$N$278,9,FALSE),"")</x:f>
        <x:v>0</x:v>
      </x:c>
      <x:c r="S238" s="111" t="n">
        <x:f>IFERROR(VLOOKUP($A238,'Andy FLEX'!$A$6:$N$278,10,FALSE),"")</x:f>
        <x:v>27</x:v>
      </x:c>
      <x:c r="T238" s="111" t="n">
        <x:f>IFERROR(VLOOKUP($A238,'Andy FLEX'!$A$6:$N$278,11,FALSE),"")</x:f>
        <x:v>324</x:v>
      </x:c>
      <x:c r="U238" s="111" t="n">
        <x:f>IFERROR(VLOOKUP($A238,'Andy FLEX'!$A$6:$N$278,12,FALSE),"")</x:f>
        <x:v>2</x:v>
      </x:c>
      <x:c r="V238" s="111" t="n">
        <x:f>IFERROR(VLOOKUP($A238,'Andy FLEX'!$A$6:$N$278,13,FALSE),"")</x:f>
        <x:v>0</x:v>
      </x:c>
      <x:c r="W238" s="109" t="n">
        <x:f>IFERROR(VLOOKUP($A238,'Jason FLEX'!$A$6:$N$268,5,FALSE),"")</x:f>
        <x:v>239</x:v>
      </x:c>
      <x:c r="X238" s="110" t="n">
        <x:f>IFERROR(VLOOKUP($A238,'Jason FLEX'!$A$6:$N$268,6,FALSE),"")</x:f>
        <x:v>2.8</x:v>
      </x:c>
      <x:c r="Y238" s="111" t="n">
        <x:f>IFERROR(VLOOKUP($A238,'Jason FLEX'!$A$6:$N$268,7,FALSE),"")</x:f>
        <x:v>0</x:v>
      </x:c>
      <x:c r="Z238" s="111" t="n">
        <x:f>IFERROR(VLOOKUP($A238,'Jason FLEX'!$A$6:$N$268,8,FALSE),"")</x:f>
        <x:v>0</x:v>
      </x:c>
      <x:c r="AA238" s="111" t="n">
        <x:f>IFERROR(VLOOKUP($A238,'Jason FLEX'!$A$6:$N$268,9,FALSE),"")</x:f>
        <x:v>0</x:v>
      </x:c>
      <x:c r="AB238" s="111" t="n">
        <x:f>IFERROR(VLOOKUP($A238,'Jason FLEX'!$A$6:$N$268,10,FALSE),"")</x:f>
        <x:v>14</x:v>
      </x:c>
      <x:c r="AC238" s="111" t="n">
        <x:f>IFERROR(VLOOKUP($A238,'Jason FLEX'!$A$6:$N$268,11,FALSE),"")</x:f>
        <x:v>202</x:v>
      </x:c>
      <x:c r="AD238" s="111" t="n">
        <x:f>IFERROR(VLOOKUP($A238,'Jason FLEX'!$A$6:$N$268,12,FALSE),"")</x:f>
        <x:v>2</x:v>
      </x:c>
      <x:c r="AE238" s="111" t="n">
        <x:f>IFERROR(VLOOKUP($A238,'Jason FLEX'!$A$6:$N$268,13,FALSE),"")</x:f>
        <x:v>0</x:v>
      </x:c>
      <x:c r="AF238" s="110" t="n">
        <x:f>IF(COUNT(E238,N238,W238)=0,"",AVERAGE(E238,N238,W238))</x:f>
        <x:v>226.66666666666666</x:v>
      </x:c>
      <x:c r="AG238" s="110" t="n">
        <x:f>IF(COUNT(E238,N238,W238)=0,"",MAX(E238,N238,W238)-MIN(E238,N238,W238))</x:f>
        <x:v>30</x:v>
      </x:c>
      <x:c r="AH238" s="110" t="n">
        <x:f>IF(COUNT(F238,O238,X238)=0,"",AVERAGE(F238,O238,X238))</x:f>
        <x:v>3.3666666666666667</x:v>
      </x:c>
      <x:c r="AI238" s="112" t="n">
        <x:f>IF(COUNT(G238,P238,Y238)=0,"",AVERAGE(G238,P238,Y238))</x:f>
        <x:v>1.6666666666666667</x:v>
      </x:c>
      <x:c r="AJ238" s="112" t="n">
        <x:f>IF(COUNT(H238,Q238,Z238)=0,"",AVERAGE(H238,Q238,Z238))</x:f>
        <x:v>8.666666666666666</x:v>
      </x:c>
      <x:c r="AK238" s="112" t="n">
        <x:f>IF(COUNT(I238,R238,AA238)=0,"",AVERAGE(I238,R238,AA238))</x:f>
        <x:v>0</x:v>
      </x:c>
      <x:c r="AL238" s="112" t="n">
        <x:f>IF(COUNT(J238,S238,AB238)=0,"",AVERAGE(J238,S238,AB238))</x:f>
        <x:v>19.666666666666668</x:v>
      </x:c>
      <x:c r="AM238" s="112" t="n">
        <x:f>IF(COUNT(K238,T238,AC238)=0,"",AVERAGE(K238,T238,AC238))</x:f>
        <x:v>254.66666666666666</x:v>
      </x:c>
      <x:c r="AN238" s="112" t="n">
        <x:f>IF(COUNT(L238,U238,AD238)=0,"",AVERAGE(L238,U238,AD238))</x:f>
        <x:v>1.6666666666666667</x:v>
      </x:c>
      <x:c r="AO238" s="112" t="n">
        <x:f>IF(COUNT(M238,V238,AE238)=0,"",AVERAGE(M238,V238,AE238))</x:f>
        <x:v>0</x:v>
      </x:c>
    </x:row>
    <x:row r="239">
      <x:c r="A239" s="107" t="str">
        <x:v>Jordan Whittington</x:v>
      </x:c>
      <x:c r="B239" s="108" t="str">
        <x:v>WR</x:v>
      </x:c>
      <x:c r="C239" s="108" t="str">
        <x:v>LAR</x:v>
      </x:c>
      <x:c r="D239" s="109" t="n">
        <x:v>11</x:v>
      </x:c>
      <x:c r="E239" s="109" t="n">
        <x:f>IFERROR(VLOOKUP($A239,'Mike FLEX'!$A$6:$N$278,5,FALSE),"")</x:f>
        <x:v>200</x:v>
      </x:c>
      <x:c r="F239" s="110" t="n">
        <x:f>IFERROR(VLOOKUP($A239,'Mike FLEX'!$A$6:$N$278,6,FALSE),"")</x:f>
        <x:v>4.1</x:v>
      </x:c>
      <x:c r="G239" s="111" t="n">
        <x:f>IFERROR(VLOOKUP($A239,'Mike FLEX'!$A$6:$N$278,7,FALSE),"")</x:f>
        <x:v>3</x:v>
      </x:c>
      <x:c r="H239" s="111" t="n">
        <x:f>IFERROR(VLOOKUP($A239,'Mike FLEX'!$A$6:$N$278,8,FALSE),"")</x:f>
        <x:v>12</x:v>
      </x:c>
      <x:c r="I239" s="111" t="n">
        <x:f>IFERROR(VLOOKUP($A239,'Mike FLEX'!$A$6:$N$278,9,FALSE),"")</x:f>
        <x:v>0</x:v>
      </x:c>
      <x:c r="J239" s="111" t="n">
        <x:f>IFERROR(VLOOKUP($A239,'Mike FLEX'!$A$6:$N$278,10,FALSE),"")</x:f>
        <x:v>28</x:v>
      </x:c>
      <x:c r="K239" s="111" t="n">
        <x:f>IFERROR(VLOOKUP($A239,'Mike FLEX'!$A$6:$N$278,11,FALSE),"")</x:f>
        <x:v>322</x:v>
      </x:c>
      <x:c r="L239" s="111" t="n">
        <x:f>IFERROR(VLOOKUP($A239,'Mike FLEX'!$A$6:$N$278,12,FALSE),"")</x:f>
        <x:v>1</x:v>
      </x:c>
      <x:c r="M239" s="111" t="n">
        <x:f>IFERROR(VLOOKUP($A239,'Mike FLEX'!$A$6:$N$278,13,FALSE),"")</x:f>
        <x:v>0</x:v>
      </x:c>
      <x:c r="N239" s="109" t="n">
        <x:f>IFERROR(VLOOKUP($A239,'Andy FLEX'!$A$6:$N$278,5,FALSE),"")</x:f>
        <x:v>251</x:v>
      </x:c>
      <x:c r="O239" s="110" t="n">
        <x:f>IFERROR(VLOOKUP($A239,'Andy FLEX'!$A$6:$N$278,6,FALSE),"")</x:f>
        <x:v>3</x:v>
      </x:c>
      <x:c r="P239" s="111" t="n">
        <x:f>IFERROR(VLOOKUP($A239,'Andy FLEX'!$A$6:$N$278,7,FALSE),"")</x:f>
        <x:v>8</x:v>
      </x:c>
      <x:c r="Q239" s="111" t="n">
        <x:f>IFERROR(VLOOKUP($A239,'Andy FLEX'!$A$6:$N$278,8,FALSE),"")</x:f>
        <x:v>19</x:v>
      </x:c>
      <x:c r="R239" s="111" t="n">
        <x:f>IFERROR(VLOOKUP($A239,'Andy FLEX'!$A$6:$N$278,9,FALSE),"")</x:f>
        <x:v>0</x:v>
      </x:c>
      <x:c r="S239" s="111" t="n">
        <x:f>IFERROR(VLOOKUP($A239,'Andy FLEX'!$A$6:$N$278,10,FALSE),"")</x:f>
        <x:v>23</x:v>
      </x:c>
      <x:c r="T239" s="111" t="n">
        <x:f>IFERROR(VLOOKUP($A239,'Andy FLEX'!$A$6:$N$278,11,FALSE),"")</x:f>
        <x:v>205</x:v>
      </x:c>
      <x:c r="U239" s="111" t="n">
        <x:f>IFERROR(VLOOKUP($A239,'Andy FLEX'!$A$6:$N$278,12,FALSE),"")</x:f>
        <x:v>1</x:v>
      </x:c>
      <x:c r="V239" s="111" t="n">
        <x:f>IFERROR(VLOOKUP($A239,'Andy FLEX'!$A$6:$N$278,13,FALSE),"")</x:f>
        <x:v>0</x:v>
      </x:c>
      <x:c r="W239" s="109" t="n">
        <x:f>IFERROR(VLOOKUP($A239,'Jason FLEX'!$A$6:$N$268,5,FALSE),"")</x:f>
        <x:v>230</x:v>
      </x:c>
      <x:c r="X239" s="110" t="n">
        <x:f>IFERROR(VLOOKUP($A239,'Jason FLEX'!$A$6:$N$268,6,FALSE),"")</x:f>
        <x:v>3.1</x:v>
      </x:c>
      <x:c r="Y239" s="111" t="n">
        <x:f>IFERROR(VLOOKUP($A239,'Jason FLEX'!$A$6:$N$268,7,FALSE),"")</x:f>
        <x:v>3</x:v>
      </x:c>
      <x:c r="Z239" s="111" t="n">
        <x:f>IFERROR(VLOOKUP($A239,'Jason FLEX'!$A$6:$N$268,8,FALSE),"")</x:f>
        <x:v>15</x:v>
      </x:c>
      <x:c r="AA239" s="111" t="n">
        <x:f>IFERROR(VLOOKUP($A239,'Jason FLEX'!$A$6:$N$268,9,FALSE),"")</x:f>
        <x:v>0</x:v>
      </x:c>
      <x:c r="AB239" s="111" t="n">
        <x:f>IFERROR(VLOOKUP($A239,'Jason FLEX'!$A$6:$N$268,10,FALSE),"")</x:f>
        <x:v>23</x:v>
      </x:c>
      <x:c r="AC239" s="111" t="n">
        <x:f>IFERROR(VLOOKUP($A239,'Jason FLEX'!$A$6:$N$268,11,FALSE),"")</x:f>
        <x:v>220</x:v>
      </x:c>
      <x:c r="AD239" s="111" t="n">
        <x:f>IFERROR(VLOOKUP($A239,'Jason FLEX'!$A$6:$N$268,12,FALSE),"")</x:f>
        <x:v>1</x:v>
      </x:c>
      <x:c r="AE239" s="111" t="n">
        <x:f>IFERROR(VLOOKUP($A239,'Jason FLEX'!$A$6:$N$268,13,FALSE),"")</x:f>
        <x:v>0</x:v>
      </x:c>
      <x:c r="AF239" s="110" t="n">
        <x:f>IF(COUNT(E239,N239,W239)=0,"",AVERAGE(E239,N239,W239))</x:f>
        <x:v>227</x:v>
      </x:c>
      <x:c r="AG239" s="110" t="n">
        <x:f>IF(COUNT(E239,N239,W239)=0,"",MAX(E239,N239,W239)-MIN(E239,N239,W239))</x:f>
        <x:v>51</x:v>
      </x:c>
      <x:c r="AH239" s="110" t="n">
        <x:f>IF(COUNT(F239,O239,X239)=0,"",AVERAGE(F239,O239,X239))</x:f>
        <x:v>3.4</x:v>
      </x:c>
      <x:c r="AI239" s="112" t="n">
        <x:f>IF(COUNT(G239,P239,Y239)=0,"",AVERAGE(G239,P239,Y239))</x:f>
        <x:v>4.666666666666667</x:v>
      </x:c>
      <x:c r="AJ239" s="112" t="n">
        <x:f>IF(COUNT(H239,Q239,Z239)=0,"",AVERAGE(H239,Q239,Z239))</x:f>
        <x:v>15.333333333333334</x:v>
      </x:c>
      <x:c r="AK239" s="112" t="n">
        <x:f>IF(COUNT(I239,R239,AA239)=0,"",AVERAGE(I239,R239,AA239))</x:f>
        <x:v>0</x:v>
      </x:c>
      <x:c r="AL239" s="112" t="n">
        <x:f>IF(COUNT(J239,S239,AB239)=0,"",AVERAGE(J239,S239,AB239))</x:f>
        <x:v>24.666666666666668</x:v>
      </x:c>
      <x:c r="AM239" s="112" t="n">
        <x:f>IF(COUNT(K239,T239,AC239)=0,"",AVERAGE(K239,T239,AC239))</x:f>
        <x:v>249</x:v>
      </x:c>
      <x:c r="AN239" s="112" t="n">
        <x:f>IF(COUNT(L239,U239,AD239)=0,"",AVERAGE(L239,U239,AD239))</x:f>
        <x:v>1</x:v>
      </x:c>
      <x:c r="AO239" s="112" t="n">
        <x:f>IF(COUNT(M239,V239,AE239)=0,"",AVERAGE(M239,V239,AE239))</x:f>
        <x:v>0</x:v>
      </x:c>
    </x:row>
    <x:row r="240">
      <x:c r="A240" s="107" t="str">
        <x:v>Brashard Smith</x:v>
      </x:c>
      <x:c r="B240" s="108" t="str">
        <x:v>RB</x:v>
      </x:c>
      <x:c r="C240" s="108" t="str">
        <x:v>KC</x:v>
      </x:c>
      <x:c r="D240" s="109" t="n">
        <x:v>5</x:v>
      </x:c>
      <x:c r="E240" s="109" t="n">
        <x:f>IFERROR(VLOOKUP($A240,'Mike FLEX'!$A$6:$N$278,5,FALSE),"")</x:f>
        <x:v>222</x:v>
      </x:c>
      <x:c r="F240" s="110" t="n">
        <x:f>IFERROR(VLOOKUP($A240,'Mike FLEX'!$A$6:$N$278,6,FALSE),"")</x:f>
        <x:v>3.3</x:v>
      </x:c>
      <x:c r="G240" s="111" t="n">
        <x:f>IFERROR(VLOOKUP($A240,'Mike FLEX'!$A$6:$N$278,7,FALSE),"")</x:f>
        <x:v>8</x:v>
      </x:c>
      <x:c r="H240" s="111" t="n">
        <x:f>IFERROR(VLOOKUP($A240,'Mike FLEX'!$A$6:$N$278,8,FALSE),"")</x:f>
        <x:v>28</x:v>
      </x:c>
      <x:c r="I240" s="111" t="n">
        <x:f>IFERROR(VLOOKUP($A240,'Mike FLEX'!$A$6:$N$278,9,FALSE),"")</x:f>
        <x:v>0</x:v>
      </x:c>
      <x:c r="J240" s="111" t="n">
        <x:f>IFERROR(VLOOKUP($A240,'Mike FLEX'!$A$6:$N$278,10,FALSE),"")</x:f>
        <x:v>29</x:v>
      </x:c>
      <x:c r="K240" s="111" t="n">
        <x:f>IFERROR(VLOOKUP($A240,'Mike FLEX'!$A$6:$N$278,11,FALSE),"")</x:f>
        <x:v>197</x:v>
      </x:c>
      <x:c r="L240" s="111" t="n">
        <x:f>IFERROR(VLOOKUP($A240,'Mike FLEX'!$A$6:$N$278,12,FALSE),"")</x:f>
        <x:v>1</x:v>
      </x:c>
      <x:c r="M240" s="111" t="n">
        <x:f>IFERROR(VLOOKUP($A240,'Mike FLEX'!$A$6:$N$278,13,FALSE),"")</x:f>
        <x:v>1</x:v>
      </x:c>
      <x:c r="N240" s="109" t="n">
        <x:f>IFERROR(VLOOKUP($A240,'Andy FLEX'!$A$6:$N$278,5,FALSE),"")</x:f>
        <x:v>239</x:v>
      </x:c>
      <x:c r="O240" s="110" t="n">
        <x:f>IFERROR(VLOOKUP($A240,'Andy FLEX'!$A$6:$N$278,6,FALSE),"")</x:f>
        <x:v>3.5</x:v>
      </x:c>
      <x:c r="P240" s="111" t="n">
        <x:f>IFERROR(VLOOKUP($A240,'Andy FLEX'!$A$6:$N$278,7,FALSE),"")</x:f>
        <x:v>41</x:v>
      </x:c>
      <x:c r="Q240" s="111" t="n">
        <x:f>IFERROR(VLOOKUP($A240,'Andy FLEX'!$A$6:$N$278,8,FALSE),"")</x:f>
        <x:v>165</x:v>
      </x:c>
      <x:c r="R240" s="111" t="n">
        <x:f>IFERROR(VLOOKUP($A240,'Andy FLEX'!$A$6:$N$278,9,FALSE),"")</x:f>
        <x:v>1</x:v>
      </x:c>
      <x:c r="S240" s="111" t="n">
        <x:f>IFERROR(VLOOKUP($A240,'Andy FLEX'!$A$6:$N$278,10,FALSE),"")</x:f>
        <x:v>20</x:v>
      </x:c>
      <x:c r="T240" s="111" t="n">
        <x:f>IFERROR(VLOOKUP($A240,'Andy FLEX'!$A$6:$N$278,11,FALSE),"")</x:f>
        <x:v>146</x:v>
      </x:c>
      <x:c r="U240" s="111" t="n">
        <x:f>IFERROR(VLOOKUP($A240,'Andy FLEX'!$A$6:$N$278,12,FALSE),"")</x:f>
        <x:v>1</x:v>
      </x:c>
      <x:c r="V240" s="111" t="n">
        <x:f>IFERROR(VLOOKUP($A240,'Andy FLEX'!$A$6:$N$278,13,FALSE),"")</x:f>
        <x:v>1</x:v>
      </x:c>
      <x:c r="W240" s="109" t="n">
        <x:f>IFERROR(VLOOKUP($A240,'Jason FLEX'!$A$6:$N$268,5,FALSE),"")</x:f>
        <x:v>224</x:v>
      </x:c>
      <x:c r="X240" s="110" t="n">
        <x:f>IFERROR(VLOOKUP($A240,'Jason FLEX'!$A$6:$N$268,6,FALSE),"")</x:f>
        <x:v>3.3</x:v>
      </x:c>
      <x:c r="Y240" s="111" t="n">
        <x:f>IFERROR(VLOOKUP($A240,'Jason FLEX'!$A$6:$N$268,7,FALSE),"")</x:f>
        <x:v>37</x:v>
      </x:c>
      <x:c r="Z240" s="111" t="n">
        <x:f>IFERROR(VLOOKUP($A240,'Jason FLEX'!$A$6:$N$268,8,FALSE),"")</x:f>
        <x:v>135</x:v>
      </x:c>
      <x:c r="AA240" s="111" t="n">
        <x:f>IFERROR(VLOOKUP($A240,'Jason FLEX'!$A$6:$N$268,9,FALSE),"")</x:f>
        <x:v>1</x:v>
      </x:c>
      <x:c r="AB240" s="111" t="n">
        <x:f>IFERROR(VLOOKUP($A240,'Jason FLEX'!$A$6:$N$268,10,FALSE),"")</x:f>
        <x:v>20</x:v>
      </x:c>
      <x:c r="AC240" s="111" t="n">
        <x:f>IFERROR(VLOOKUP($A240,'Jason FLEX'!$A$6:$N$268,11,FALSE),"")</x:f>
        <x:v>155</x:v>
      </x:c>
      <x:c r="AD240" s="111" t="n">
        <x:f>IFERROR(VLOOKUP($A240,'Jason FLEX'!$A$6:$N$268,12,FALSE),"")</x:f>
        <x:v>1</x:v>
      </x:c>
      <x:c r="AE240" s="111" t="n">
        <x:f>IFERROR(VLOOKUP($A240,'Jason FLEX'!$A$6:$N$268,13,FALSE),"")</x:f>
        <x:v>1</x:v>
      </x:c>
      <x:c r="AF240" s="110" t="n">
        <x:f>IF(COUNT(E240,N240,W240)=0,"",AVERAGE(E240,N240,W240))</x:f>
        <x:v>228.33333333333334</x:v>
      </x:c>
      <x:c r="AG240" s="110" t="n">
        <x:f>IF(COUNT(E240,N240,W240)=0,"",MAX(E240,N240,W240)-MIN(E240,N240,W240))</x:f>
        <x:v>17</x:v>
      </x:c>
      <x:c r="AH240" s="110" t="n">
        <x:f>IF(COUNT(F240,O240,X240)=0,"",AVERAGE(F240,O240,X240))</x:f>
        <x:v>3.3666666666666667</x:v>
      </x:c>
      <x:c r="AI240" s="112" t="n">
        <x:f>IF(COUNT(G240,P240,Y240)=0,"",AVERAGE(G240,P240,Y240))</x:f>
        <x:v>28.666666666666668</x:v>
      </x:c>
      <x:c r="AJ240" s="112" t="n">
        <x:f>IF(COUNT(H240,Q240,Z240)=0,"",AVERAGE(H240,Q240,Z240))</x:f>
        <x:v>109.33333333333333</x:v>
      </x:c>
      <x:c r="AK240" s="112" t="n">
        <x:f>IF(COUNT(I240,R240,AA240)=0,"",AVERAGE(I240,R240,AA240))</x:f>
        <x:v>0.6666666666666666</x:v>
      </x:c>
      <x:c r="AL240" s="112" t="n">
        <x:f>IF(COUNT(J240,S240,AB240)=0,"",AVERAGE(J240,S240,AB240))</x:f>
        <x:v>23</x:v>
      </x:c>
      <x:c r="AM240" s="112" t="n">
        <x:f>IF(COUNT(K240,T240,AC240)=0,"",AVERAGE(K240,T240,AC240))</x:f>
        <x:v>166</x:v>
      </x:c>
      <x:c r="AN240" s="112" t="n">
        <x:f>IF(COUNT(L240,U240,AD240)=0,"",AVERAGE(L240,U240,AD240))</x:f>
        <x:v>1</x:v>
      </x:c>
      <x:c r="AO240" s="112" t="n">
        <x:f>IF(COUNT(M240,V240,AE240)=0,"",AVERAGE(M240,V240,AE240))</x:f>
        <x:v>1</x:v>
      </x:c>
    </x:row>
    <x:row r="241">
      <x:c r="A241" s="107" t="str">
        <x:v>Brenen Thompson</x:v>
      </x:c>
      <x:c r="B241" s="108" t="str">
        <x:v>WR</x:v>
      </x:c>
      <x:c r="C241" s="108" t="str">
        <x:v>LAC</x:v>
      </x:c>
      <x:c r="D241" s="109" t="n">
        <x:v>7</x:v>
      </x:c>
      <x:c r="E241" s="109" t="n">
        <x:f>IFERROR(VLOOKUP($A241,'Mike FLEX'!$A$6:$N$278,5,FALSE),"")</x:f>
        <x:v>218</x:v>
      </x:c>
      <x:c r="F241" s="110" t="n">
        <x:f>IFERROR(VLOOKUP($A241,'Mike FLEX'!$A$6:$N$278,6,FALSE),"")</x:f>
        <x:v>3.5</x:v>
      </x:c>
      <x:c r="G241" s="111" t="n">
        <x:f>IFERROR(VLOOKUP($A241,'Mike FLEX'!$A$6:$N$278,7,FALSE),"")</x:f>
        <x:v>0</x:v>
      </x:c>
      <x:c r="H241" s="111" t="n">
        <x:f>IFERROR(VLOOKUP($A241,'Mike FLEX'!$A$6:$N$278,8,FALSE),"")</x:f>
        <x:v>0</x:v>
      </x:c>
      <x:c r="I241" s="111" t="n">
        <x:f>IFERROR(VLOOKUP($A241,'Mike FLEX'!$A$6:$N$278,9,FALSE),"")</x:f>
        <x:v>0</x:v>
      </x:c>
      <x:c r="J241" s="111" t="n">
        <x:f>IFERROR(VLOOKUP($A241,'Mike FLEX'!$A$6:$N$278,10,FALSE),"")</x:f>
        <x:v>18</x:v>
      </x:c>
      <x:c r="K241" s="111" t="n">
        <x:f>IFERROR(VLOOKUP($A241,'Mike FLEX'!$A$6:$N$278,11,FALSE),"")</x:f>
        <x:v>304</x:v>
      </x:c>
      <x:c r="L241" s="111" t="n">
        <x:f>IFERROR(VLOOKUP($A241,'Mike FLEX'!$A$6:$N$278,12,FALSE),"")</x:f>
        <x:v>2</x:v>
      </x:c>
      <x:c r="M241" s="111" t="n">
        <x:f>IFERROR(VLOOKUP($A241,'Mike FLEX'!$A$6:$N$278,13,FALSE),"")</x:f>
        <x:v>0</x:v>
      </x:c>
      <x:c r="N241" s="109" t="n">
        <x:f>IFERROR(VLOOKUP($A241,'Andy FLEX'!$A$6:$N$278,5,FALSE),"")</x:f>
        <x:v>211</x:v>
      </x:c>
      <x:c r="O241" s="110" t="n">
        <x:f>IFERROR(VLOOKUP($A241,'Andy FLEX'!$A$6:$N$278,6,FALSE),"")</x:f>
        <x:v>4.4</x:v>
      </x:c>
      <x:c r="P241" s="111" t="n">
        <x:f>IFERROR(VLOOKUP($A241,'Andy FLEX'!$A$6:$N$278,7,FALSE),"")</x:f>
        <x:v>8</x:v>
      </x:c>
      <x:c r="Q241" s="111" t="n">
        <x:f>IFERROR(VLOOKUP($A241,'Andy FLEX'!$A$6:$N$278,8,FALSE),"")</x:f>
        <x:v>52</x:v>
      </x:c>
      <x:c r="R241" s="111" t="n">
        <x:f>IFERROR(VLOOKUP($A241,'Andy FLEX'!$A$6:$N$278,9,FALSE),"")</x:f>
        <x:v>0</x:v>
      </x:c>
      <x:c r="S241" s="111" t="n">
        <x:f>IFERROR(VLOOKUP($A241,'Andy FLEX'!$A$6:$N$278,10,FALSE),"")</x:f>
        <x:v>28</x:v>
      </x:c>
      <x:c r="T241" s="111" t="n">
        <x:f>IFERROR(VLOOKUP($A241,'Andy FLEX'!$A$6:$N$278,11,FALSE),"")</x:f>
        <x:v>380</x:v>
      </x:c>
      <x:c r="U241" s="111" t="n">
        <x:f>IFERROR(VLOOKUP($A241,'Andy FLEX'!$A$6:$N$278,12,FALSE),"")</x:f>
        <x:v>1</x:v>
      </x:c>
      <x:c r="V241" s="111" t="n">
        <x:f>IFERROR(VLOOKUP($A241,'Andy FLEX'!$A$6:$N$278,13,FALSE),"")</x:f>
        <x:v>1</x:v>
      </x:c>
      <x:c r="W241" s="109" t="n">
        <x:f>IFERROR(VLOOKUP($A241,'Jason FLEX'!$A$6:$N$268,5,FALSE),"")</x:f>
        <x:v>258</x:v>
      </x:c>
      <x:c r="X241" s="110" t="n">
        <x:f>IFERROR(VLOOKUP($A241,'Jason FLEX'!$A$6:$N$268,6,FALSE),"")</x:f>
        <x:v>1.3</x:v>
      </x:c>
      <x:c r="Y241" s="111" t="n">
        <x:f>IFERROR(VLOOKUP($A241,'Jason FLEX'!$A$6:$N$268,7,FALSE),"")</x:f>
        <x:v>0</x:v>
      </x:c>
      <x:c r="Z241" s="111" t="n">
        <x:f>IFERROR(VLOOKUP($A241,'Jason FLEX'!$A$6:$N$268,8,FALSE),"")</x:f>
        <x:v>0</x:v>
      </x:c>
      <x:c r="AA241" s="111" t="n">
        <x:f>IFERROR(VLOOKUP($A241,'Jason FLEX'!$A$6:$N$268,9,FALSE),"")</x:f>
        <x:v>0</x:v>
      </x:c>
      <x:c r="AB241" s="111" t="n">
        <x:f>IFERROR(VLOOKUP($A241,'Jason FLEX'!$A$6:$N$268,10,FALSE),"")</x:f>
        <x:v>9</x:v>
      </x:c>
      <x:c r="AC241" s="111" t="n">
        <x:f>IFERROR(VLOOKUP($A241,'Jason FLEX'!$A$6:$N$268,11,FALSE),"")</x:f>
        <x:v>100</x:v>
      </x:c>
      <x:c r="AD241" s="111" t="n">
        <x:f>IFERROR(VLOOKUP($A241,'Jason FLEX'!$A$6:$N$268,12,FALSE),"")</x:f>
        <x:v>1</x:v>
      </x:c>
      <x:c r="AE241" s="111" t="n">
        <x:f>IFERROR(VLOOKUP($A241,'Jason FLEX'!$A$6:$N$268,13,FALSE),"")</x:f>
        <x:v>0</x:v>
      </x:c>
      <x:c r="AF241" s="110" t="n">
        <x:f>IF(COUNT(E241,N241,W241)=0,"",AVERAGE(E241,N241,W241))</x:f>
        <x:v>229</x:v>
      </x:c>
      <x:c r="AG241" s="110" t="n">
        <x:f>IF(COUNT(E241,N241,W241)=0,"",MAX(E241,N241,W241)-MIN(E241,N241,W241))</x:f>
        <x:v>47</x:v>
      </x:c>
      <x:c r="AH241" s="110" t="n">
        <x:f>IF(COUNT(F241,O241,X241)=0,"",AVERAGE(F241,O241,X241))</x:f>
        <x:v>3.066666666666667</x:v>
      </x:c>
      <x:c r="AI241" s="112" t="n">
        <x:f>IF(COUNT(G241,P241,Y241)=0,"",AVERAGE(G241,P241,Y241))</x:f>
        <x:v>2.6666666666666665</x:v>
      </x:c>
      <x:c r="AJ241" s="112" t="n">
        <x:f>IF(COUNT(H241,Q241,Z241)=0,"",AVERAGE(H241,Q241,Z241))</x:f>
        <x:v>17.333333333333332</x:v>
      </x:c>
      <x:c r="AK241" s="112" t="n">
        <x:f>IF(COUNT(I241,R241,AA241)=0,"",AVERAGE(I241,R241,AA241))</x:f>
        <x:v>0</x:v>
      </x:c>
      <x:c r="AL241" s="112" t="n">
        <x:f>IF(COUNT(J241,S241,AB241)=0,"",AVERAGE(J241,S241,AB241))</x:f>
        <x:v>18.333333333333332</x:v>
      </x:c>
      <x:c r="AM241" s="112" t="n">
        <x:f>IF(COUNT(K241,T241,AC241)=0,"",AVERAGE(K241,T241,AC241))</x:f>
        <x:v>261.3333333333333</x:v>
      </x:c>
      <x:c r="AN241" s="112" t="n">
        <x:f>IF(COUNT(L241,U241,AD241)=0,"",AVERAGE(L241,U241,AD241))</x:f>
        <x:v>1.3333333333333333</x:v>
      </x:c>
      <x:c r="AO241" s="112" t="n">
        <x:f>IF(COUNT(M241,V241,AE241)=0,"",AVERAGE(M241,V241,AE241))</x:f>
        <x:v>0.3333333333333333</x:v>
      </x:c>
    </x:row>
    <x:row r="242">
      <x:c r="A242" s="107" t="str">
        <x:v>Darnell Washington</x:v>
      </x:c>
      <x:c r="B242" s="108" t="str">
        <x:v>TE</x:v>
      </x:c>
      <x:c r="C242" s="108" t="str">
        <x:v>PIT</x:v>
      </x:c>
      <x:c r="D242" s="109" t="n">
        <x:v>9</x:v>
      </x:c>
      <x:c r="E242" s="109" t="n">
        <x:f>IFERROR(VLOOKUP($A242,'Mike FLEX'!$A$6:$N$278,5,FALSE),"")</x:f>
        <x:v>223</x:v>
      </x:c>
      <x:c r="F242" s="110" t="n">
        <x:f>IFERROR(VLOOKUP($A242,'Mike FLEX'!$A$6:$N$278,6,FALSE),"")</x:f>
        <x:v>3.3</x:v>
      </x:c>
      <x:c r="G242" s="111" t="n">
        <x:f>IFERROR(VLOOKUP($A242,'Mike FLEX'!$A$6:$N$278,7,FALSE),"")</x:f>
        <x:v>0</x:v>
      </x:c>
      <x:c r="H242" s="111" t="n">
        <x:f>IFERROR(VLOOKUP($A242,'Mike FLEX'!$A$6:$N$278,8,FALSE),"")</x:f>
        <x:v>0</x:v>
      </x:c>
      <x:c r="I242" s="111" t="n">
        <x:f>IFERROR(VLOOKUP($A242,'Mike FLEX'!$A$6:$N$278,9,FALSE),"")</x:f>
        <x:v>0</x:v>
      </x:c>
      <x:c r="J242" s="111" t="n">
        <x:f>IFERROR(VLOOKUP($A242,'Mike FLEX'!$A$6:$N$278,10,FALSE),"")</x:f>
        <x:v>24</x:v>
      </x:c>
      <x:c r="K242" s="111" t="n">
        <x:f>IFERROR(VLOOKUP($A242,'Mike FLEX'!$A$6:$N$278,11,FALSE),"")</x:f>
        <x:v>259</x:v>
      </x:c>
      <x:c r="L242" s="111" t="n">
        <x:f>IFERROR(VLOOKUP($A242,'Mike FLEX'!$A$6:$N$278,12,FALSE),"")</x:f>
        <x:v>1</x:v>
      </x:c>
      <x:c r="M242" s="111" t="n">
        <x:f>IFERROR(VLOOKUP($A242,'Mike FLEX'!$A$6:$N$278,13,FALSE),"")</x:f>
        <x:v>1</x:v>
      </x:c>
      <x:c r="N242" s="109" t="n">
        <x:f>IFERROR(VLOOKUP($A242,'Andy FLEX'!$A$6:$N$278,5,FALSE),"")</x:f>
        <x:v>243</x:v>
      </x:c>
      <x:c r="O242" s="110" t="n">
        <x:f>IFERROR(VLOOKUP($A242,'Andy FLEX'!$A$6:$N$278,6,FALSE),"")</x:f>
        <x:v>3.4</x:v>
      </x:c>
      <x:c r="P242" s="111" t="n">
        <x:f>IFERROR(VLOOKUP($A242,'Andy FLEX'!$A$6:$N$278,7,FALSE),"")</x:f>
        <x:v>0</x:v>
      </x:c>
      <x:c r="Q242" s="111" t="n">
        <x:f>IFERROR(VLOOKUP($A242,'Andy FLEX'!$A$6:$N$278,8,FALSE),"")</x:f>
        <x:v>0</x:v>
      </x:c>
      <x:c r="R242" s="111" t="n">
        <x:f>IFERROR(VLOOKUP($A242,'Andy FLEX'!$A$6:$N$278,9,FALSE),"")</x:f>
        <x:v>0</x:v>
      </x:c>
      <x:c r="S242" s="111" t="n">
        <x:f>IFERROR(VLOOKUP($A242,'Andy FLEX'!$A$6:$N$278,10,FALSE),"")</x:f>
        <x:v>24</x:v>
      </x:c>
      <x:c r="T242" s="111" t="n">
        <x:f>IFERROR(VLOOKUP($A242,'Andy FLEX'!$A$6:$N$278,11,FALSE),"")</x:f>
        <x:v>259</x:v>
      </x:c>
      <x:c r="U242" s="111" t="n">
        <x:f>IFERROR(VLOOKUP($A242,'Andy FLEX'!$A$6:$N$278,12,FALSE),"")</x:f>
        <x:v>1</x:v>
      </x:c>
      <x:c r="V242" s="111" t="n">
        <x:f>IFERROR(VLOOKUP($A242,'Andy FLEX'!$A$6:$N$278,13,FALSE),"")</x:f>
        <x:v>0</x:v>
      </x:c>
      <x:c r="W242" s="109" t="n">
        <x:f>IFERROR(VLOOKUP($A242,'Jason FLEX'!$A$6:$N$268,5,FALSE),"")</x:f>
        <x:v>223</x:v>
      </x:c>
      <x:c r="X242" s="110" t="n">
        <x:f>IFERROR(VLOOKUP($A242,'Jason FLEX'!$A$6:$N$268,6,FALSE),"")</x:f>
        <x:v>3.4</x:v>
      </x:c>
      <x:c r="Y242" s="111" t="n">
        <x:f>IFERROR(VLOOKUP($A242,'Jason FLEX'!$A$6:$N$268,7,FALSE),"")</x:f>
        <x:v>0</x:v>
      </x:c>
      <x:c r="Z242" s="111" t="n">
        <x:f>IFERROR(VLOOKUP($A242,'Jason FLEX'!$A$6:$N$268,8,FALSE),"")</x:f>
        <x:v>0</x:v>
      </x:c>
      <x:c r="AA242" s="111" t="n">
        <x:f>IFERROR(VLOOKUP($A242,'Jason FLEX'!$A$6:$N$268,9,FALSE),"")</x:f>
        <x:v>0</x:v>
      </x:c>
      <x:c r="AB242" s="111" t="n">
        <x:f>IFERROR(VLOOKUP($A242,'Jason FLEX'!$A$6:$N$268,10,FALSE),"")</x:f>
        <x:v>22</x:v>
      </x:c>
      <x:c r="AC242" s="111" t="n">
        <x:f>IFERROR(VLOOKUP($A242,'Jason FLEX'!$A$6:$N$268,11,FALSE),"")</x:f>
        <x:v>217</x:v>
      </x:c>
      <x:c r="AD242" s="111" t="n">
        <x:f>IFERROR(VLOOKUP($A242,'Jason FLEX'!$A$6:$N$268,12,FALSE),"")</x:f>
        <x:v>2</x:v>
      </x:c>
      <x:c r="AE242" s="111" t="n">
        <x:f>IFERROR(VLOOKUP($A242,'Jason FLEX'!$A$6:$N$268,13,FALSE),"")</x:f>
        <x:v>0</x:v>
      </x:c>
      <x:c r="AF242" s="110" t="n">
        <x:f>IF(COUNT(E242,N242,W242)=0,"",AVERAGE(E242,N242,W242))</x:f>
        <x:v>229.66666666666666</x:v>
      </x:c>
      <x:c r="AG242" s="110" t="n">
        <x:f>IF(COUNT(E242,N242,W242)=0,"",MAX(E242,N242,W242)-MIN(E242,N242,W242))</x:f>
        <x:v>20</x:v>
      </x:c>
      <x:c r="AH242" s="110" t="n">
        <x:f>IF(COUNT(F242,O242,X242)=0,"",AVERAGE(F242,O242,X242))</x:f>
        <x:v>3.3666666666666667</x:v>
      </x:c>
      <x:c r="AI242" s="112" t="n">
        <x:f>IF(COUNT(G242,P242,Y242)=0,"",AVERAGE(G242,P242,Y242))</x:f>
        <x:v>0</x:v>
      </x:c>
      <x:c r="AJ242" s="112" t="n">
        <x:f>IF(COUNT(H242,Q242,Z242)=0,"",AVERAGE(H242,Q242,Z242))</x:f>
        <x:v>0</x:v>
      </x:c>
      <x:c r="AK242" s="112" t="n">
        <x:f>IF(COUNT(I242,R242,AA242)=0,"",AVERAGE(I242,R242,AA242))</x:f>
        <x:v>0</x:v>
      </x:c>
      <x:c r="AL242" s="112" t="n">
        <x:f>IF(COUNT(J242,S242,AB242)=0,"",AVERAGE(J242,S242,AB242))</x:f>
        <x:v>23.333333333333332</x:v>
      </x:c>
      <x:c r="AM242" s="112" t="n">
        <x:f>IF(COUNT(K242,T242,AC242)=0,"",AVERAGE(K242,T242,AC242))</x:f>
        <x:v>245</x:v>
      </x:c>
      <x:c r="AN242" s="112" t="n">
        <x:f>IF(COUNT(L242,U242,AD242)=0,"",AVERAGE(L242,U242,AD242))</x:f>
        <x:v>1.3333333333333333</x:v>
      </x:c>
      <x:c r="AO242" s="112" t="n">
        <x:f>IF(COUNT(M242,V242,AE242)=0,"",AVERAGE(M242,V242,AE242))</x:f>
        <x:v>0.3333333333333333</x:v>
      </x:c>
    </x:row>
    <x:row r="243">
      <x:c r="A243" s="107" t="str">
        <x:v>Jake Tonges</x:v>
      </x:c>
      <x:c r="B243" s="108" t="str">
        <x:v>TE</x:v>
      </x:c>
      <x:c r="C243" s="108" t="str">
        <x:v>SF</x:v>
      </x:c>
      <x:c r="D243" s="109" t="n">
        <x:v>8</x:v>
      </x:c>
      <x:c r="E243" s="109" t="n">
        <x:f>IFERROR(VLOOKUP($A243,'Mike FLEX'!$A$6:$N$278,5,FALSE),"")</x:f>
        <x:v>246</x:v>
      </x:c>
      <x:c r="F243" s="110" t="n">
        <x:f>IFERROR(VLOOKUP($A243,'Mike FLEX'!$A$6:$N$278,6,FALSE),"")</x:f>
        <x:v>2.3</x:v>
      </x:c>
      <x:c r="G243" s="111" t="n">
        <x:f>IFERROR(VLOOKUP($A243,'Mike FLEX'!$A$6:$N$278,7,FALSE),"")</x:f>
        <x:v>0</x:v>
      </x:c>
      <x:c r="H243" s="111" t="n">
        <x:f>IFERROR(VLOOKUP($A243,'Mike FLEX'!$A$6:$N$278,8,FALSE),"")</x:f>
        <x:v>0</x:v>
      </x:c>
      <x:c r="I243" s="111" t="n">
        <x:f>IFERROR(VLOOKUP($A243,'Mike FLEX'!$A$6:$N$278,9,FALSE),"")</x:f>
        <x:v>0</x:v>
      </x:c>
      <x:c r="J243" s="111" t="n">
        <x:f>IFERROR(VLOOKUP($A243,'Mike FLEX'!$A$6:$N$278,10,FALSE),"")</x:f>
        <x:v>16</x:v>
      </x:c>
      <x:c r="K243" s="111" t="n">
        <x:f>IFERROR(VLOOKUP($A243,'Mike FLEX'!$A$6:$N$278,11,FALSE),"")</x:f>
        <x:v>145</x:v>
      </x:c>
      <x:c r="L243" s="111" t="n">
        <x:f>IFERROR(VLOOKUP($A243,'Mike FLEX'!$A$6:$N$278,12,FALSE),"")</x:f>
        <x:v>1</x:v>
      </x:c>
      <x:c r="M243" s="111" t="n">
        <x:f>IFERROR(VLOOKUP($A243,'Mike FLEX'!$A$6:$N$278,13,FALSE),"")</x:f>
        <x:v>0</x:v>
      </x:c>
      <x:c r="N243" s="109" t="n">
        <x:f>IFERROR(VLOOKUP($A243,'Andy FLEX'!$A$6:$N$278,5,FALSE),"")</x:f>
        <x:v>215</x:v>
      </x:c>
      <x:c r="O243" s="110" t="n">
        <x:f>IFERROR(VLOOKUP($A243,'Andy FLEX'!$A$6:$N$278,6,FALSE),"")</x:f>
        <x:v>4.2</x:v>
      </x:c>
      <x:c r="P243" s="111" t="n">
        <x:f>IFERROR(VLOOKUP($A243,'Andy FLEX'!$A$6:$N$278,7,FALSE),"")</x:f>
        <x:v>0</x:v>
      </x:c>
      <x:c r="Q243" s="111" t="n">
        <x:f>IFERROR(VLOOKUP($A243,'Andy FLEX'!$A$6:$N$278,8,FALSE),"")</x:f>
        <x:v>0</x:v>
      </x:c>
      <x:c r="R243" s="111" t="n">
        <x:f>IFERROR(VLOOKUP($A243,'Andy FLEX'!$A$6:$N$278,9,FALSE),"")</x:f>
        <x:v>0</x:v>
      </x:c>
      <x:c r="S243" s="111" t="n">
        <x:f>IFERROR(VLOOKUP($A243,'Andy FLEX'!$A$6:$N$278,10,FALSE),"")</x:f>
        <x:v>33</x:v>
      </x:c>
      <x:c r="T243" s="111" t="n">
        <x:f>IFERROR(VLOOKUP($A243,'Andy FLEX'!$A$6:$N$278,11,FALSE),"")</x:f>
        <x:v>270</x:v>
      </x:c>
      <x:c r="U243" s="111" t="n">
        <x:f>IFERROR(VLOOKUP($A243,'Andy FLEX'!$A$6:$N$278,12,FALSE),"")</x:f>
        <x:v>2</x:v>
      </x:c>
      <x:c r="V243" s="111" t="n">
        <x:f>IFERROR(VLOOKUP($A243,'Andy FLEX'!$A$6:$N$278,13,FALSE),"")</x:f>
        <x:v>0</x:v>
      </x:c>
      <x:c r="W243" s="109" t="str">
        <x:f>IFERROR(VLOOKUP($A243,'Jason FLEX'!$A$6:$N$268,5,FALSE),"")</x:f>
      </x:c>
      <x:c r="X243" s="110" t="str">
        <x:f>IFERROR(VLOOKUP($A243,'Jason FLEX'!$A$6:$N$268,6,FALSE),"")</x:f>
      </x:c>
      <x:c r="Y243" s="111" t="str">
        <x:f>IFERROR(VLOOKUP($A243,'Jason FLEX'!$A$6:$N$268,7,FALSE),"")</x:f>
      </x:c>
      <x:c r="Z243" s="111" t="str">
        <x:f>IFERROR(VLOOKUP($A243,'Jason FLEX'!$A$6:$N$268,8,FALSE),"")</x:f>
      </x:c>
      <x:c r="AA243" s="111" t="str">
        <x:f>IFERROR(VLOOKUP($A243,'Jason FLEX'!$A$6:$N$268,9,FALSE),"")</x:f>
      </x:c>
      <x:c r="AB243" s="111" t="str">
        <x:f>IFERROR(VLOOKUP($A243,'Jason FLEX'!$A$6:$N$268,10,FALSE),"")</x:f>
      </x:c>
      <x:c r="AC243" s="111" t="str">
        <x:f>IFERROR(VLOOKUP($A243,'Jason FLEX'!$A$6:$N$268,11,FALSE),"")</x:f>
      </x:c>
      <x:c r="AD243" s="111" t="str">
        <x:f>IFERROR(VLOOKUP($A243,'Jason FLEX'!$A$6:$N$268,12,FALSE),"")</x:f>
      </x:c>
      <x:c r="AE243" s="111" t="str">
        <x:f>IFERROR(VLOOKUP($A243,'Jason FLEX'!$A$6:$N$268,13,FALSE),"")</x:f>
      </x:c>
      <x:c r="AF243" s="110" t="n">
        <x:f>IF(COUNT(E243,N243,W243)=0,"",AVERAGE(E243,N243,W243))</x:f>
        <x:v>230.5</x:v>
      </x:c>
      <x:c r="AG243" s="110" t="n">
        <x:f>IF(COUNT(E243,N243,W243)=0,"",MAX(E243,N243,W243)-MIN(E243,N243,W243))</x:f>
        <x:v>31</x:v>
      </x:c>
      <x:c r="AH243" s="110" t="n">
        <x:f>IF(COUNT(F243,O243,X243)=0,"",AVERAGE(F243,O243,X243))</x:f>
        <x:v>3.25</x:v>
      </x:c>
      <x:c r="AI243" s="112" t="n">
        <x:f>IF(COUNT(G243,P243,Y243)=0,"",AVERAGE(G243,P243,Y243))</x:f>
        <x:v>0</x:v>
      </x:c>
      <x:c r="AJ243" s="112" t="n">
        <x:f>IF(COUNT(H243,Q243,Z243)=0,"",AVERAGE(H243,Q243,Z243))</x:f>
        <x:v>0</x:v>
      </x:c>
      <x:c r="AK243" s="112" t="n">
        <x:f>IF(COUNT(I243,R243,AA243)=0,"",AVERAGE(I243,R243,AA243))</x:f>
        <x:v>0</x:v>
      </x:c>
      <x:c r="AL243" s="112" t="n">
        <x:f>IF(COUNT(J243,S243,AB243)=0,"",AVERAGE(J243,S243,AB243))</x:f>
        <x:v>24.5</x:v>
      </x:c>
      <x:c r="AM243" s="112" t="n">
        <x:f>IF(COUNT(K243,T243,AC243)=0,"",AVERAGE(K243,T243,AC243))</x:f>
        <x:v>207.5</x:v>
      </x:c>
      <x:c r="AN243" s="112" t="n">
        <x:f>IF(COUNT(L243,U243,AD243)=0,"",AVERAGE(L243,U243,AD243))</x:f>
        <x:v>1.5</x:v>
      </x:c>
      <x:c r="AO243" s="112" t="n">
        <x:f>IF(COUNT(M243,V243,AE243)=0,"",AVERAGE(M243,V243,AE243))</x:f>
        <x:v>0</x:v>
      </x:c>
    </x:row>
    <x:row r="244">
      <x:c r="A244" s="107" t="str">
        <x:v>Max Klare</x:v>
      </x:c>
      <x:c r="B244" s="108" t="str">
        <x:v>TE</x:v>
      </x:c>
      <x:c r="C244" s="108" t="str">
        <x:v>LAR</x:v>
      </x:c>
      <x:c r="D244" s="109" t="n">
        <x:v>11</x:v>
      </x:c>
      <x:c r="E244" s="109" t="n">
        <x:f>IFERROR(VLOOKUP($A244,'Mike FLEX'!$A$6:$N$278,5,FALSE),"")</x:f>
        <x:v>210</x:v>
      </x:c>
      <x:c r="F244" s="110" t="n">
        <x:f>IFERROR(VLOOKUP($A244,'Mike FLEX'!$A$6:$N$278,6,FALSE),"")</x:f>
        <x:v>3.8</x:v>
      </x:c>
      <x:c r="G244" s="111" t="n">
        <x:f>IFERROR(VLOOKUP($A244,'Mike FLEX'!$A$6:$N$278,7,FALSE),"")</x:f>
        <x:v>0</x:v>
      </x:c>
      <x:c r="H244" s="111" t="n">
        <x:f>IFERROR(VLOOKUP($A244,'Mike FLEX'!$A$6:$N$278,8,FALSE),"")</x:f>
        <x:v>0</x:v>
      </x:c>
      <x:c r="I244" s="111" t="n">
        <x:f>IFERROR(VLOOKUP($A244,'Mike FLEX'!$A$6:$N$278,9,FALSE),"")</x:f>
        <x:v>0</x:v>
      </x:c>
      <x:c r="J244" s="111" t="n">
        <x:f>IFERROR(VLOOKUP($A244,'Mike FLEX'!$A$6:$N$278,10,FALSE),"")</x:f>
        <x:v>27</x:v>
      </x:c>
      <x:c r="K244" s="111" t="n">
        <x:f>IFERROR(VLOOKUP($A244,'Mike FLEX'!$A$6:$N$278,11,FALSE),"")</x:f>
        <x:v>268</x:v>
      </x:c>
      <x:c r="L244" s="111" t="n">
        <x:f>IFERROR(VLOOKUP($A244,'Mike FLEX'!$A$6:$N$278,12,FALSE),"")</x:f>
        <x:v>2</x:v>
      </x:c>
      <x:c r="M244" s="111" t="n">
        <x:f>IFERROR(VLOOKUP($A244,'Mike FLEX'!$A$6:$N$278,13,FALSE),"")</x:f>
        <x:v>0</x:v>
      </x:c>
      <x:c r="N244" s="109" t="n">
        <x:f>IFERROR(VLOOKUP($A244,'Andy FLEX'!$A$6:$N$278,5,FALSE),"")</x:f>
        <x:v>259</x:v>
      </x:c>
      <x:c r="O244" s="110" t="n">
        <x:f>IFERROR(VLOOKUP($A244,'Andy FLEX'!$A$6:$N$278,6,FALSE),"")</x:f>
        <x:v>2.8</x:v>
      </x:c>
      <x:c r="P244" s="111" t="n">
        <x:f>IFERROR(VLOOKUP($A244,'Andy FLEX'!$A$6:$N$278,7,FALSE),"")</x:f>
        <x:v>0</x:v>
      </x:c>
      <x:c r="Q244" s="111" t="n">
        <x:f>IFERROR(VLOOKUP($A244,'Andy FLEX'!$A$6:$N$278,8,FALSE),"")</x:f>
        <x:v>0</x:v>
      </x:c>
      <x:c r="R244" s="111" t="n">
        <x:f>IFERROR(VLOOKUP($A244,'Andy FLEX'!$A$6:$N$278,9,FALSE),"")</x:f>
        <x:v>0</x:v>
      </x:c>
      <x:c r="S244" s="111" t="n">
        <x:f>IFERROR(VLOOKUP($A244,'Andy FLEX'!$A$6:$N$278,10,FALSE),"")</x:f>
        <x:v>20</x:v>
      </x:c>
      <x:c r="T244" s="111" t="n">
        <x:f>IFERROR(VLOOKUP($A244,'Andy FLEX'!$A$6:$N$278,11,FALSE),"")</x:f>
        <x:v>218</x:v>
      </x:c>
      <x:c r="U244" s="111" t="n">
        <x:f>IFERROR(VLOOKUP($A244,'Andy FLEX'!$A$6:$N$278,12,FALSE),"")</x:f>
        <x:v>1</x:v>
      </x:c>
      <x:c r="V244" s="111" t="n">
        <x:f>IFERROR(VLOOKUP($A244,'Andy FLEX'!$A$6:$N$278,13,FALSE),"")</x:f>
        <x:v>0</x:v>
      </x:c>
      <x:c r="W244" s="109" t="n">
        <x:f>IFERROR(VLOOKUP($A244,'Jason FLEX'!$A$6:$N$268,5,FALSE),"")</x:f>
        <x:v>227</x:v>
      </x:c>
      <x:c r="X244" s="110" t="n">
        <x:f>IFERROR(VLOOKUP($A244,'Jason FLEX'!$A$6:$N$268,6,FALSE),"")</x:f>
        <x:v>3.2</x:v>
      </x:c>
      <x:c r="Y244" s="111" t="n">
        <x:f>IFERROR(VLOOKUP($A244,'Jason FLEX'!$A$6:$N$268,7,FALSE),"")</x:f>
        <x:v>0</x:v>
      </x:c>
      <x:c r="Z244" s="111" t="n">
        <x:f>IFERROR(VLOOKUP($A244,'Jason FLEX'!$A$6:$N$268,8,FALSE),"")</x:f>
        <x:v>0</x:v>
      </x:c>
      <x:c r="AA244" s="111" t="n">
        <x:f>IFERROR(VLOOKUP($A244,'Jason FLEX'!$A$6:$N$268,9,FALSE),"")</x:f>
        <x:v>0</x:v>
      </x:c>
      <x:c r="AB244" s="111" t="n">
        <x:f>IFERROR(VLOOKUP($A244,'Jason FLEX'!$A$6:$N$268,10,FALSE),"")</x:f>
        <x:v>22</x:v>
      </x:c>
      <x:c r="AC244" s="111" t="n">
        <x:f>IFERROR(VLOOKUP($A244,'Jason FLEX'!$A$6:$N$268,11,FALSE),"")</x:f>
        <x:v>270</x:v>
      </x:c>
      <x:c r="AD244" s="111" t="n">
        <x:f>IFERROR(VLOOKUP($A244,'Jason FLEX'!$A$6:$N$268,12,FALSE),"")</x:f>
        <x:v>1</x:v>
      </x:c>
      <x:c r="AE244" s="111" t="n">
        <x:f>IFERROR(VLOOKUP($A244,'Jason FLEX'!$A$6:$N$268,13,FALSE),"")</x:f>
        <x:v>0</x:v>
      </x:c>
      <x:c r="AF244" s="110" t="n">
        <x:f>IF(COUNT(E244,N244,W244)=0,"",AVERAGE(E244,N244,W244))</x:f>
        <x:v>232</x:v>
      </x:c>
      <x:c r="AG244" s="110" t="n">
        <x:f>IF(COUNT(E244,N244,W244)=0,"",MAX(E244,N244,W244)-MIN(E244,N244,W244))</x:f>
        <x:v>49</x:v>
      </x:c>
      <x:c r="AH244" s="110" t="n">
        <x:f>IF(COUNT(F244,O244,X244)=0,"",AVERAGE(F244,O244,X244))</x:f>
        <x:v>3.266666666666667</x:v>
      </x:c>
      <x:c r="AI244" s="112" t="n">
        <x:f>IF(COUNT(G244,P244,Y244)=0,"",AVERAGE(G244,P244,Y244))</x:f>
        <x:v>0</x:v>
      </x:c>
      <x:c r="AJ244" s="112" t="n">
        <x:f>IF(COUNT(H244,Q244,Z244)=0,"",AVERAGE(H244,Q244,Z244))</x:f>
        <x:v>0</x:v>
      </x:c>
      <x:c r="AK244" s="112" t="n">
        <x:f>IF(COUNT(I244,R244,AA244)=0,"",AVERAGE(I244,R244,AA244))</x:f>
        <x:v>0</x:v>
      </x:c>
      <x:c r="AL244" s="112" t="n">
        <x:f>IF(COUNT(J244,S244,AB244)=0,"",AVERAGE(J244,S244,AB244))</x:f>
        <x:v>23</x:v>
      </x:c>
      <x:c r="AM244" s="112" t="n">
        <x:f>IF(COUNT(K244,T244,AC244)=0,"",AVERAGE(K244,T244,AC244))</x:f>
        <x:v>252</x:v>
      </x:c>
      <x:c r="AN244" s="112" t="n">
        <x:f>IF(COUNT(L244,U244,AD244)=0,"",AVERAGE(L244,U244,AD244))</x:f>
        <x:v>1.3333333333333333</x:v>
      </x:c>
      <x:c r="AO244" s="112" t="n">
        <x:f>IF(COUNT(M244,V244,AE244)=0,"",AVERAGE(M244,V244,AE244))</x:f>
        <x:v>0</x:v>
      </x:c>
    </x:row>
    <x:row r="245">
      <x:c r="A245" s="107" t="str">
        <x:v>Dont'e Thornton Jr.</x:v>
      </x:c>
      <x:c r="B245" s="108" t="str">
        <x:v>WR</x:v>
      </x:c>
      <x:c r="C245" s="108" t="str">
        <x:v>LV</x:v>
      </x:c>
      <x:c r="D245" s="109" t="n">
        <x:v>13</x:v>
      </x:c>
      <x:c r="E245" s="109" t="n">
        <x:f>IFERROR(VLOOKUP($A245,'Mike FLEX'!$A$6:$N$278,5,FALSE),"")</x:f>
        <x:v>235</x:v>
      </x:c>
      <x:c r="F245" s="110" t="n">
        <x:f>IFERROR(VLOOKUP($A245,'Mike FLEX'!$A$6:$N$278,6,FALSE),"")</x:f>
        <x:v>2.8</x:v>
      </x:c>
      <x:c r="G245" s="111" t="n">
        <x:f>IFERROR(VLOOKUP($A245,'Mike FLEX'!$A$6:$N$278,7,FALSE),"")</x:f>
        <x:v>0</x:v>
      </x:c>
      <x:c r="H245" s="111" t="n">
        <x:f>IFERROR(VLOOKUP($A245,'Mike FLEX'!$A$6:$N$278,8,FALSE),"")</x:f>
        <x:v>0</x:v>
      </x:c>
      <x:c r="I245" s="111" t="n">
        <x:f>IFERROR(VLOOKUP($A245,'Mike FLEX'!$A$6:$N$278,9,FALSE),"")</x:f>
        <x:v>0</x:v>
      </x:c>
      <x:c r="J245" s="111" t="n">
        <x:f>IFERROR(VLOOKUP($A245,'Mike FLEX'!$A$6:$N$278,10,FALSE),"")</x:f>
        <x:v>17</x:v>
      </x:c>
      <x:c r="K245" s="111" t="n">
        <x:f>IFERROR(VLOOKUP($A245,'Mike FLEX'!$A$6:$N$278,11,FALSE),"")</x:f>
        <x:v>221</x:v>
      </x:c>
      <x:c r="L245" s="111" t="n">
        <x:f>IFERROR(VLOOKUP($A245,'Mike FLEX'!$A$6:$N$278,12,FALSE),"")</x:f>
        <x:v>1</x:v>
      </x:c>
      <x:c r="M245" s="111" t="n">
        <x:f>IFERROR(VLOOKUP($A245,'Mike FLEX'!$A$6:$N$278,13,FALSE),"")</x:f>
        <x:v>0</x:v>
      </x:c>
      <x:c r="N245" s="109" t="n">
        <x:f>IFERROR(VLOOKUP($A245,'Andy FLEX'!$A$6:$N$278,5,FALSE),"")</x:f>
        <x:v>225</x:v>
      </x:c>
      <x:c r="O245" s="110" t="n">
        <x:f>IFERROR(VLOOKUP($A245,'Andy FLEX'!$A$6:$N$278,6,FALSE),"")</x:f>
        <x:v>3.9</x:v>
      </x:c>
      <x:c r="P245" s="111" t="n">
        <x:f>IFERROR(VLOOKUP($A245,'Andy FLEX'!$A$6:$N$278,7,FALSE),"")</x:f>
        <x:v>3</x:v>
      </x:c>
      <x:c r="Q245" s="111" t="n">
        <x:f>IFERROR(VLOOKUP($A245,'Andy FLEX'!$A$6:$N$278,8,FALSE),"")</x:f>
        <x:v>15</x:v>
      </x:c>
      <x:c r="R245" s="111" t="n">
        <x:f>IFERROR(VLOOKUP($A245,'Andy FLEX'!$A$6:$N$278,9,FALSE),"")</x:f>
        <x:v>0</x:v>
      </x:c>
      <x:c r="S245" s="111" t="n">
        <x:f>IFERROR(VLOOKUP($A245,'Andy FLEX'!$A$6:$N$278,10,FALSE),"")</x:f>
        <x:v>23</x:v>
      </x:c>
      <x:c r="T245" s="111" t="n">
        <x:f>IFERROR(VLOOKUP($A245,'Andy FLEX'!$A$6:$N$278,11,FALSE),"")</x:f>
        <x:v>333</x:v>
      </x:c>
      <x:c r="U245" s="111" t="n">
        <x:f>IFERROR(VLOOKUP($A245,'Andy FLEX'!$A$6:$N$278,12,FALSE),"")</x:f>
        <x:v>1</x:v>
      </x:c>
      <x:c r="V245" s="111" t="n">
        <x:f>IFERROR(VLOOKUP($A245,'Andy FLEX'!$A$6:$N$278,13,FALSE),"")</x:f>
        <x:v>0</x:v>
      </x:c>
      <x:c r="W245" s="109" t="n">
        <x:f>IFERROR(VLOOKUP($A245,'Jason FLEX'!$A$6:$N$268,5,FALSE),"")</x:f>
        <x:v>241</x:v>
      </x:c>
      <x:c r="X245" s="110" t="n">
        <x:f>IFERROR(VLOOKUP($A245,'Jason FLEX'!$A$6:$N$268,6,FALSE),"")</x:f>
        <x:v>2.8</x:v>
      </x:c>
      <x:c r="Y245" s="111" t="n">
        <x:f>IFERROR(VLOOKUP($A245,'Jason FLEX'!$A$6:$N$268,7,FALSE),"")</x:f>
        <x:v>0</x:v>
      </x:c>
      <x:c r="Z245" s="111" t="n">
        <x:f>IFERROR(VLOOKUP($A245,'Jason FLEX'!$A$6:$N$268,8,FALSE),"")</x:f>
        <x:v>0</x:v>
      </x:c>
      <x:c r="AA245" s="111" t="n">
        <x:f>IFERROR(VLOOKUP($A245,'Jason FLEX'!$A$6:$N$268,9,FALSE),"")</x:f>
        <x:v>0</x:v>
      </x:c>
      <x:c r="AB245" s="111" t="n">
        <x:f>IFERROR(VLOOKUP($A245,'Jason FLEX'!$A$6:$N$268,10,FALSE),"")</x:f>
        <x:v>17</x:v>
      </x:c>
      <x:c r="AC245" s="111" t="n">
        <x:f>IFERROR(VLOOKUP($A245,'Jason FLEX'!$A$6:$N$268,11,FALSE),"")</x:f>
        <x:v>238</x:v>
      </x:c>
      <x:c r="AD245" s="111" t="n">
        <x:f>IFERROR(VLOOKUP($A245,'Jason FLEX'!$A$6:$N$268,12,FALSE),"")</x:f>
        <x:v>1</x:v>
      </x:c>
      <x:c r="AE245" s="111" t="n">
        <x:f>IFERROR(VLOOKUP($A245,'Jason FLEX'!$A$6:$N$268,13,FALSE),"")</x:f>
        <x:v>0</x:v>
      </x:c>
      <x:c r="AF245" s="110" t="n">
        <x:f>IF(COUNT(E245,N245,W245)=0,"",AVERAGE(E245,N245,W245))</x:f>
        <x:v>233.66666666666666</x:v>
      </x:c>
      <x:c r="AG245" s="110" t="n">
        <x:f>IF(COUNT(E245,N245,W245)=0,"",MAX(E245,N245,W245)-MIN(E245,N245,W245))</x:f>
        <x:v>16</x:v>
      </x:c>
      <x:c r="AH245" s="110" t="n">
        <x:f>IF(COUNT(F245,O245,X245)=0,"",AVERAGE(F245,O245,X245))</x:f>
        <x:v>3.1666666666666665</x:v>
      </x:c>
      <x:c r="AI245" s="112" t="n">
        <x:f>IF(COUNT(G245,P245,Y245)=0,"",AVERAGE(G245,P245,Y245))</x:f>
        <x:v>1</x:v>
      </x:c>
      <x:c r="AJ245" s="112" t="n">
        <x:f>IF(COUNT(H245,Q245,Z245)=0,"",AVERAGE(H245,Q245,Z245))</x:f>
        <x:v>5</x:v>
      </x:c>
      <x:c r="AK245" s="112" t="n">
        <x:f>IF(COUNT(I245,R245,AA245)=0,"",AVERAGE(I245,R245,AA245))</x:f>
        <x:v>0</x:v>
      </x:c>
      <x:c r="AL245" s="112" t="n">
        <x:f>IF(COUNT(J245,S245,AB245)=0,"",AVERAGE(J245,S245,AB245))</x:f>
        <x:v>19</x:v>
      </x:c>
      <x:c r="AM245" s="112" t="n">
        <x:f>IF(COUNT(K245,T245,AC245)=0,"",AVERAGE(K245,T245,AC245))</x:f>
        <x:v>264</x:v>
      </x:c>
      <x:c r="AN245" s="112" t="n">
        <x:f>IF(COUNT(L245,U245,AD245)=0,"",AVERAGE(L245,U245,AD245))</x:f>
        <x:v>1</x:v>
      </x:c>
      <x:c r="AO245" s="112" t="n">
        <x:f>IF(COUNT(M245,V245,AE245)=0,"",AVERAGE(M245,V245,AE245))</x:f>
        <x:v>0</x:v>
      </x:c>
    </x:row>
    <x:row r="246">
      <x:c r="A246" s="107" t="str">
        <x:v>Bryce Lance</x:v>
      </x:c>
      <x:c r="B246" s="108" t="str">
        <x:v>WR</x:v>
      </x:c>
      <x:c r="C246" s="108" t="str">
        <x:v>NO</x:v>
      </x:c>
      <x:c r="D246" s="109" t="n">
        <x:v>8</x:v>
      </x:c>
      <x:c r="E246" s="109" t="str">
        <x:f>IFERROR(VLOOKUP($A246,'Mike FLEX'!$A$6:$N$278,5,FALSE),"")</x:f>
      </x:c>
      <x:c r="F246" s="110" t="str">
        <x:f>IFERROR(VLOOKUP($A246,'Mike FLEX'!$A$6:$N$278,6,FALSE),"")</x:f>
      </x:c>
      <x:c r="G246" s="111" t="str">
        <x:f>IFERROR(VLOOKUP($A246,'Mike FLEX'!$A$6:$N$278,7,FALSE),"")</x:f>
      </x:c>
      <x:c r="H246" s="111" t="str">
        <x:f>IFERROR(VLOOKUP($A246,'Mike FLEX'!$A$6:$N$278,8,FALSE),"")</x:f>
      </x:c>
      <x:c r="I246" s="111" t="str">
        <x:f>IFERROR(VLOOKUP($A246,'Mike FLEX'!$A$6:$N$278,9,FALSE),"")</x:f>
      </x:c>
      <x:c r="J246" s="111" t="str">
        <x:f>IFERROR(VLOOKUP($A246,'Mike FLEX'!$A$6:$N$278,10,FALSE),"")</x:f>
      </x:c>
      <x:c r="K246" s="111" t="str">
        <x:f>IFERROR(VLOOKUP($A246,'Mike FLEX'!$A$6:$N$278,11,FALSE),"")</x:f>
      </x:c>
      <x:c r="L246" s="111" t="str">
        <x:f>IFERROR(VLOOKUP($A246,'Mike FLEX'!$A$6:$N$278,12,FALSE),"")</x:f>
      </x:c>
      <x:c r="M246" s="111" t="str">
        <x:f>IFERROR(VLOOKUP($A246,'Mike FLEX'!$A$6:$N$278,13,FALSE),"")</x:f>
      </x:c>
      <x:c r="N246" s="109" t="n">
        <x:f>IFERROR(VLOOKUP($A246,'Andy FLEX'!$A$6:$N$278,5,FALSE),"")</x:f>
        <x:v>234</x:v>
      </x:c>
      <x:c r="O246" s="110" t="n">
        <x:f>IFERROR(VLOOKUP($A246,'Andy FLEX'!$A$6:$N$278,6,FALSE),"")</x:f>
        <x:v>3.7</x:v>
      </x:c>
      <x:c r="P246" s="111" t="n">
        <x:f>IFERROR(VLOOKUP($A246,'Andy FLEX'!$A$6:$N$278,7,FALSE),"")</x:f>
        <x:v>8</x:v>
      </x:c>
      <x:c r="Q246" s="111" t="n">
        <x:f>IFERROR(VLOOKUP($A246,'Andy FLEX'!$A$6:$N$278,8,FALSE),"")</x:f>
        <x:v>44</x:v>
      </x:c>
      <x:c r="R246" s="111" t="n">
        <x:f>IFERROR(VLOOKUP($A246,'Andy FLEX'!$A$6:$N$278,9,FALSE),"")</x:f>
        <x:v>0</x:v>
      </x:c>
      <x:c r="S246" s="111" t="n">
        <x:f>IFERROR(VLOOKUP($A246,'Andy FLEX'!$A$6:$N$278,10,FALSE),"")</x:f>
        <x:v>23</x:v>
      </x:c>
      <x:c r="T246" s="111" t="n">
        <x:f>IFERROR(VLOOKUP($A246,'Andy FLEX'!$A$6:$N$278,11,FALSE),"")</x:f>
        <x:v>294</x:v>
      </x:c>
      <x:c r="U246" s="111" t="n">
        <x:f>IFERROR(VLOOKUP($A246,'Andy FLEX'!$A$6:$N$278,12,FALSE),"")</x:f>
        <x:v>1</x:v>
      </x:c>
      <x:c r="V246" s="111" t="n">
        <x:f>IFERROR(VLOOKUP($A246,'Andy FLEX'!$A$6:$N$278,13,FALSE),"")</x:f>
        <x:v>1</x:v>
      </x:c>
      <x:c r="W246" s="109" t="str">
        <x:f>IFERROR(VLOOKUP($A246,'Jason FLEX'!$A$6:$N$268,5,FALSE),"")</x:f>
      </x:c>
      <x:c r="X246" s="110" t="str">
        <x:f>IFERROR(VLOOKUP($A246,'Jason FLEX'!$A$6:$N$268,6,FALSE),"")</x:f>
      </x:c>
      <x:c r="Y246" s="111" t="str">
        <x:f>IFERROR(VLOOKUP($A246,'Jason FLEX'!$A$6:$N$268,7,FALSE),"")</x:f>
      </x:c>
      <x:c r="Z246" s="111" t="str">
        <x:f>IFERROR(VLOOKUP($A246,'Jason FLEX'!$A$6:$N$268,8,FALSE),"")</x:f>
      </x:c>
      <x:c r="AA246" s="111" t="str">
        <x:f>IFERROR(VLOOKUP($A246,'Jason FLEX'!$A$6:$N$268,9,FALSE),"")</x:f>
      </x:c>
      <x:c r="AB246" s="111" t="str">
        <x:f>IFERROR(VLOOKUP($A246,'Jason FLEX'!$A$6:$N$268,10,FALSE),"")</x:f>
      </x:c>
      <x:c r="AC246" s="111" t="str">
        <x:f>IFERROR(VLOOKUP($A246,'Jason FLEX'!$A$6:$N$268,11,FALSE),"")</x:f>
      </x:c>
      <x:c r="AD246" s="111" t="str">
        <x:f>IFERROR(VLOOKUP($A246,'Jason FLEX'!$A$6:$N$268,12,FALSE),"")</x:f>
      </x:c>
      <x:c r="AE246" s="111" t="str">
        <x:f>IFERROR(VLOOKUP($A246,'Jason FLEX'!$A$6:$N$268,13,FALSE),"")</x:f>
      </x:c>
      <x:c r="AF246" s="110" t="n">
        <x:f>IF(COUNT(E246,N246,W246)=0,"",AVERAGE(E246,N246,W246))</x:f>
        <x:v>234</x:v>
      </x:c>
      <x:c r="AG246" s="110" t="n">
        <x:f>IF(COUNT(E246,N246,W246)=0,"",MAX(E246,N246,W246)-MIN(E246,N246,W246))</x:f>
        <x:v>0</x:v>
      </x:c>
      <x:c r="AH246" s="110" t="n">
        <x:f>IF(COUNT(F246,O246,X246)=0,"",AVERAGE(F246,O246,X246))</x:f>
        <x:v>3.7</x:v>
      </x:c>
      <x:c r="AI246" s="112" t="n">
        <x:f>IF(COUNT(G246,P246,Y246)=0,"",AVERAGE(G246,P246,Y246))</x:f>
        <x:v>8</x:v>
      </x:c>
      <x:c r="AJ246" s="112" t="n">
        <x:f>IF(COUNT(H246,Q246,Z246)=0,"",AVERAGE(H246,Q246,Z246))</x:f>
        <x:v>44</x:v>
      </x:c>
      <x:c r="AK246" s="112" t="n">
        <x:f>IF(COUNT(I246,R246,AA246)=0,"",AVERAGE(I246,R246,AA246))</x:f>
        <x:v>0</x:v>
      </x:c>
      <x:c r="AL246" s="112" t="n">
        <x:f>IF(COUNT(J246,S246,AB246)=0,"",AVERAGE(J246,S246,AB246))</x:f>
        <x:v>23</x:v>
      </x:c>
      <x:c r="AM246" s="112" t="n">
        <x:f>IF(COUNT(K246,T246,AC246)=0,"",AVERAGE(K246,T246,AC246))</x:f>
        <x:v>294</x:v>
      </x:c>
      <x:c r="AN246" s="112" t="n">
        <x:f>IF(COUNT(L246,U246,AD246)=0,"",AVERAGE(L246,U246,AD246))</x:f>
        <x:v>1</x:v>
      </x:c>
      <x:c r="AO246" s="112" t="n">
        <x:f>IF(COUNT(M246,V246,AE246)=0,"",AVERAGE(M246,V246,AE246))</x:f>
        <x:v>1</x:v>
      </x:c>
    </x:row>
    <x:row r="247">
      <x:c r="A247" s="107" t="str">
        <x:v>Ray Davis</x:v>
      </x:c>
      <x:c r="B247" s="108" t="str">
        <x:v>RB</x:v>
      </x:c>
      <x:c r="C247" s="108" t="str">
        <x:v>BUF</x:v>
      </x:c>
      <x:c r="D247" s="109" t="n">
        <x:v>7</x:v>
      </x:c>
      <x:c r="E247" s="109" t="n">
        <x:f>IFERROR(VLOOKUP($A247,'Mike FLEX'!$A$6:$N$278,5,FALSE),"")</x:f>
        <x:v>219</x:v>
      </x:c>
      <x:c r="F247" s="110" t="n">
        <x:f>IFERROR(VLOOKUP($A247,'Mike FLEX'!$A$6:$N$278,6,FALSE),"")</x:f>
        <x:v>3.5</x:v>
      </x:c>
      <x:c r="G247" s="111" t="n">
        <x:f>IFERROR(VLOOKUP($A247,'Mike FLEX'!$A$6:$N$278,7,FALSE),"")</x:f>
        <x:v>68</x:v>
      </x:c>
      <x:c r="H247" s="111" t="n">
        <x:f>IFERROR(VLOOKUP($A247,'Mike FLEX'!$A$6:$N$278,8,FALSE),"")</x:f>
        <x:v>291</x:v>
      </x:c>
      <x:c r="I247" s="111" t="n">
        <x:f>IFERROR(VLOOKUP($A247,'Mike FLEX'!$A$6:$N$278,9,FALSE),"")</x:f>
        <x:v>2</x:v>
      </x:c>
      <x:c r="J247" s="111" t="n">
        <x:f>IFERROR(VLOOKUP($A247,'Mike FLEX'!$A$6:$N$278,10,FALSE),"")</x:f>
        <x:v>8</x:v>
      </x:c>
      <x:c r="K247" s="111" t="n">
        <x:f>IFERROR(VLOOKUP($A247,'Mike FLEX'!$A$6:$N$278,11,FALSE),"")</x:f>
        <x:v>80</x:v>
      </x:c>
      <x:c r="L247" s="111" t="n">
        <x:f>IFERROR(VLOOKUP($A247,'Mike FLEX'!$A$6:$N$278,12,FALSE),"")</x:f>
        <x:v>1</x:v>
      </x:c>
      <x:c r="M247" s="111" t="n">
        <x:f>IFERROR(VLOOKUP($A247,'Mike FLEX'!$A$6:$N$278,13,FALSE),"")</x:f>
        <x:v>0</x:v>
      </x:c>
      <x:c r="N247" s="109" t="n">
        <x:f>IFERROR(VLOOKUP($A247,'Andy FLEX'!$A$6:$N$278,5,FALSE),"")</x:f>
        <x:v>262</x:v>
      </x:c>
      <x:c r="O247" s="110" t="n">
        <x:f>IFERROR(VLOOKUP($A247,'Andy FLEX'!$A$6:$N$278,6,FALSE),"")</x:f>
        <x:v>2.6</x:v>
      </x:c>
      <x:c r="P247" s="111" t="n">
        <x:f>IFERROR(VLOOKUP($A247,'Andy FLEX'!$A$6:$N$278,7,FALSE),"")</x:f>
        <x:v>42</x:v>
      </x:c>
      <x:c r="Q247" s="111" t="n">
        <x:f>IFERROR(VLOOKUP($A247,'Andy FLEX'!$A$6:$N$278,8,FALSE),"")</x:f>
        <x:v>198</x:v>
      </x:c>
      <x:c r="R247" s="111" t="n">
        <x:f>IFERROR(VLOOKUP($A247,'Andy FLEX'!$A$6:$N$278,9,FALSE),"")</x:f>
        <x:v>0</x:v>
      </x:c>
      <x:c r="S247" s="111" t="n">
        <x:f>IFERROR(VLOOKUP($A247,'Andy FLEX'!$A$6:$N$278,10,FALSE),"")</x:f>
        <x:v>8</x:v>
      </x:c>
      <x:c r="T247" s="111" t="n">
        <x:f>IFERROR(VLOOKUP($A247,'Andy FLEX'!$A$6:$N$278,11,FALSE),"")</x:f>
        <x:v>72</x:v>
      </x:c>
      <x:c r="U247" s="111" t="n">
        <x:f>IFERROR(VLOOKUP($A247,'Andy FLEX'!$A$6:$N$278,12,FALSE),"")</x:f>
        <x:v>1</x:v>
      </x:c>
      <x:c r="V247" s="111" t="n">
        <x:f>IFERROR(VLOOKUP($A247,'Andy FLEX'!$A$6:$N$278,13,FALSE),"")</x:f>
        <x:v>0</x:v>
      </x:c>
      <x:c r="W247" s="109" t="n">
        <x:f>IFERROR(VLOOKUP($A247,'Jason FLEX'!$A$6:$N$268,5,FALSE),"")</x:f>
        <x:v>222</x:v>
      </x:c>
      <x:c r="X247" s="110" t="n">
        <x:f>IFERROR(VLOOKUP($A247,'Jason FLEX'!$A$6:$N$268,6,FALSE),"")</x:f>
        <x:v>3.6</x:v>
      </x:c>
      <x:c r="Y247" s="111" t="n">
        <x:f>IFERROR(VLOOKUP($A247,'Jason FLEX'!$A$6:$N$268,7,FALSE),"")</x:f>
        <x:v>70</x:v>
      </x:c>
      <x:c r="Z247" s="111" t="n">
        <x:f>IFERROR(VLOOKUP($A247,'Jason FLEX'!$A$6:$N$268,8,FALSE),"")</x:f>
        <x:v>315</x:v>
      </x:c>
      <x:c r="AA247" s="111" t="n">
        <x:f>IFERROR(VLOOKUP($A247,'Jason FLEX'!$A$6:$N$268,9,FALSE),"")</x:f>
        <x:v>2</x:v>
      </x:c>
      <x:c r="AB247" s="111" t="n">
        <x:f>IFERROR(VLOOKUP($A247,'Jason FLEX'!$A$6:$N$268,10,FALSE),"")</x:f>
        <x:v>9</x:v>
      </x:c>
      <x:c r="AC247" s="111" t="n">
        <x:f>IFERROR(VLOOKUP($A247,'Jason FLEX'!$A$6:$N$268,11,FALSE),"")</x:f>
        <x:v>70</x:v>
      </x:c>
      <x:c r="AD247" s="111" t="n">
        <x:f>IFERROR(VLOOKUP($A247,'Jason FLEX'!$A$6:$N$268,12,FALSE),"")</x:f>
        <x:v>1</x:v>
      </x:c>
      <x:c r="AE247" s="111" t="n">
        <x:f>IFERROR(VLOOKUP($A247,'Jason FLEX'!$A$6:$N$268,13,FALSE),"")</x:f>
        <x:v>1</x:v>
      </x:c>
      <x:c r="AF247" s="110" t="n">
        <x:f>IF(COUNT(E247,N247,W247)=0,"",AVERAGE(E247,N247,W247))</x:f>
        <x:v>234.33333333333334</x:v>
      </x:c>
      <x:c r="AG247" s="110" t="n">
        <x:f>IF(COUNT(E247,N247,W247)=0,"",MAX(E247,N247,W247)-MIN(E247,N247,W247))</x:f>
        <x:v>43</x:v>
      </x:c>
      <x:c r="AH247" s="110" t="n">
        <x:f>IF(COUNT(F247,O247,X247)=0,"",AVERAGE(F247,O247,X247))</x:f>
        <x:v>3.233333333333333</x:v>
      </x:c>
      <x:c r="AI247" s="112" t="n">
        <x:f>IF(COUNT(G247,P247,Y247)=0,"",AVERAGE(G247,P247,Y247))</x:f>
        <x:v>60</x:v>
      </x:c>
      <x:c r="AJ247" s="112" t="n">
        <x:f>IF(COUNT(H247,Q247,Z247)=0,"",AVERAGE(H247,Q247,Z247))</x:f>
        <x:v>268</x:v>
      </x:c>
      <x:c r="AK247" s="112" t="n">
        <x:f>IF(COUNT(I247,R247,AA247)=0,"",AVERAGE(I247,R247,AA247))</x:f>
        <x:v>1.3333333333333333</x:v>
      </x:c>
      <x:c r="AL247" s="112" t="n">
        <x:f>IF(COUNT(J247,S247,AB247)=0,"",AVERAGE(J247,S247,AB247))</x:f>
        <x:v>8.333333333333334</x:v>
      </x:c>
      <x:c r="AM247" s="112" t="n">
        <x:f>IF(COUNT(K247,T247,AC247)=0,"",AVERAGE(K247,T247,AC247))</x:f>
        <x:v>74</x:v>
      </x:c>
      <x:c r="AN247" s="112" t="n">
        <x:f>IF(COUNT(L247,U247,AD247)=0,"",AVERAGE(L247,U247,AD247))</x:f>
        <x:v>1</x:v>
      </x:c>
      <x:c r="AO247" s="112" t="n">
        <x:f>IF(COUNT(M247,V247,AE247)=0,"",AVERAGE(M247,V247,AE247))</x:f>
        <x:v>0.3333333333333333</x:v>
      </x:c>
    </x:row>
    <x:row r="248">
      <x:c r="A248" s="107" t="str">
        <x:v>Kaytron Allen</x:v>
      </x:c>
      <x:c r="B248" s="108" t="str">
        <x:v>RB</x:v>
      </x:c>
      <x:c r="C248" s="108" t="str">
        <x:v>WAS</x:v>
      </x:c>
      <x:c r="D248" s="109" t="n">
        <x:v>7</x:v>
      </x:c>
      <x:c r="E248" s="109" t="n">
        <x:f>IFERROR(VLOOKUP($A248,'Mike FLEX'!$A$6:$N$278,5,FALSE),"")</x:f>
        <x:v>273</x:v>
      </x:c>
      <x:c r="F248" s="110" t="n">
        <x:f>IFERROR(VLOOKUP($A248,'Mike FLEX'!$A$6:$N$278,6,FALSE),"")</x:f>
        <x:v>0.2</x:v>
      </x:c>
      <x:c r="G248" s="111" t="n">
        <x:f>IFERROR(VLOOKUP($A248,'Mike FLEX'!$A$6:$N$278,7,FALSE),"")</x:f>
        <x:v>6</x:v>
      </x:c>
      <x:c r="H248" s="111" t="n">
        <x:f>IFERROR(VLOOKUP($A248,'Mike FLEX'!$A$6:$N$278,8,FALSE),"")</x:f>
        <x:v>25</x:v>
      </x:c>
      <x:c r="I248" s="111" t="n">
        <x:f>IFERROR(VLOOKUP($A248,'Mike FLEX'!$A$6:$N$278,9,FALSE),"")</x:f>
        <x:v>0</x:v>
      </x:c>
      <x:c r="J248" s="111" t="n">
        <x:f>IFERROR(VLOOKUP($A248,'Mike FLEX'!$A$6:$N$278,10,FALSE),"")</x:f>
        <x:v>0</x:v>
      </x:c>
      <x:c r="K248" s="111" t="n">
        <x:f>IFERROR(VLOOKUP($A248,'Mike FLEX'!$A$6:$N$278,11,FALSE),"")</x:f>
        <x:v>0</x:v>
      </x:c>
      <x:c r="L248" s="111" t="n">
        <x:f>IFERROR(VLOOKUP($A248,'Mike FLEX'!$A$6:$N$278,12,FALSE),"")</x:f>
        <x:v>0</x:v>
      </x:c>
      <x:c r="M248" s="111" t="n">
        <x:f>IFERROR(VLOOKUP($A248,'Mike FLEX'!$A$6:$N$278,13,FALSE),"")</x:f>
        <x:v>0</x:v>
      </x:c>
      <x:c r="N248" s="109" t="n">
        <x:f>IFERROR(VLOOKUP($A248,'Andy FLEX'!$A$6:$N$278,5,FALSE),"")</x:f>
        <x:v>191</x:v>
      </x:c>
      <x:c r="O248" s="110" t="n">
        <x:f>IFERROR(VLOOKUP($A248,'Andy FLEX'!$A$6:$N$278,6,FALSE),"")</x:f>
        <x:v>5.1</x:v>
      </x:c>
      <x:c r="P248" s="111" t="n">
        <x:f>IFERROR(VLOOKUP($A248,'Andy FLEX'!$A$6:$N$278,7,FALSE),"")</x:f>
        <x:v>93</x:v>
      </x:c>
      <x:c r="Q248" s="111" t="n">
        <x:f>IFERROR(VLOOKUP($A248,'Andy FLEX'!$A$6:$N$278,8,FALSE),"")</x:f>
        <x:v>414</x:v>
      </x:c>
      <x:c r="R248" s="111" t="n">
        <x:f>IFERROR(VLOOKUP($A248,'Andy FLEX'!$A$6:$N$278,9,FALSE),"")</x:f>
        <x:v>2</x:v>
      </x:c>
      <x:c r="S248" s="111" t="n">
        <x:f>IFERROR(VLOOKUP($A248,'Andy FLEX'!$A$6:$N$278,10,FALSE),"")</x:f>
        <x:v>17</x:v>
      </x:c>
      <x:c r="T248" s="111" t="n">
        <x:f>IFERROR(VLOOKUP($A248,'Andy FLEX'!$A$6:$N$278,11,FALSE),"")</x:f>
        <x:v>128</x:v>
      </x:c>
      <x:c r="U248" s="111" t="n">
        <x:f>IFERROR(VLOOKUP($A248,'Andy FLEX'!$A$6:$N$278,12,FALSE),"")</x:f>
        <x:v>1</x:v>
      </x:c>
      <x:c r="V248" s="111" t="n">
        <x:f>IFERROR(VLOOKUP($A248,'Andy FLEX'!$A$6:$N$278,13,FALSE),"")</x:f>
        <x:v>1</x:v>
      </x:c>
      <x:c r="W248" s="109" t="n">
        <x:f>IFERROR(VLOOKUP($A248,'Jason FLEX'!$A$6:$N$268,5,FALSE),"")</x:f>
        <x:v>242</x:v>
      </x:c>
      <x:c r="X248" s="110" t="n">
        <x:f>IFERROR(VLOOKUP($A248,'Jason FLEX'!$A$6:$N$268,6,FALSE),"")</x:f>
        <x:v>2.7</x:v>
      </x:c>
      <x:c r="Y248" s="111" t="n">
        <x:f>IFERROR(VLOOKUP($A248,'Jason FLEX'!$A$6:$N$268,7,FALSE),"")</x:f>
        <x:v>44</x:v>
      </x:c>
      <x:c r="Z248" s="111" t="n">
        <x:f>IFERROR(VLOOKUP($A248,'Jason FLEX'!$A$6:$N$268,8,FALSE),"")</x:f>
        <x:v>163</x:v>
      </x:c>
      <x:c r="AA248" s="111" t="n">
        <x:f>IFERROR(VLOOKUP($A248,'Jason FLEX'!$A$6:$N$268,9,FALSE),"")</x:f>
        <x:v>4</x:v>
      </x:c>
      <x:c r="AB248" s="111" t="n">
        <x:f>IFERROR(VLOOKUP($A248,'Jason FLEX'!$A$6:$N$268,10,FALSE),"")</x:f>
        <x:v>3</x:v>
      </x:c>
      <x:c r="AC248" s="111" t="n">
        <x:f>IFERROR(VLOOKUP($A248,'Jason FLEX'!$A$6:$N$268,11,FALSE),"")</x:f>
        <x:v>20</x:v>
      </x:c>
      <x:c r="AD248" s="111" t="n">
        <x:f>IFERROR(VLOOKUP($A248,'Jason FLEX'!$A$6:$N$268,12,FALSE),"")</x:f>
        <x:v>0</x:v>
      </x:c>
      <x:c r="AE248" s="111" t="n">
        <x:f>IFERROR(VLOOKUP($A248,'Jason FLEX'!$A$6:$N$268,13,FALSE),"")</x:f>
        <x:v>0</x:v>
      </x:c>
      <x:c r="AF248" s="110" t="n">
        <x:f>IF(COUNT(E248,N248,W248)=0,"",AVERAGE(E248,N248,W248))</x:f>
        <x:v>235.33333333333334</x:v>
      </x:c>
      <x:c r="AG248" s="110" t="n">
        <x:f>IF(COUNT(E248,N248,W248)=0,"",MAX(E248,N248,W248)-MIN(E248,N248,W248))</x:f>
        <x:v>82</x:v>
      </x:c>
      <x:c r="AH248" s="110" t="n">
        <x:f>IF(COUNT(F248,O248,X248)=0,"",AVERAGE(F248,O248,X248))</x:f>
        <x:v>2.6666666666666665</x:v>
      </x:c>
      <x:c r="AI248" s="112" t="n">
        <x:f>IF(COUNT(G248,P248,Y248)=0,"",AVERAGE(G248,P248,Y248))</x:f>
        <x:v>47.666666666666664</x:v>
      </x:c>
      <x:c r="AJ248" s="112" t="n">
        <x:f>IF(COUNT(H248,Q248,Z248)=0,"",AVERAGE(H248,Q248,Z248))</x:f>
        <x:v>200.66666666666666</x:v>
      </x:c>
      <x:c r="AK248" s="112" t="n">
        <x:f>IF(COUNT(I248,R248,AA248)=0,"",AVERAGE(I248,R248,AA248))</x:f>
        <x:v>2</x:v>
      </x:c>
      <x:c r="AL248" s="112" t="n">
        <x:f>IF(COUNT(J248,S248,AB248)=0,"",AVERAGE(J248,S248,AB248))</x:f>
        <x:v>6.666666666666667</x:v>
      </x:c>
      <x:c r="AM248" s="112" t="n">
        <x:f>IF(COUNT(K248,T248,AC248)=0,"",AVERAGE(K248,T248,AC248))</x:f>
        <x:v>49.333333333333336</x:v>
      </x:c>
      <x:c r="AN248" s="112" t="n">
        <x:f>IF(COUNT(L248,U248,AD248)=0,"",AVERAGE(L248,U248,AD248))</x:f>
        <x:v>0.3333333333333333</x:v>
      </x:c>
      <x:c r="AO248" s="112" t="n">
        <x:f>IF(COUNT(M248,V248,AE248)=0,"",AVERAGE(M248,V248,AE248))</x:f>
        <x:v>0.3333333333333333</x:v>
      </x:c>
    </x:row>
    <x:row r="249">
      <x:c r="A249" s="107" t="str">
        <x:v>Xavier Legette</x:v>
      </x:c>
      <x:c r="B249" s="108" t="str">
        <x:v>WR</x:v>
      </x:c>
      <x:c r="C249" s="108" t="str">
        <x:v>CAR</x:v>
      </x:c>
      <x:c r="D249" s="109" t="n">
        <x:v>5</x:v>
      </x:c>
      <x:c r="E249" s="109" t="n">
        <x:f>IFERROR(VLOOKUP($A249,'Mike FLEX'!$A$6:$N$278,5,FALSE),"")</x:f>
        <x:v>230</x:v>
      </x:c>
      <x:c r="F249" s="110" t="n">
        <x:f>IFERROR(VLOOKUP($A249,'Mike FLEX'!$A$6:$N$278,6,FALSE),"")</x:f>
        <x:v>2.9</x:v>
      </x:c>
      <x:c r="G249" s="111" t="n">
        <x:f>IFERROR(VLOOKUP($A249,'Mike FLEX'!$A$6:$N$278,7,FALSE),"")</x:f>
        <x:v>3</x:v>
      </x:c>
      <x:c r="H249" s="111" t="n">
        <x:f>IFERROR(VLOOKUP($A249,'Mike FLEX'!$A$6:$N$278,8,FALSE),"")</x:f>
        <x:v>9</x:v>
      </x:c>
      <x:c r="I249" s="111" t="n">
        <x:f>IFERROR(VLOOKUP($A249,'Mike FLEX'!$A$6:$N$278,9,FALSE),"")</x:f>
        <x:v>0</x:v>
      </x:c>
      <x:c r="J249" s="111" t="n">
        <x:f>IFERROR(VLOOKUP($A249,'Mike FLEX'!$A$6:$N$278,10,FALSE),"")</x:f>
        <x:v>20</x:v>
      </x:c>
      <x:c r="K249" s="111" t="n">
        <x:f>IFERROR(VLOOKUP($A249,'Mike FLEX'!$A$6:$N$278,11,FALSE),"")</x:f>
        <x:v>207</x:v>
      </x:c>
      <x:c r="L249" s="111" t="n">
        <x:f>IFERROR(VLOOKUP($A249,'Mike FLEX'!$A$6:$N$278,12,FALSE),"")</x:f>
        <x:v>1</x:v>
      </x:c>
      <x:c r="M249" s="111" t="n">
        <x:f>IFERROR(VLOOKUP($A249,'Mike FLEX'!$A$6:$N$278,13,FALSE),"")</x:f>
        <x:v>1</x:v>
      </x:c>
      <x:c r="N249" s="109" t="n">
        <x:f>IFERROR(VLOOKUP($A249,'Andy FLEX'!$A$6:$N$278,5,FALSE),"")</x:f>
        <x:v>267</x:v>
      </x:c>
      <x:c r="O249" s="110" t="n">
        <x:f>IFERROR(VLOOKUP($A249,'Andy FLEX'!$A$6:$N$278,6,FALSE),"")</x:f>
        <x:v>2.1</x:v>
      </x:c>
      <x:c r="P249" s="111" t="n">
        <x:f>IFERROR(VLOOKUP($A249,'Andy FLEX'!$A$6:$N$278,7,FALSE),"")</x:f>
        <x:v>1</x:v>
      </x:c>
      <x:c r="Q249" s="111" t="n">
        <x:f>IFERROR(VLOOKUP($A249,'Andy FLEX'!$A$6:$N$278,8,FALSE),"")</x:f>
        <x:v>0</x:v>
      </x:c>
      <x:c r="R249" s="111" t="n">
        <x:f>IFERROR(VLOOKUP($A249,'Andy FLEX'!$A$6:$N$278,9,FALSE),"")</x:f>
        <x:v>0</x:v>
      </x:c>
      <x:c r="S249" s="111" t="n">
        <x:f>IFERROR(VLOOKUP($A249,'Andy FLEX'!$A$6:$N$278,10,FALSE),"")</x:f>
        <x:v>13</x:v>
      </x:c>
      <x:c r="T249" s="111" t="n">
        <x:f>IFERROR(VLOOKUP($A249,'Andy FLEX'!$A$6:$N$278,11,FALSE),"")</x:f>
        <x:v>129</x:v>
      </x:c>
      <x:c r="U249" s="111" t="n">
        <x:f>IFERROR(VLOOKUP($A249,'Andy FLEX'!$A$6:$N$278,12,FALSE),"")</x:f>
        <x:v>2</x:v>
      </x:c>
      <x:c r="V249" s="111" t="n">
        <x:f>IFERROR(VLOOKUP($A249,'Andy FLEX'!$A$6:$N$278,13,FALSE),"")</x:f>
        <x:v>0</x:v>
      </x:c>
      <x:c r="W249" s="109" t="n">
        <x:f>IFERROR(VLOOKUP($A249,'Jason FLEX'!$A$6:$N$268,5,FALSE),"")</x:f>
        <x:v>212</x:v>
      </x:c>
      <x:c r="X249" s="110" t="n">
        <x:f>IFERROR(VLOOKUP($A249,'Jason FLEX'!$A$6:$N$268,6,FALSE),"")</x:f>
        <x:v>4</x:v>
      </x:c>
      <x:c r="Y249" s="111" t="n">
        <x:f>IFERROR(VLOOKUP($A249,'Jason FLEX'!$A$6:$N$268,7,FALSE),"")</x:f>
        <x:v>2</x:v>
      </x:c>
      <x:c r="Z249" s="111" t="n">
        <x:f>IFERROR(VLOOKUP($A249,'Jason FLEX'!$A$6:$N$268,8,FALSE),"")</x:f>
        <x:v>8</x:v>
      </x:c>
      <x:c r="AA249" s="111" t="n">
        <x:f>IFERROR(VLOOKUP($A249,'Jason FLEX'!$A$6:$N$268,9,FALSE),"")</x:f>
        <x:v>0</x:v>
      </x:c>
      <x:c r="AB249" s="111" t="n">
        <x:f>IFERROR(VLOOKUP($A249,'Jason FLEX'!$A$6:$N$268,10,FALSE),"")</x:f>
        <x:v>28</x:v>
      </x:c>
      <x:c r="AC249" s="111" t="n">
        <x:f>IFERROR(VLOOKUP($A249,'Jason FLEX'!$A$6:$N$268,11,FALSE),"")</x:f>
        <x:v>300</x:v>
      </x:c>
      <x:c r="AD249" s="111" t="n">
        <x:f>IFERROR(VLOOKUP($A249,'Jason FLEX'!$A$6:$N$268,12,FALSE),"")</x:f>
        <x:v>2</x:v>
      </x:c>
      <x:c r="AE249" s="111" t="n">
        <x:f>IFERROR(VLOOKUP($A249,'Jason FLEX'!$A$6:$N$268,13,FALSE),"")</x:f>
        <x:v>1</x:v>
      </x:c>
      <x:c r="AF249" s="110" t="n">
        <x:f>IF(COUNT(E249,N249,W249)=0,"",AVERAGE(E249,N249,W249))</x:f>
        <x:v>236.33333333333334</x:v>
      </x:c>
      <x:c r="AG249" s="110" t="n">
        <x:f>IF(COUNT(E249,N249,W249)=0,"",MAX(E249,N249,W249)-MIN(E249,N249,W249))</x:f>
        <x:v>55</x:v>
      </x:c>
      <x:c r="AH249" s="110" t="n">
        <x:f>IF(COUNT(F249,O249,X249)=0,"",AVERAGE(F249,O249,X249))</x:f>
        <x:v>3</x:v>
      </x:c>
      <x:c r="AI249" s="112" t="n">
        <x:f>IF(COUNT(G249,P249,Y249)=0,"",AVERAGE(G249,P249,Y249))</x:f>
        <x:v>2</x:v>
      </x:c>
      <x:c r="AJ249" s="112" t="n">
        <x:f>IF(COUNT(H249,Q249,Z249)=0,"",AVERAGE(H249,Q249,Z249))</x:f>
        <x:v>5.666666666666667</x:v>
      </x:c>
      <x:c r="AK249" s="112" t="n">
        <x:f>IF(COUNT(I249,R249,AA249)=0,"",AVERAGE(I249,R249,AA249))</x:f>
        <x:v>0</x:v>
      </x:c>
      <x:c r="AL249" s="112" t="n">
        <x:f>IF(COUNT(J249,S249,AB249)=0,"",AVERAGE(J249,S249,AB249))</x:f>
        <x:v>20.333333333333332</x:v>
      </x:c>
      <x:c r="AM249" s="112" t="n">
        <x:f>IF(COUNT(K249,T249,AC249)=0,"",AVERAGE(K249,T249,AC249))</x:f>
        <x:v>212</x:v>
      </x:c>
      <x:c r="AN249" s="112" t="n">
        <x:f>IF(COUNT(L249,U249,AD249)=0,"",AVERAGE(L249,U249,AD249))</x:f>
        <x:v>1.6666666666666667</x:v>
      </x:c>
      <x:c r="AO249" s="112" t="n">
        <x:f>IF(COUNT(M249,V249,AE249)=0,"",AVERAGE(M249,V249,AE249))</x:f>
        <x:v>0.6666666666666666</x:v>
      </x:c>
    </x:row>
    <x:row r="250">
      <x:c r="A250" s="107" t="str">
        <x:v>Emanuel Wilson</x:v>
      </x:c>
      <x:c r="B250" s="108" t="str">
        <x:v>RB</x:v>
      </x:c>
      <x:c r="C250" s="108" t="str">
        <x:v>SEA</x:v>
      </x:c>
      <x:c r="D250" s="109" t="n">
        <x:v>11</x:v>
      </x:c>
      <x:c r="E250" s="109" t="n">
        <x:f>IFERROR(VLOOKUP($A250,'Mike FLEX'!$A$6:$N$278,5,FALSE),"")</x:f>
        <x:v>226</x:v>
      </x:c>
      <x:c r="F250" s="110" t="n">
        <x:f>IFERROR(VLOOKUP($A250,'Mike FLEX'!$A$6:$N$278,6,FALSE),"")</x:f>
        <x:v>3.1</x:v>
      </x:c>
      <x:c r="G250" s="111" t="n">
        <x:f>IFERROR(VLOOKUP($A250,'Mike FLEX'!$A$6:$N$278,7,FALSE),"")</x:f>
        <x:v>57</x:v>
      </x:c>
      <x:c r="H250" s="111" t="n">
        <x:f>IFERROR(VLOOKUP($A250,'Mike FLEX'!$A$6:$N$278,8,FALSE),"")</x:f>
        <x:v>246</x:v>
      </x:c>
      <x:c r="I250" s="111" t="n">
        <x:f>IFERROR(VLOOKUP($A250,'Mike FLEX'!$A$6:$N$278,9,FALSE),"")</x:f>
        <x:v>2</x:v>
      </x:c>
      <x:c r="J250" s="111" t="n">
        <x:f>IFERROR(VLOOKUP($A250,'Mike FLEX'!$A$6:$N$278,10,FALSE),"")</x:f>
        <x:v>11</x:v>
      </x:c>
      <x:c r="K250" s="111" t="n">
        <x:f>IFERROR(VLOOKUP($A250,'Mike FLEX'!$A$6:$N$278,11,FALSE),"")</x:f>
        <x:v>65</x:v>
      </x:c>
      <x:c r="L250" s="111" t="n">
        <x:f>IFERROR(VLOOKUP($A250,'Mike FLEX'!$A$6:$N$278,12,FALSE),"")</x:f>
        <x:v>0</x:v>
      </x:c>
      <x:c r="M250" s="111" t="n">
        <x:f>IFERROR(VLOOKUP($A250,'Mike FLEX'!$A$6:$N$278,13,FALSE),"")</x:f>
        <x:v>0</x:v>
      </x:c>
      <x:c r="N250" s="109" t="n">
        <x:f>IFERROR(VLOOKUP($A250,'Andy FLEX'!$A$6:$N$278,5,FALSE),"")</x:f>
        <x:v>232</x:v>
      </x:c>
      <x:c r="O250" s="110" t="n">
        <x:f>IFERROR(VLOOKUP($A250,'Andy FLEX'!$A$6:$N$278,6,FALSE),"")</x:f>
        <x:v>3.7</x:v>
      </x:c>
      <x:c r="P250" s="111" t="n">
        <x:f>IFERROR(VLOOKUP($A250,'Andy FLEX'!$A$6:$N$278,7,FALSE),"")</x:f>
        <x:v>81</x:v>
      </x:c>
      <x:c r="Q250" s="111" t="n">
        <x:f>IFERROR(VLOOKUP($A250,'Andy FLEX'!$A$6:$N$278,8,FALSE),"")</x:f>
        <x:v>331</x:v>
      </x:c>
      <x:c r="R250" s="111" t="n">
        <x:f>IFERROR(VLOOKUP($A250,'Andy FLEX'!$A$6:$N$278,9,FALSE),"")</x:f>
        <x:v>2</x:v>
      </x:c>
      <x:c r="S250" s="111" t="n">
        <x:f>IFERROR(VLOOKUP($A250,'Andy FLEX'!$A$6:$N$278,10,FALSE),"")</x:f>
        <x:v>10</x:v>
      </x:c>
      <x:c r="T250" s="111" t="n">
        <x:f>IFERROR(VLOOKUP($A250,'Andy FLEX'!$A$6:$N$278,11,FALSE),"")</x:f>
        <x:v>75</x:v>
      </x:c>
      <x:c r="U250" s="111" t="n">
        <x:f>IFERROR(VLOOKUP($A250,'Andy FLEX'!$A$6:$N$278,12,FALSE),"")</x:f>
        <x:v>0</x:v>
      </x:c>
      <x:c r="V250" s="111" t="n">
        <x:f>IFERROR(VLOOKUP($A250,'Andy FLEX'!$A$6:$N$278,13,FALSE),"")</x:f>
        <x:v>1</x:v>
      </x:c>
      <x:c r="W250" s="109" t="n">
        <x:f>IFERROR(VLOOKUP($A250,'Jason FLEX'!$A$6:$N$268,5,FALSE),"")</x:f>
        <x:v>255</x:v>
      </x:c>
      <x:c r="X250" s="110" t="n">
        <x:f>IFERROR(VLOOKUP($A250,'Jason FLEX'!$A$6:$N$268,6,FALSE),"")</x:f>
        <x:v>1.6</x:v>
      </x:c>
      <x:c r="Y250" s="111" t="n">
        <x:f>IFERROR(VLOOKUP($A250,'Jason FLEX'!$A$6:$N$268,7,FALSE),"")</x:f>
        <x:v>17</x:v>
      </x:c>
      <x:c r="Z250" s="111" t="n">
        <x:f>IFERROR(VLOOKUP($A250,'Jason FLEX'!$A$6:$N$268,8,FALSE),"")</x:f>
        <x:v>66</x:v>
      </x:c>
      <x:c r="AA250" s="111" t="n">
        <x:f>IFERROR(VLOOKUP($A250,'Jason FLEX'!$A$6:$N$268,9,FALSE),"")</x:f>
        <x:v>2</x:v>
      </x:c>
      <x:c r="AB250" s="111" t="n">
        <x:f>IFERROR(VLOOKUP($A250,'Jason FLEX'!$A$6:$N$268,10,FALSE),"")</x:f>
        <x:v>6</x:v>
      </x:c>
      <x:c r="AC250" s="111" t="n">
        <x:f>IFERROR(VLOOKUP($A250,'Jason FLEX'!$A$6:$N$268,11,FALSE),"")</x:f>
        <x:v>36</x:v>
      </x:c>
      <x:c r="AD250" s="111" t="n">
        <x:f>IFERROR(VLOOKUP($A250,'Jason FLEX'!$A$6:$N$268,12,FALSE),"")</x:f>
        <x:v>0</x:v>
      </x:c>
      <x:c r="AE250" s="111" t="n">
        <x:f>IFERROR(VLOOKUP($A250,'Jason FLEX'!$A$6:$N$268,13,FALSE),"")</x:f>
        <x:v>0</x:v>
      </x:c>
      <x:c r="AF250" s="110" t="n">
        <x:f>IF(COUNT(E250,N250,W250)=0,"",AVERAGE(E250,N250,W250))</x:f>
        <x:v>237.66666666666666</x:v>
      </x:c>
      <x:c r="AG250" s="110" t="n">
        <x:f>IF(COUNT(E250,N250,W250)=0,"",MAX(E250,N250,W250)-MIN(E250,N250,W250))</x:f>
        <x:v>29</x:v>
      </x:c>
      <x:c r="AH250" s="110" t="n">
        <x:f>IF(COUNT(F250,O250,X250)=0,"",AVERAGE(F250,O250,X250))</x:f>
        <x:v>2.8000000000000003</x:v>
      </x:c>
      <x:c r="AI250" s="112" t="n">
        <x:f>IF(COUNT(G250,P250,Y250)=0,"",AVERAGE(G250,P250,Y250))</x:f>
        <x:v>51.666666666666664</x:v>
      </x:c>
      <x:c r="AJ250" s="112" t="n">
        <x:f>IF(COUNT(H250,Q250,Z250)=0,"",AVERAGE(H250,Q250,Z250))</x:f>
        <x:v>214.33333333333334</x:v>
      </x:c>
      <x:c r="AK250" s="112" t="n">
        <x:f>IF(COUNT(I250,R250,AA250)=0,"",AVERAGE(I250,R250,AA250))</x:f>
        <x:v>2</x:v>
      </x:c>
      <x:c r="AL250" s="112" t="n">
        <x:f>IF(COUNT(J250,S250,AB250)=0,"",AVERAGE(J250,S250,AB250))</x:f>
        <x:v>9</x:v>
      </x:c>
      <x:c r="AM250" s="112" t="n">
        <x:f>IF(COUNT(K250,T250,AC250)=0,"",AVERAGE(K250,T250,AC250))</x:f>
        <x:v>58.666666666666664</x:v>
      </x:c>
      <x:c r="AN250" s="112" t="n">
        <x:f>IF(COUNT(L250,U250,AD250)=0,"",AVERAGE(L250,U250,AD250))</x:f>
        <x:v>0</x:v>
      </x:c>
      <x:c r="AO250" s="112" t="n">
        <x:f>IF(COUNT(M250,V250,AE250)=0,"",AVERAGE(M250,V250,AE250))</x:f>
        <x:v>0.3333333333333333</x:v>
      </x:c>
    </x:row>
    <x:row r="251">
      <x:c r="A251" s="107" t="str">
        <x:v>Ben Sinnott</x:v>
      </x:c>
      <x:c r="B251" s="108" t="str">
        <x:v>TE</x:v>
      </x:c>
      <x:c r="C251" s="108" t="str">
        <x:v>WAS</x:v>
      </x:c>
      <x:c r="D251" s="109" t="n">
        <x:v>7</x:v>
      </x:c>
      <x:c r="E251" s="109" t="n">
        <x:f>IFERROR(VLOOKUP($A251,'Mike FLEX'!$A$6:$N$278,5,FALSE),"")</x:f>
        <x:v>254</x:v>
      </x:c>
      <x:c r="F251" s="110" t="n">
        <x:f>IFERROR(VLOOKUP($A251,'Mike FLEX'!$A$6:$N$278,6,FALSE),"")</x:f>
        <x:v>1.8</x:v>
      </x:c>
      <x:c r="G251" s="111" t="n">
        <x:f>IFERROR(VLOOKUP($A251,'Mike FLEX'!$A$6:$N$278,7,FALSE),"")</x:f>
        <x:v>0</x:v>
      </x:c>
      <x:c r="H251" s="111" t="n">
        <x:f>IFERROR(VLOOKUP($A251,'Mike FLEX'!$A$6:$N$278,8,FALSE),"")</x:f>
        <x:v>0</x:v>
      </x:c>
      <x:c r="I251" s="111" t="n">
        <x:f>IFERROR(VLOOKUP($A251,'Mike FLEX'!$A$6:$N$278,9,FALSE),"")</x:f>
        <x:v>0</x:v>
      </x:c>
      <x:c r="J251" s="111" t="n">
        <x:f>IFERROR(VLOOKUP($A251,'Mike FLEX'!$A$6:$N$278,10,FALSE),"")</x:f>
        <x:v>13</x:v>
      </x:c>
      <x:c r="K251" s="111" t="n">
        <x:f>IFERROR(VLOOKUP($A251,'Mike FLEX'!$A$6:$N$278,11,FALSE),"")</x:f>
        <x:v>126</x:v>
      </x:c>
      <x:c r="L251" s="111" t="n">
        <x:f>IFERROR(VLOOKUP($A251,'Mike FLEX'!$A$6:$N$278,12,FALSE),"")</x:f>
        <x:v>1</x:v>
      </x:c>
      <x:c r="M251" s="111" t="n">
        <x:f>IFERROR(VLOOKUP($A251,'Mike FLEX'!$A$6:$N$278,13,FALSE),"")</x:f>
        <x:v>0</x:v>
      </x:c>
      <x:c r="N251" s="109" t="n">
        <x:f>IFERROR(VLOOKUP($A251,'Andy FLEX'!$A$6:$N$278,5,FALSE),"")</x:f>
        <x:v>235</x:v>
      </x:c>
      <x:c r="O251" s="110" t="n">
        <x:f>IFERROR(VLOOKUP($A251,'Andy FLEX'!$A$6:$N$278,6,FALSE),"")</x:f>
        <x:v>3.6</x:v>
      </x:c>
      <x:c r="P251" s="111" t="n">
        <x:f>IFERROR(VLOOKUP($A251,'Andy FLEX'!$A$6:$N$278,7,FALSE),"")</x:f>
        <x:v>2</x:v>
      </x:c>
      <x:c r="Q251" s="111" t="n">
        <x:f>IFERROR(VLOOKUP($A251,'Andy FLEX'!$A$6:$N$278,8,FALSE),"")</x:f>
        <x:v>10</x:v>
      </x:c>
      <x:c r="R251" s="111" t="n">
        <x:f>IFERROR(VLOOKUP($A251,'Andy FLEX'!$A$6:$N$278,9,FALSE),"")</x:f>
        <x:v>0</x:v>
      </x:c>
      <x:c r="S251" s="111" t="n">
        <x:f>IFERROR(VLOOKUP($A251,'Andy FLEX'!$A$6:$N$278,10,FALSE),"")</x:f>
        <x:v>26</x:v>
      </x:c>
      <x:c r="T251" s="111" t="n">
        <x:f>IFERROR(VLOOKUP($A251,'Andy FLEX'!$A$6:$N$278,11,FALSE),"")</x:f>
        <x:v>280</x:v>
      </x:c>
      <x:c r="U251" s="111" t="n">
        <x:f>IFERROR(VLOOKUP($A251,'Andy FLEX'!$A$6:$N$278,12,FALSE),"")</x:f>
        <x:v>1</x:v>
      </x:c>
      <x:c r="V251" s="111" t="n">
        <x:f>IFERROR(VLOOKUP($A251,'Andy FLEX'!$A$6:$N$278,13,FALSE),"")</x:f>
        <x:v>0</x:v>
      </x:c>
      <x:c r="W251" s="109" t="n">
        <x:f>IFERROR(VLOOKUP($A251,'Jason FLEX'!$A$6:$N$268,5,FALSE),"")</x:f>
        <x:v>225</x:v>
      </x:c>
      <x:c r="X251" s="110" t="n">
        <x:f>IFERROR(VLOOKUP($A251,'Jason FLEX'!$A$6:$N$268,6,FALSE),"")</x:f>
        <x:v>3.3</x:v>
      </x:c>
      <x:c r="Y251" s="111" t="n">
        <x:f>IFERROR(VLOOKUP($A251,'Jason FLEX'!$A$6:$N$268,7,FALSE),"")</x:f>
        <x:v>0</x:v>
      </x:c>
      <x:c r="Z251" s="111" t="n">
        <x:f>IFERROR(VLOOKUP($A251,'Jason FLEX'!$A$6:$N$268,8,FALSE),"")</x:f>
        <x:v>0</x:v>
      </x:c>
      <x:c r="AA251" s="111" t="n">
        <x:f>IFERROR(VLOOKUP($A251,'Jason FLEX'!$A$6:$N$268,9,FALSE),"")</x:f>
        <x:v>0</x:v>
      </x:c>
      <x:c r="AB251" s="111" t="n">
        <x:f>IFERROR(VLOOKUP($A251,'Jason FLEX'!$A$6:$N$268,10,FALSE),"")</x:f>
        <x:v>18</x:v>
      </x:c>
      <x:c r="AC251" s="111" t="n">
        <x:f>IFERROR(VLOOKUP($A251,'Jason FLEX'!$A$6:$N$268,11,FALSE),"")</x:f>
        <x:v>240</x:v>
      </x:c>
      <x:c r="AD251" s="111" t="n">
        <x:f>IFERROR(VLOOKUP($A251,'Jason FLEX'!$A$6:$N$268,12,FALSE),"")</x:f>
        <x:v>2</x:v>
      </x:c>
      <x:c r="AE251" s="111" t="n">
        <x:f>IFERROR(VLOOKUP($A251,'Jason FLEX'!$A$6:$N$268,13,FALSE),"")</x:f>
        <x:v>0</x:v>
      </x:c>
      <x:c r="AF251" s="110" t="n">
        <x:f>IF(COUNT(E251,N251,W251)=0,"",AVERAGE(E251,N251,W251))</x:f>
        <x:v>238</x:v>
      </x:c>
      <x:c r="AG251" s="110" t="n">
        <x:f>IF(COUNT(E251,N251,W251)=0,"",MAX(E251,N251,W251)-MIN(E251,N251,W251))</x:f>
        <x:v>29</x:v>
      </x:c>
      <x:c r="AH251" s="110" t="n">
        <x:f>IF(COUNT(F251,O251,X251)=0,"",AVERAGE(F251,O251,X251))</x:f>
        <x:v>2.9</x:v>
      </x:c>
      <x:c r="AI251" s="112" t="n">
        <x:f>IF(COUNT(G251,P251,Y251)=0,"",AVERAGE(G251,P251,Y251))</x:f>
        <x:v>0.6666666666666666</x:v>
      </x:c>
      <x:c r="AJ251" s="112" t="n">
        <x:f>IF(COUNT(H251,Q251,Z251)=0,"",AVERAGE(H251,Q251,Z251))</x:f>
        <x:v>3.3333333333333335</x:v>
      </x:c>
      <x:c r="AK251" s="112" t="n">
        <x:f>IF(COUNT(I251,R251,AA251)=0,"",AVERAGE(I251,R251,AA251))</x:f>
        <x:v>0</x:v>
      </x:c>
      <x:c r="AL251" s="112" t="n">
        <x:f>IF(COUNT(J251,S251,AB251)=0,"",AVERAGE(J251,S251,AB251))</x:f>
        <x:v>19</x:v>
      </x:c>
      <x:c r="AM251" s="112" t="n">
        <x:f>IF(COUNT(K251,T251,AC251)=0,"",AVERAGE(K251,T251,AC251))</x:f>
        <x:v>215.33333333333334</x:v>
      </x:c>
      <x:c r="AN251" s="112" t="n">
        <x:f>IF(COUNT(L251,U251,AD251)=0,"",AVERAGE(L251,U251,AD251))</x:f>
        <x:v>1.3333333333333333</x:v>
      </x:c>
      <x:c r="AO251" s="112" t="n">
        <x:f>IF(COUNT(M251,V251,AE251)=0,"",AVERAGE(M251,V251,AE251))</x:f>
        <x:v>0</x:v>
      </x:c>
    </x:row>
    <x:row r="252">
      <x:c r="A252" s="107" t="str">
        <x:v>Kaleb Johnson</x:v>
      </x:c>
      <x:c r="B252" s="108" t="str">
        <x:v>RB</x:v>
      </x:c>
      <x:c r="C252" s="108" t="str">
        <x:v>GB</x:v>
      </x:c>
      <x:c r="D252" s="109" t="n">
        <x:v>11</x:v>
      </x:c>
      <x:c r="E252" s="109" t="n">
        <x:f>IFERROR(VLOOKUP($A252,'Mike FLEX'!$A$6:$N$278,5,FALSE),"")</x:f>
        <x:v>259</x:v>
      </x:c>
      <x:c r="F252" s="110" t="n">
        <x:f>IFERROR(VLOOKUP($A252,'Mike FLEX'!$A$6:$N$278,6,FALSE),"")</x:f>
        <x:v>1.5</x:v>
      </x:c>
      <x:c r="G252" s="111" t="n">
        <x:f>IFERROR(VLOOKUP($A252,'Mike FLEX'!$A$6:$N$278,7,FALSE),"")</x:f>
        <x:v>70</x:v>
      </x:c>
      <x:c r="H252" s="111" t="n">
        <x:f>IFERROR(VLOOKUP($A252,'Mike FLEX'!$A$6:$N$278,8,FALSE),"")</x:f>
        <x:v>175</x:v>
      </x:c>
      <x:c r="I252" s="111" t="n">
        <x:f>IFERROR(VLOOKUP($A252,'Mike FLEX'!$A$6:$N$278,9,FALSE),"")</x:f>
        <x:v>1</x:v>
      </x:c>
      <x:c r="J252" s="111" t="n">
        <x:f>IFERROR(VLOOKUP($A252,'Mike FLEX'!$A$6:$N$278,10,FALSE),"")</x:f>
        <x:v>0</x:v>
      </x:c>
      <x:c r="K252" s="111" t="n">
        <x:f>IFERROR(VLOOKUP($A252,'Mike FLEX'!$A$6:$N$278,11,FALSE),"")</x:f>
        <x:v>0</x:v>
      </x:c>
      <x:c r="L252" s="111" t="n">
        <x:f>IFERROR(VLOOKUP($A252,'Mike FLEX'!$A$6:$N$278,12,FALSE),"")</x:f>
        <x:v>0</x:v>
      </x:c>
      <x:c r="M252" s="111" t="n">
        <x:f>IFERROR(VLOOKUP($A252,'Mike FLEX'!$A$6:$N$278,13,FALSE),"")</x:f>
        <x:v>0</x:v>
      </x:c>
      <x:c r="N252" s="109" t="n">
        <x:f>IFERROR(VLOOKUP($A252,'Andy FLEX'!$A$6:$N$278,5,FALSE),"")</x:f>
        <x:v>254</x:v>
      </x:c>
      <x:c r="O252" s="110" t="n">
        <x:f>IFERROR(VLOOKUP($A252,'Andy FLEX'!$A$6:$N$278,6,FALSE),"")</x:f>
        <x:v>2.9</x:v>
      </x:c>
      <x:c r="P252" s="111" t="n">
        <x:f>IFERROR(VLOOKUP($A252,'Andy FLEX'!$A$6:$N$278,7,FALSE),"")</x:f>
        <x:v>62</x:v>
      </x:c>
      <x:c r="Q252" s="111" t="n">
        <x:f>IFERROR(VLOOKUP($A252,'Andy FLEX'!$A$6:$N$278,8,FALSE),"")</x:f>
        <x:v>259</x:v>
      </x:c>
      <x:c r="R252" s="111" t="n">
        <x:f>IFERROR(VLOOKUP($A252,'Andy FLEX'!$A$6:$N$278,9,FALSE),"")</x:f>
        <x:v>1</x:v>
      </x:c>
      <x:c r="S252" s="111" t="n">
        <x:f>IFERROR(VLOOKUP($A252,'Andy FLEX'!$A$6:$N$278,10,FALSE),"")</x:f>
        <x:v>13</x:v>
      </x:c>
      <x:c r="T252" s="111" t="n">
        <x:f>IFERROR(VLOOKUP($A252,'Andy FLEX'!$A$6:$N$278,11,FALSE),"")</x:f>
        <x:v>67</x:v>
      </x:c>
      <x:c r="U252" s="111" t="n">
        <x:f>IFERROR(VLOOKUP($A252,'Andy FLEX'!$A$6:$N$278,12,FALSE),"")</x:f>
        <x:v>0</x:v>
      </x:c>
      <x:c r="V252" s="111" t="n">
        <x:f>IFERROR(VLOOKUP($A252,'Andy FLEX'!$A$6:$N$278,13,FALSE),"")</x:f>
        <x:v>1</x:v>
      </x:c>
      <x:c r="W252" s="109" t="n">
        <x:f>IFERROR(VLOOKUP($A252,'Jason FLEX'!$A$6:$N$268,5,FALSE),"")</x:f>
        <x:v>201</x:v>
      </x:c>
      <x:c r="X252" s="110" t="n">
        <x:f>IFERROR(VLOOKUP($A252,'Jason FLEX'!$A$6:$N$268,6,FALSE),"")</x:f>
        <x:v>4.7</x:v>
      </x:c>
      <x:c r="Y252" s="111" t="n">
        <x:f>IFERROR(VLOOKUP($A252,'Jason FLEX'!$A$6:$N$268,7,FALSE),"")</x:f>
        <x:v>88</x:v>
      </x:c>
      <x:c r="Z252" s="111" t="n">
        <x:f>IFERROR(VLOOKUP($A252,'Jason FLEX'!$A$6:$N$268,8,FALSE),"")</x:f>
        <x:v>374</x:v>
      </x:c>
      <x:c r="AA252" s="111" t="n">
        <x:f>IFERROR(VLOOKUP($A252,'Jason FLEX'!$A$6:$N$268,9,FALSE),"")</x:f>
        <x:v>3</x:v>
      </x:c>
      <x:c r="AB252" s="111" t="n">
        <x:f>IFERROR(VLOOKUP($A252,'Jason FLEX'!$A$6:$N$268,10,FALSE),"")</x:f>
        <x:v>10</x:v>
      </x:c>
      <x:c r="AC252" s="111" t="n">
        <x:f>IFERROR(VLOOKUP($A252,'Jason FLEX'!$A$6:$N$268,11,FALSE),"")</x:f>
        <x:v>82</x:v>
      </x:c>
      <x:c r="AD252" s="111" t="n">
        <x:f>IFERROR(VLOOKUP($A252,'Jason FLEX'!$A$6:$N$268,12,FALSE),"")</x:f>
        <x:v>1</x:v>
      </x:c>
      <x:c r="AE252" s="111" t="n">
        <x:f>IFERROR(VLOOKUP($A252,'Jason FLEX'!$A$6:$N$268,13,FALSE),"")</x:f>
        <x:v>0</x:v>
      </x:c>
      <x:c r="AF252" s="110" t="n">
        <x:f>IF(COUNT(E252,N252,W252)=0,"",AVERAGE(E252,N252,W252))</x:f>
        <x:v>238</x:v>
      </x:c>
      <x:c r="AG252" s="110" t="n">
        <x:f>IF(COUNT(E252,N252,W252)=0,"",MAX(E252,N252,W252)-MIN(E252,N252,W252))</x:f>
        <x:v>58</x:v>
      </x:c>
      <x:c r="AH252" s="110" t="n">
        <x:f>IF(COUNT(F252,O252,X252)=0,"",AVERAGE(F252,O252,X252))</x:f>
        <x:v>3.0333333333333337</x:v>
      </x:c>
      <x:c r="AI252" s="112" t="n">
        <x:f>IF(COUNT(G252,P252,Y252)=0,"",AVERAGE(G252,P252,Y252))</x:f>
        <x:v>73.33333333333333</x:v>
      </x:c>
      <x:c r="AJ252" s="112" t="n">
        <x:f>IF(COUNT(H252,Q252,Z252)=0,"",AVERAGE(H252,Q252,Z252))</x:f>
        <x:v>269.3333333333333</x:v>
      </x:c>
      <x:c r="AK252" s="112" t="n">
        <x:f>IF(COUNT(I252,R252,AA252)=0,"",AVERAGE(I252,R252,AA252))</x:f>
        <x:v>1.6666666666666667</x:v>
      </x:c>
      <x:c r="AL252" s="112" t="n">
        <x:f>IF(COUNT(J252,S252,AB252)=0,"",AVERAGE(J252,S252,AB252))</x:f>
        <x:v>7.666666666666667</x:v>
      </x:c>
      <x:c r="AM252" s="112" t="n">
        <x:f>IF(COUNT(K252,T252,AC252)=0,"",AVERAGE(K252,T252,AC252))</x:f>
        <x:v>49.666666666666664</x:v>
      </x:c>
      <x:c r="AN252" s="112" t="n">
        <x:f>IF(COUNT(L252,U252,AD252)=0,"",AVERAGE(L252,U252,AD252))</x:f>
        <x:v>0.3333333333333333</x:v>
      </x:c>
      <x:c r="AO252" s="112" t="n">
        <x:f>IF(COUNT(M252,V252,AE252)=0,"",AVERAGE(M252,V252,AE252))</x:f>
        <x:v>0.3333333333333333</x:v>
      </x:c>
    </x:row>
    <x:row r="253">
      <x:c r="A253" s="107" t="str">
        <x:v>Calvin Austin III</x:v>
      </x:c>
      <x:c r="B253" s="108" t="str">
        <x:v>WR</x:v>
      </x:c>
      <x:c r="C253" s="108" t="str">
        <x:v>NYG</x:v>
      </x:c>
      <x:c r="D253" s="109" t="n">
        <x:v>8</x:v>
      </x:c>
      <x:c r="E253" s="109" t="n">
        <x:f>IFERROR(VLOOKUP($A253,'Mike FLEX'!$A$6:$N$278,5,FALSE),"")</x:f>
        <x:v>251</x:v>
      </x:c>
      <x:c r="F253" s="110" t="n">
        <x:f>IFERROR(VLOOKUP($A253,'Mike FLEX'!$A$6:$N$278,6,FALSE),"")</x:f>
        <x:v>1.9</x:v>
      </x:c>
      <x:c r="G253" s="111" t="n">
        <x:f>IFERROR(VLOOKUP($A253,'Mike FLEX'!$A$6:$N$278,7,FALSE),"")</x:f>
        <x:v>2</x:v>
      </x:c>
      <x:c r="H253" s="111" t="n">
        <x:f>IFERROR(VLOOKUP($A253,'Mike FLEX'!$A$6:$N$278,8,FALSE),"")</x:f>
        <x:v>11</x:v>
      </x:c>
      <x:c r="I253" s="111" t="n">
        <x:f>IFERROR(VLOOKUP($A253,'Mike FLEX'!$A$6:$N$278,9,FALSE),"")</x:f>
        <x:v>0</x:v>
      </x:c>
      <x:c r="J253" s="111" t="n">
        <x:f>IFERROR(VLOOKUP($A253,'Mike FLEX'!$A$6:$N$278,10,FALSE),"")</x:f>
        <x:v>11</x:v>
      </x:c>
      <x:c r="K253" s="111" t="n">
        <x:f>IFERROR(VLOOKUP($A253,'Mike FLEX'!$A$6:$N$278,11,FALSE),"")</x:f>
        <x:v>139</x:v>
      </x:c>
      <x:c r="L253" s="111" t="n">
        <x:f>IFERROR(VLOOKUP($A253,'Mike FLEX'!$A$6:$N$278,12,FALSE),"")</x:f>
        <x:v>1</x:v>
      </x:c>
      <x:c r="M253" s="111" t="n">
        <x:f>IFERROR(VLOOKUP($A253,'Mike FLEX'!$A$6:$N$278,13,FALSE),"")</x:f>
        <x:v>0</x:v>
      </x:c>
      <x:c r="N253" s="109" t="n">
        <x:f>IFERROR(VLOOKUP($A253,'Andy FLEX'!$A$6:$N$278,5,FALSE),"")</x:f>
        <x:v>226</x:v>
      </x:c>
      <x:c r="O253" s="110" t="n">
        <x:f>IFERROR(VLOOKUP($A253,'Andy FLEX'!$A$6:$N$278,6,FALSE),"")</x:f>
        <x:v>3.9</x:v>
      </x:c>
      <x:c r="P253" s="111" t="n">
        <x:f>IFERROR(VLOOKUP($A253,'Andy FLEX'!$A$6:$N$278,7,FALSE),"")</x:f>
        <x:v>3</x:v>
      </x:c>
      <x:c r="Q253" s="111" t="n">
        <x:f>IFERROR(VLOOKUP($A253,'Andy FLEX'!$A$6:$N$278,8,FALSE),"")</x:f>
        <x:v>24</x:v>
      </x:c>
      <x:c r="R253" s="111" t="n">
        <x:f>IFERROR(VLOOKUP($A253,'Andy FLEX'!$A$6:$N$278,9,FALSE),"")</x:f>
        <x:v>0</x:v>
      </x:c>
      <x:c r="S253" s="111" t="n">
        <x:f>IFERROR(VLOOKUP($A253,'Andy FLEX'!$A$6:$N$278,10,FALSE),"")</x:f>
        <x:v>24</x:v>
      </x:c>
      <x:c r="T253" s="111" t="n">
        <x:f>IFERROR(VLOOKUP($A253,'Andy FLEX'!$A$6:$N$278,11,FALSE),"")</x:f>
        <x:v>289</x:v>
      </x:c>
      <x:c r="U253" s="111" t="n">
        <x:f>IFERROR(VLOOKUP($A253,'Andy FLEX'!$A$6:$N$278,12,FALSE),"")</x:f>
        <x:v>2</x:v>
      </x:c>
      <x:c r="V253" s="111" t="n">
        <x:f>IFERROR(VLOOKUP($A253,'Andy FLEX'!$A$6:$N$278,13,FALSE),"")</x:f>
        <x:v>0</x:v>
      </x:c>
      <x:c r="W253" s="109" t="str">
        <x:f>IFERROR(VLOOKUP($A253,'Jason FLEX'!$A$6:$N$268,5,FALSE),"")</x:f>
      </x:c>
      <x:c r="X253" s="110" t="str">
        <x:f>IFERROR(VLOOKUP($A253,'Jason FLEX'!$A$6:$N$268,6,FALSE),"")</x:f>
      </x:c>
      <x:c r="Y253" s="111" t="str">
        <x:f>IFERROR(VLOOKUP($A253,'Jason FLEX'!$A$6:$N$268,7,FALSE),"")</x:f>
      </x:c>
      <x:c r="Z253" s="111" t="str">
        <x:f>IFERROR(VLOOKUP($A253,'Jason FLEX'!$A$6:$N$268,8,FALSE),"")</x:f>
      </x:c>
      <x:c r="AA253" s="111" t="str">
        <x:f>IFERROR(VLOOKUP($A253,'Jason FLEX'!$A$6:$N$268,9,FALSE),"")</x:f>
      </x:c>
      <x:c r="AB253" s="111" t="str">
        <x:f>IFERROR(VLOOKUP($A253,'Jason FLEX'!$A$6:$N$268,10,FALSE),"")</x:f>
      </x:c>
      <x:c r="AC253" s="111" t="str">
        <x:f>IFERROR(VLOOKUP($A253,'Jason FLEX'!$A$6:$N$268,11,FALSE),"")</x:f>
      </x:c>
      <x:c r="AD253" s="111" t="str">
        <x:f>IFERROR(VLOOKUP($A253,'Jason FLEX'!$A$6:$N$268,12,FALSE),"")</x:f>
      </x:c>
      <x:c r="AE253" s="111" t="str">
        <x:f>IFERROR(VLOOKUP($A253,'Jason FLEX'!$A$6:$N$268,13,FALSE),"")</x:f>
      </x:c>
      <x:c r="AF253" s="110" t="n">
        <x:f>IF(COUNT(E253,N253,W253)=0,"",AVERAGE(E253,N253,W253))</x:f>
        <x:v>238.5</x:v>
      </x:c>
      <x:c r="AG253" s="110" t="n">
        <x:f>IF(COUNT(E253,N253,W253)=0,"",MAX(E253,N253,W253)-MIN(E253,N253,W253))</x:f>
        <x:v>25</x:v>
      </x:c>
      <x:c r="AH253" s="110" t="n">
        <x:f>IF(COUNT(F253,O253,X253)=0,"",AVERAGE(F253,O253,X253))</x:f>
        <x:v>2.9</x:v>
      </x:c>
      <x:c r="AI253" s="112" t="n">
        <x:f>IF(COUNT(G253,P253,Y253)=0,"",AVERAGE(G253,P253,Y253))</x:f>
        <x:v>2.5</x:v>
      </x:c>
      <x:c r="AJ253" s="112" t="n">
        <x:f>IF(COUNT(H253,Q253,Z253)=0,"",AVERAGE(H253,Q253,Z253))</x:f>
        <x:v>17.5</x:v>
      </x:c>
      <x:c r="AK253" s="112" t="n">
        <x:f>IF(COUNT(I253,R253,AA253)=0,"",AVERAGE(I253,R253,AA253))</x:f>
        <x:v>0</x:v>
      </x:c>
      <x:c r="AL253" s="112" t="n">
        <x:f>IF(COUNT(J253,S253,AB253)=0,"",AVERAGE(J253,S253,AB253))</x:f>
        <x:v>17.5</x:v>
      </x:c>
      <x:c r="AM253" s="112" t="n">
        <x:f>IF(COUNT(K253,T253,AC253)=0,"",AVERAGE(K253,T253,AC253))</x:f>
        <x:v>214</x:v>
      </x:c>
      <x:c r="AN253" s="112" t="n">
        <x:f>IF(COUNT(L253,U253,AD253)=0,"",AVERAGE(L253,U253,AD253))</x:f>
        <x:v>1.5</x:v>
      </x:c>
      <x:c r="AO253" s="112" t="n">
        <x:f>IF(COUNT(M253,V253,AE253)=0,"",AVERAGE(M253,V253,AE253))</x:f>
        <x:v>0</x:v>
      </x:c>
    </x:row>
    <x:row r="254">
      <x:c r="A254" s="107" t="str">
        <x:v>Skyler Bell</x:v>
      </x:c>
      <x:c r="B254" s="108" t="str">
        <x:v>WR</x:v>
      </x:c>
      <x:c r="C254" s="108" t="str">
        <x:v>BUF</x:v>
      </x:c>
      <x:c r="D254" s="109" t="n">
        <x:v>7</x:v>
      </x:c>
      <x:c r="E254" s="109" t="n">
        <x:f>IFERROR(VLOOKUP($A254,'Mike FLEX'!$A$6:$N$278,5,FALSE),"")</x:f>
        <x:v>207</x:v>
      </x:c>
      <x:c r="F254" s="110" t="n">
        <x:f>IFERROR(VLOOKUP($A254,'Mike FLEX'!$A$6:$N$278,6,FALSE),"")</x:f>
        <x:v>3.9</x:v>
      </x:c>
      <x:c r="G254" s="111" t="n">
        <x:f>IFERROR(VLOOKUP($A254,'Mike FLEX'!$A$6:$N$278,7,FALSE),"")</x:f>
        <x:v>0</x:v>
      </x:c>
      <x:c r="H254" s="111" t="n">
        <x:f>IFERROR(VLOOKUP($A254,'Mike FLEX'!$A$6:$N$278,8,FALSE),"")</x:f>
        <x:v>0</x:v>
      </x:c>
      <x:c r="I254" s="111" t="n">
        <x:f>IFERROR(VLOOKUP($A254,'Mike FLEX'!$A$6:$N$278,9,FALSE),"")</x:f>
        <x:v>0</x:v>
      </x:c>
      <x:c r="J254" s="111" t="n">
        <x:f>IFERROR(VLOOKUP($A254,'Mike FLEX'!$A$6:$N$278,10,FALSE),"")</x:f>
        <x:v>26</x:v>
      </x:c>
      <x:c r="K254" s="111" t="n">
        <x:f>IFERROR(VLOOKUP($A254,'Mike FLEX'!$A$6:$N$278,11,FALSE),"")</x:f>
        <x:v>294</x:v>
      </x:c>
      <x:c r="L254" s="111" t="n">
        <x:f>IFERROR(VLOOKUP($A254,'Mike FLEX'!$A$6:$N$278,12,FALSE),"")</x:f>
        <x:v>2</x:v>
      </x:c>
      <x:c r="M254" s="111" t="n">
        <x:f>IFERROR(VLOOKUP($A254,'Mike FLEX'!$A$6:$N$278,13,FALSE),"")</x:f>
        <x:v>0</x:v>
      </x:c>
      <x:c r="N254" s="109" t="n">
        <x:f>IFERROR(VLOOKUP($A254,'Andy FLEX'!$A$6:$N$278,5,FALSE),"")</x:f>
        <x:v>271</x:v>
      </x:c>
      <x:c r="O254" s="110" t="n">
        <x:f>IFERROR(VLOOKUP($A254,'Andy FLEX'!$A$6:$N$278,6,FALSE),"")</x:f>
        <x:v>1.8</x:v>
      </x:c>
      <x:c r="P254" s="111" t="n">
        <x:f>IFERROR(VLOOKUP($A254,'Andy FLEX'!$A$6:$N$278,7,FALSE),"")</x:f>
        <x:v>0</x:v>
      </x:c>
      <x:c r="Q254" s="111" t="n">
        <x:f>IFERROR(VLOOKUP($A254,'Andy FLEX'!$A$6:$N$278,8,FALSE),"")</x:f>
        <x:v>0</x:v>
      </x:c>
      <x:c r="R254" s="111" t="n">
        <x:f>IFERROR(VLOOKUP($A254,'Andy FLEX'!$A$6:$N$278,9,FALSE),"")</x:f>
        <x:v>0</x:v>
      </x:c>
      <x:c r="S254" s="111" t="n">
        <x:f>IFERROR(VLOOKUP($A254,'Andy FLEX'!$A$6:$N$278,10,FALSE),"")</x:f>
        <x:v>11</x:v>
      </x:c>
      <x:c r="T254" s="111" t="n">
        <x:f>IFERROR(VLOOKUP($A254,'Andy FLEX'!$A$6:$N$278,11,FALSE),"")</x:f>
        <x:v>152</x:v>
      </x:c>
      <x:c r="U254" s="111" t="n">
        <x:f>IFERROR(VLOOKUP($A254,'Andy FLEX'!$A$6:$N$278,12,FALSE),"")</x:f>
        <x:v>1</x:v>
      </x:c>
      <x:c r="V254" s="111" t="n">
        <x:f>IFERROR(VLOOKUP($A254,'Andy FLEX'!$A$6:$N$278,13,FALSE),"")</x:f>
        <x:v>0</x:v>
      </x:c>
      <x:c r="W254" s="109" t="str">
        <x:f>IFERROR(VLOOKUP($A254,'Jason FLEX'!$A$6:$N$268,5,FALSE),"")</x:f>
      </x:c>
      <x:c r="X254" s="110" t="str">
        <x:f>IFERROR(VLOOKUP($A254,'Jason FLEX'!$A$6:$N$268,6,FALSE),"")</x:f>
      </x:c>
      <x:c r="Y254" s="111" t="str">
        <x:f>IFERROR(VLOOKUP($A254,'Jason FLEX'!$A$6:$N$268,7,FALSE),"")</x:f>
      </x:c>
      <x:c r="Z254" s="111" t="str">
        <x:f>IFERROR(VLOOKUP($A254,'Jason FLEX'!$A$6:$N$268,8,FALSE),"")</x:f>
      </x:c>
      <x:c r="AA254" s="111" t="str">
        <x:f>IFERROR(VLOOKUP($A254,'Jason FLEX'!$A$6:$N$268,9,FALSE),"")</x:f>
      </x:c>
      <x:c r="AB254" s="111" t="str">
        <x:f>IFERROR(VLOOKUP($A254,'Jason FLEX'!$A$6:$N$268,10,FALSE),"")</x:f>
      </x:c>
      <x:c r="AC254" s="111" t="str">
        <x:f>IFERROR(VLOOKUP($A254,'Jason FLEX'!$A$6:$N$268,11,FALSE),"")</x:f>
      </x:c>
      <x:c r="AD254" s="111" t="str">
        <x:f>IFERROR(VLOOKUP($A254,'Jason FLEX'!$A$6:$N$268,12,FALSE),"")</x:f>
      </x:c>
      <x:c r="AE254" s="111" t="str">
        <x:f>IFERROR(VLOOKUP($A254,'Jason FLEX'!$A$6:$N$268,13,FALSE),"")</x:f>
      </x:c>
      <x:c r="AF254" s="110" t="n">
        <x:f>IF(COUNT(E254,N254,W254)=0,"",AVERAGE(E254,N254,W254))</x:f>
        <x:v>239</x:v>
      </x:c>
      <x:c r="AG254" s="110" t="n">
        <x:f>IF(COUNT(E254,N254,W254)=0,"",MAX(E254,N254,W254)-MIN(E254,N254,W254))</x:f>
        <x:v>64</x:v>
      </x:c>
      <x:c r="AH254" s="110" t="n">
        <x:f>IF(COUNT(F254,O254,X254)=0,"",AVERAGE(F254,O254,X254))</x:f>
        <x:v>2.85</x:v>
      </x:c>
      <x:c r="AI254" s="112" t="n">
        <x:f>IF(COUNT(G254,P254,Y254)=0,"",AVERAGE(G254,P254,Y254))</x:f>
        <x:v>0</x:v>
      </x:c>
      <x:c r="AJ254" s="112" t="n">
        <x:f>IF(COUNT(H254,Q254,Z254)=0,"",AVERAGE(H254,Q254,Z254))</x:f>
        <x:v>0</x:v>
      </x:c>
      <x:c r="AK254" s="112" t="n">
        <x:f>IF(COUNT(I254,R254,AA254)=0,"",AVERAGE(I254,R254,AA254))</x:f>
        <x:v>0</x:v>
      </x:c>
      <x:c r="AL254" s="112" t="n">
        <x:f>IF(COUNT(J254,S254,AB254)=0,"",AVERAGE(J254,S254,AB254))</x:f>
        <x:v>18.5</x:v>
      </x:c>
      <x:c r="AM254" s="112" t="n">
        <x:f>IF(COUNT(K254,T254,AC254)=0,"",AVERAGE(K254,T254,AC254))</x:f>
        <x:v>223</x:v>
      </x:c>
      <x:c r="AN254" s="112" t="n">
        <x:f>IF(COUNT(L254,U254,AD254)=0,"",AVERAGE(L254,U254,AD254))</x:f>
        <x:v>1.5</x:v>
      </x:c>
      <x:c r="AO254" s="112" t="n">
        <x:f>IF(COUNT(M254,V254,AE254)=0,"",AVERAGE(M254,V254,AE254))</x:f>
        <x:v>0</x:v>
      </x:c>
    </x:row>
    <x:row r="255">
      <x:c r="A255" s="107" t="str">
        <x:v>Van Jefferson</x:v>
      </x:c>
      <x:c r="B255" s="108" t="str">
        <x:v>WR</x:v>
      </x:c>
      <x:c r="C255" s="108" t="str">
        <x:v>FA</x:v>
      </x:c>
      <x:c r="D255" s="109"/>
      <x:c r="E255" s="109" t="n">
        <x:f>IFERROR(VLOOKUP($A255,'Mike FLEX'!$A$6:$N$278,5,FALSE),"")</x:f>
        <x:v>258</x:v>
      </x:c>
      <x:c r="F255" s="110" t="n">
        <x:f>IFERROR(VLOOKUP($A255,'Mike FLEX'!$A$6:$N$278,6,FALSE),"")</x:f>
        <x:v>1.5</x:v>
      </x:c>
      <x:c r="G255" s="111" t="n">
        <x:f>IFERROR(VLOOKUP($A255,'Mike FLEX'!$A$6:$N$278,7,FALSE),"")</x:f>
        <x:v>0</x:v>
      </x:c>
      <x:c r="H255" s="111" t="n">
        <x:f>IFERROR(VLOOKUP($A255,'Mike FLEX'!$A$6:$N$278,8,FALSE),"")</x:f>
        <x:v>0</x:v>
      </x:c>
      <x:c r="I255" s="111" t="n">
        <x:f>IFERROR(VLOOKUP($A255,'Mike FLEX'!$A$6:$N$278,9,FALSE),"")</x:f>
        <x:v>0</x:v>
      </x:c>
      <x:c r="J255" s="111" t="n">
        <x:f>IFERROR(VLOOKUP($A255,'Mike FLEX'!$A$6:$N$278,10,FALSE),"")</x:f>
        <x:v>9</x:v>
      </x:c>
      <x:c r="K255" s="111" t="n">
        <x:f>IFERROR(VLOOKUP($A255,'Mike FLEX'!$A$6:$N$278,11,FALSE),"")</x:f>
        <x:v>118</x:v>
      </x:c>
      <x:c r="L255" s="111" t="n">
        <x:f>IFERROR(VLOOKUP($A255,'Mike FLEX'!$A$6:$N$278,12,FALSE),"")</x:f>
        <x:v>1</x:v>
      </x:c>
      <x:c r="M255" s="111" t="n">
        <x:f>IFERROR(VLOOKUP($A255,'Mike FLEX'!$A$6:$N$278,13,FALSE),"")</x:f>
        <x:v>0</x:v>
      </x:c>
      <x:c r="N255" s="109" t="n">
        <x:f>IFERROR(VLOOKUP($A255,'Andy FLEX'!$A$6:$N$278,5,FALSE),"")</x:f>
        <x:v>221</x:v>
      </x:c>
      <x:c r="O255" s="110" t="n">
        <x:f>IFERROR(VLOOKUP($A255,'Andy FLEX'!$A$6:$N$278,6,FALSE),"")</x:f>
        <x:v>4.1</x:v>
      </x:c>
      <x:c r="P255" s="111" t="n">
        <x:f>IFERROR(VLOOKUP($A255,'Andy FLEX'!$A$6:$N$278,7,FALSE),"")</x:f>
        <x:v>2</x:v>
      </x:c>
      <x:c r="Q255" s="111" t="n">
        <x:f>IFERROR(VLOOKUP($A255,'Andy FLEX'!$A$6:$N$278,8,FALSE),"")</x:f>
        <x:v>12</x:v>
      </x:c>
      <x:c r="R255" s="111" t="n">
        <x:f>IFERROR(VLOOKUP($A255,'Andy FLEX'!$A$6:$N$278,9,FALSE),"")</x:f>
        <x:v>0</x:v>
      </x:c>
      <x:c r="S255" s="111" t="n">
        <x:f>IFERROR(VLOOKUP($A255,'Andy FLEX'!$A$6:$N$278,10,FALSE),"")</x:f>
        <x:v>28</x:v>
      </x:c>
      <x:c r="T255" s="111" t="n">
        <x:f>IFERROR(VLOOKUP($A255,'Andy FLEX'!$A$6:$N$278,11,FALSE),"")</x:f>
        <x:v>340</x:v>
      </x:c>
      <x:c r="U255" s="111" t="n">
        <x:f>IFERROR(VLOOKUP($A255,'Andy FLEX'!$A$6:$N$278,12,FALSE),"")</x:f>
        <x:v>1</x:v>
      </x:c>
      <x:c r="V255" s="111" t="n">
        <x:f>IFERROR(VLOOKUP($A255,'Andy FLEX'!$A$6:$N$278,13,FALSE),"")</x:f>
        <x:v>0</x:v>
      </x:c>
      <x:c r="W255" s="109" t="str">
        <x:f>IFERROR(VLOOKUP($A255,'Jason FLEX'!$A$6:$N$268,5,FALSE),"")</x:f>
      </x:c>
      <x:c r="X255" s="110" t="str">
        <x:f>IFERROR(VLOOKUP($A255,'Jason FLEX'!$A$6:$N$268,6,FALSE),"")</x:f>
      </x:c>
      <x:c r="Y255" s="111" t="str">
        <x:f>IFERROR(VLOOKUP($A255,'Jason FLEX'!$A$6:$N$268,7,FALSE),"")</x:f>
      </x:c>
      <x:c r="Z255" s="111" t="str">
        <x:f>IFERROR(VLOOKUP($A255,'Jason FLEX'!$A$6:$N$268,8,FALSE),"")</x:f>
      </x:c>
      <x:c r="AA255" s="111" t="str">
        <x:f>IFERROR(VLOOKUP($A255,'Jason FLEX'!$A$6:$N$268,9,FALSE),"")</x:f>
      </x:c>
      <x:c r="AB255" s="111" t="str">
        <x:f>IFERROR(VLOOKUP($A255,'Jason FLEX'!$A$6:$N$268,10,FALSE),"")</x:f>
      </x:c>
      <x:c r="AC255" s="111" t="str">
        <x:f>IFERROR(VLOOKUP($A255,'Jason FLEX'!$A$6:$N$268,11,FALSE),"")</x:f>
      </x:c>
      <x:c r="AD255" s="111" t="str">
        <x:f>IFERROR(VLOOKUP($A255,'Jason FLEX'!$A$6:$N$268,12,FALSE),"")</x:f>
      </x:c>
      <x:c r="AE255" s="111" t="str">
        <x:f>IFERROR(VLOOKUP($A255,'Jason FLEX'!$A$6:$N$268,13,FALSE),"")</x:f>
      </x:c>
      <x:c r="AF255" s="110" t="n">
        <x:f>IF(COUNT(E255,N255,W255)=0,"",AVERAGE(E255,N255,W255))</x:f>
        <x:v>239.5</x:v>
      </x:c>
      <x:c r="AG255" s="110" t="n">
        <x:f>IF(COUNT(E255,N255,W255)=0,"",MAX(E255,N255,W255)-MIN(E255,N255,W255))</x:f>
        <x:v>37</x:v>
      </x:c>
      <x:c r="AH255" s="110" t="n">
        <x:f>IF(COUNT(F255,O255,X255)=0,"",AVERAGE(F255,O255,X255))</x:f>
        <x:v>2.8</x:v>
      </x:c>
      <x:c r="AI255" s="112" t="n">
        <x:f>IF(COUNT(G255,P255,Y255)=0,"",AVERAGE(G255,P255,Y255))</x:f>
        <x:v>1</x:v>
      </x:c>
      <x:c r="AJ255" s="112" t="n">
        <x:f>IF(COUNT(H255,Q255,Z255)=0,"",AVERAGE(H255,Q255,Z255))</x:f>
        <x:v>6</x:v>
      </x:c>
      <x:c r="AK255" s="112" t="n">
        <x:f>IF(COUNT(I255,R255,AA255)=0,"",AVERAGE(I255,R255,AA255))</x:f>
        <x:v>0</x:v>
      </x:c>
      <x:c r="AL255" s="112" t="n">
        <x:f>IF(COUNT(J255,S255,AB255)=0,"",AVERAGE(J255,S255,AB255))</x:f>
        <x:v>18.5</x:v>
      </x:c>
      <x:c r="AM255" s="112" t="n">
        <x:f>IF(COUNT(K255,T255,AC255)=0,"",AVERAGE(K255,T255,AC255))</x:f>
        <x:v>229</x:v>
      </x:c>
      <x:c r="AN255" s="112" t="n">
        <x:f>IF(COUNT(L255,U255,AD255)=0,"",AVERAGE(L255,U255,AD255))</x:f>
        <x:v>1</x:v>
      </x:c>
      <x:c r="AO255" s="112" t="n">
        <x:f>IF(COUNT(M255,V255,AE255)=0,"",AVERAGE(M255,V255,AE255))</x:f>
        <x:v>0</x:v>
      </x:c>
    </x:row>
    <x:row r="256">
      <x:c r="A256" s="107" t="str">
        <x:v>Elijah Sarratt</x:v>
      </x:c>
      <x:c r="B256" s="108" t="str">
        <x:v>WR</x:v>
      </x:c>
      <x:c r="C256" s="108" t="str">
        <x:v>BAL</x:v>
      </x:c>
      <x:c r="D256" s="109" t="n">
        <x:v>13</x:v>
      </x:c>
      <x:c r="E256" s="109" t="n">
        <x:f>IFERROR(VLOOKUP($A256,'Mike FLEX'!$A$6:$N$278,5,FALSE),"")</x:f>
        <x:v>228</x:v>
      </x:c>
      <x:c r="F256" s="110" t="n">
        <x:f>IFERROR(VLOOKUP($A256,'Mike FLEX'!$A$6:$N$278,6,FALSE),"")</x:f>
        <x:v>2.9</x:v>
      </x:c>
      <x:c r="G256" s="111" t="n">
        <x:f>IFERROR(VLOOKUP($A256,'Mike FLEX'!$A$6:$N$278,7,FALSE),"")</x:f>
        <x:v>0</x:v>
      </x:c>
      <x:c r="H256" s="111" t="n">
        <x:f>IFERROR(VLOOKUP($A256,'Mike FLEX'!$A$6:$N$278,8,FALSE),"")</x:f>
        <x:v>0</x:v>
      </x:c>
      <x:c r="I256" s="111" t="n">
        <x:f>IFERROR(VLOOKUP($A256,'Mike FLEX'!$A$6:$N$278,9,FALSE),"")</x:f>
        <x:v>0</x:v>
      </x:c>
      <x:c r="J256" s="111" t="n">
        <x:f>IFERROR(VLOOKUP($A256,'Mike FLEX'!$A$6:$N$278,10,FALSE),"")</x:f>
        <x:v>19</x:v>
      </x:c>
      <x:c r="K256" s="111" t="n">
        <x:f>IFERROR(VLOOKUP($A256,'Mike FLEX'!$A$6:$N$278,11,FALSE),"")</x:f>
        <x:v>227</x:v>
      </x:c>
      <x:c r="L256" s="111" t="n">
        <x:f>IFERROR(VLOOKUP($A256,'Mike FLEX'!$A$6:$N$278,12,FALSE),"")</x:f>
        <x:v>1</x:v>
      </x:c>
      <x:c r="M256" s="111" t="n">
        <x:f>IFERROR(VLOOKUP($A256,'Mike FLEX'!$A$6:$N$278,13,FALSE),"")</x:f>
        <x:v>0</x:v>
      </x:c>
      <x:c r="N256" s="109" t="n">
        <x:f>IFERROR(VLOOKUP($A256,'Andy FLEX'!$A$6:$N$278,5,FALSE),"")</x:f>
        <x:v>255</x:v>
      </x:c>
      <x:c r="O256" s="110" t="n">
        <x:f>IFERROR(VLOOKUP($A256,'Andy FLEX'!$A$6:$N$278,6,FALSE),"")</x:f>
        <x:v>2.9</x:v>
      </x:c>
      <x:c r="P256" s="111" t="n">
        <x:f>IFERROR(VLOOKUP($A256,'Andy FLEX'!$A$6:$N$278,7,FALSE),"")</x:f>
        <x:v>0</x:v>
      </x:c>
      <x:c r="Q256" s="111" t="n">
        <x:f>IFERROR(VLOOKUP($A256,'Andy FLEX'!$A$6:$N$278,8,FALSE),"")</x:f>
        <x:v>0</x:v>
      </x:c>
      <x:c r="R256" s="111" t="n">
        <x:f>IFERROR(VLOOKUP($A256,'Andy FLEX'!$A$6:$N$278,9,FALSE),"")</x:f>
        <x:v>0</x:v>
      </x:c>
      <x:c r="S256" s="111" t="n">
        <x:f>IFERROR(VLOOKUP($A256,'Andy FLEX'!$A$6:$N$278,10,FALSE),"")</x:f>
        <x:v>16</x:v>
      </x:c>
      <x:c r="T256" s="111" t="n">
        <x:f>IFERROR(VLOOKUP($A256,'Andy FLEX'!$A$6:$N$278,11,FALSE),"")</x:f>
        <x:v>214</x:v>
      </x:c>
      <x:c r="U256" s="111" t="n">
        <x:f>IFERROR(VLOOKUP($A256,'Andy FLEX'!$A$6:$N$278,12,FALSE),"")</x:f>
        <x:v>2</x:v>
      </x:c>
      <x:c r="V256" s="111" t="n">
        <x:f>IFERROR(VLOOKUP($A256,'Andy FLEX'!$A$6:$N$278,13,FALSE),"")</x:f>
        <x:v>0</x:v>
      </x:c>
      <x:c r="W256" s="109" t="n">
        <x:f>IFERROR(VLOOKUP($A256,'Jason FLEX'!$A$6:$N$268,5,FALSE),"")</x:f>
        <x:v>238</x:v>
      </x:c>
      <x:c r="X256" s="110" t="n">
        <x:f>IFERROR(VLOOKUP($A256,'Jason FLEX'!$A$6:$N$268,6,FALSE),"")</x:f>
        <x:v>2.9</x:v>
      </x:c>
      <x:c r="Y256" s="111" t="n">
        <x:f>IFERROR(VLOOKUP($A256,'Jason FLEX'!$A$6:$N$268,7,FALSE),"")</x:f>
        <x:v>0</x:v>
      </x:c>
      <x:c r="Z256" s="111" t="n">
        <x:f>IFERROR(VLOOKUP($A256,'Jason FLEX'!$A$6:$N$268,8,FALSE),"")</x:f>
        <x:v>0</x:v>
      </x:c>
      <x:c r="AA256" s="111" t="n">
        <x:f>IFERROR(VLOOKUP($A256,'Jason FLEX'!$A$6:$N$268,9,FALSE),"")</x:f>
        <x:v>0</x:v>
      </x:c>
      <x:c r="AB256" s="111" t="n">
        <x:f>IFERROR(VLOOKUP($A256,'Jason FLEX'!$A$6:$N$268,10,FALSE),"")</x:f>
        <x:v>16</x:v>
      </x:c>
      <x:c r="AC256" s="111" t="n">
        <x:f>IFERROR(VLOOKUP($A256,'Jason FLEX'!$A$6:$N$268,11,FALSE),"")</x:f>
        <x:v>205</x:v>
      </x:c>
      <x:c r="AD256" s="111" t="n">
        <x:f>IFERROR(VLOOKUP($A256,'Jason FLEX'!$A$6:$N$268,12,FALSE),"")</x:f>
        <x:v>2</x:v>
      </x:c>
      <x:c r="AE256" s="111" t="n">
        <x:f>IFERROR(VLOOKUP($A256,'Jason FLEX'!$A$6:$N$268,13,FALSE),"")</x:f>
        <x:v>0</x:v>
      </x:c>
      <x:c r="AF256" s="110" t="n">
        <x:f>IF(COUNT(E256,N256,W256)=0,"",AVERAGE(E256,N256,W256))</x:f>
        <x:v>240.33333333333334</x:v>
      </x:c>
      <x:c r="AG256" s="110" t="n">
        <x:f>IF(COUNT(E256,N256,W256)=0,"",MAX(E256,N256,W256)-MIN(E256,N256,W256))</x:f>
        <x:v>27</x:v>
      </x:c>
      <x:c r="AH256" s="110" t="n">
        <x:f>IF(COUNT(F256,O256,X256)=0,"",AVERAGE(F256,O256,X256))</x:f>
        <x:v>2.9</x:v>
      </x:c>
      <x:c r="AI256" s="112" t="n">
        <x:f>IF(COUNT(G256,P256,Y256)=0,"",AVERAGE(G256,P256,Y256))</x:f>
        <x:v>0</x:v>
      </x:c>
      <x:c r="AJ256" s="112" t="n">
        <x:f>IF(COUNT(H256,Q256,Z256)=0,"",AVERAGE(H256,Q256,Z256))</x:f>
        <x:v>0</x:v>
      </x:c>
      <x:c r="AK256" s="112" t="n">
        <x:f>IF(COUNT(I256,R256,AA256)=0,"",AVERAGE(I256,R256,AA256))</x:f>
        <x:v>0</x:v>
      </x:c>
      <x:c r="AL256" s="112" t="n">
        <x:f>IF(COUNT(J256,S256,AB256)=0,"",AVERAGE(J256,S256,AB256))</x:f>
        <x:v>17</x:v>
      </x:c>
      <x:c r="AM256" s="112" t="n">
        <x:f>IF(COUNT(K256,T256,AC256)=0,"",AVERAGE(K256,T256,AC256))</x:f>
        <x:v>215.33333333333334</x:v>
      </x:c>
      <x:c r="AN256" s="112" t="n">
        <x:f>IF(COUNT(L256,U256,AD256)=0,"",AVERAGE(L256,U256,AD256))</x:f>
        <x:v>1.6666666666666667</x:v>
      </x:c>
      <x:c r="AO256" s="112" t="n">
        <x:f>IF(COUNT(M256,V256,AE256)=0,"",AVERAGE(M256,V256,AE256))</x:f>
        <x:v>0</x:v>
      </x:c>
    </x:row>
    <x:row r="257">
      <x:c r="A257" s="107" t="str">
        <x:v>Emari Demercado</x:v>
      </x:c>
      <x:c r="B257" s="108" t="str">
        <x:v>RB</x:v>
      </x:c>
      <x:c r="C257" s="108" t="str">
        <x:v>FA</x:v>
      </x:c>
      <x:c r="D257" s="109"/>
      <x:c r="E257" s="109" t="n">
        <x:f>IFERROR(VLOOKUP($A257,'Mike FLEX'!$A$6:$N$278,5,FALSE),"")</x:f>
        <x:v>256</x:v>
      </x:c>
      <x:c r="F257" s="110" t="n">
        <x:f>IFERROR(VLOOKUP($A257,'Mike FLEX'!$A$6:$N$278,6,FALSE),"")</x:f>
        <x:v>1.6</x:v>
      </x:c>
      <x:c r="G257" s="111" t="n">
        <x:f>IFERROR(VLOOKUP($A257,'Mike FLEX'!$A$6:$N$278,7,FALSE),"")</x:f>
        <x:v>11</x:v>
      </x:c>
      <x:c r="H257" s="111" t="n">
        <x:f>IFERROR(VLOOKUP($A257,'Mike FLEX'!$A$6:$N$278,8,FALSE),"")</x:f>
        <x:v>75</x:v>
      </x:c>
      <x:c r="I257" s="111" t="n">
        <x:f>IFERROR(VLOOKUP($A257,'Mike FLEX'!$A$6:$N$278,9,FALSE),"")</x:f>
        <x:v>0</x:v>
      </x:c>
      <x:c r="J257" s="111" t="n">
        <x:f>IFERROR(VLOOKUP($A257,'Mike FLEX'!$A$6:$N$278,10,FALSE),"")</x:f>
        <x:v>9</x:v>
      </x:c>
      <x:c r="K257" s="111" t="n">
        <x:f>IFERROR(VLOOKUP($A257,'Mike FLEX'!$A$6:$N$278,11,FALSE),"")</x:f>
        <x:v>58</x:v>
      </x:c>
      <x:c r="L257" s="111" t="n">
        <x:f>IFERROR(VLOOKUP($A257,'Mike FLEX'!$A$6:$N$278,12,FALSE),"")</x:f>
        <x:v>0</x:v>
      </x:c>
      <x:c r="M257" s="111" t="n">
        <x:f>IFERROR(VLOOKUP($A257,'Mike FLEX'!$A$6:$N$278,13,FALSE),"")</x:f>
        <x:v>0</x:v>
      </x:c>
      <x:c r="N257" s="109" t="n">
        <x:f>IFERROR(VLOOKUP($A257,'Andy FLEX'!$A$6:$N$278,5,FALSE),"")</x:f>
        <x:v>220</x:v>
      </x:c>
      <x:c r="O257" s="110" t="n">
        <x:f>IFERROR(VLOOKUP($A257,'Andy FLEX'!$A$6:$N$278,6,FALSE),"")</x:f>
        <x:v>4.1</x:v>
      </x:c>
      <x:c r="P257" s="111" t="n">
        <x:f>IFERROR(VLOOKUP($A257,'Andy FLEX'!$A$6:$N$278,7,FALSE),"")</x:f>
        <x:v>60</x:v>
      </x:c>
      <x:c r="Q257" s="111" t="n">
        <x:f>IFERROR(VLOOKUP($A257,'Andy FLEX'!$A$6:$N$278,8,FALSE),"")</x:f>
        <x:v>249</x:v>
      </x:c>
      <x:c r="R257" s="111" t="n">
        <x:f>IFERROR(VLOOKUP($A257,'Andy FLEX'!$A$6:$N$278,9,FALSE),"")</x:f>
        <x:v>1</x:v>
      </x:c>
      <x:c r="S257" s="111" t="n">
        <x:f>IFERROR(VLOOKUP($A257,'Andy FLEX'!$A$6:$N$278,10,FALSE),"")</x:f>
        <x:v>18</x:v>
      </x:c>
      <x:c r="T257" s="111" t="n">
        <x:f>IFERROR(VLOOKUP($A257,'Andy FLEX'!$A$6:$N$278,11,FALSE),"")</x:f>
        <x:v>144</x:v>
      </x:c>
      <x:c r="U257" s="111" t="n">
        <x:f>IFERROR(VLOOKUP($A257,'Andy FLEX'!$A$6:$N$278,12,FALSE),"")</x:f>
        <x:v>1</x:v>
      </x:c>
      <x:c r="V257" s="111" t="n">
        <x:f>IFERROR(VLOOKUP($A257,'Andy FLEX'!$A$6:$N$278,13,FALSE),"")</x:f>
        <x:v>1</x:v>
      </x:c>
      <x:c r="W257" s="109" t="n">
        <x:f>IFERROR(VLOOKUP($A257,'Jason FLEX'!$A$6:$N$268,5,FALSE),"")</x:f>
        <x:v>245</x:v>
      </x:c>
      <x:c r="X257" s="110" t="n">
        <x:f>IFERROR(VLOOKUP($A257,'Jason FLEX'!$A$6:$N$268,6,FALSE),"")</x:f>
        <x:v>2.4</x:v>
      </x:c>
      <x:c r="Y257" s="111" t="n">
        <x:f>IFERROR(VLOOKUP($A257,'Jason FLEX'!$A$6:$N$268,7,FALSE),"")</x:f>
        <x:v>25</x:v>
      </x:c>
      <x:c r="Z257" s="111" t="n">
        <x:f>IFERROR(VLOOKUP($A257,'Jason FLEX'!$A$6:$N$268,8,FALSE),"")</x:f>
        <x:v>110</x:v>
      </x:c>
      <x:c r="AA257" s="111" t="n">
        <x:f>IFERROR(VLOOKUP($A257,'Jason FLEX'!$A$6:$N$268,9,FALSE),"")</x:f>
        <x:v>1</x:v>
      </x:c>
      <x:c r="AB257" s="111" t="n">
        <x:f>IFERROR(VLOOKUP($A257,'Jason FLEX'!$A$6:$N$268,10,FALSE),"")</x:f>
        <x:v>14</x:v>
      </x:c>
      <x:c r="AC257" s="111" t="n">
        <x:f>IFERROR(VLOOKUP($A257,'Jason FLEX'!$A$6:$N$268,11,FALSE),"")</x:f>
        <x:v>110</x:v>
      </x:c>
      <x:c r="AD257" s="111" t="n">
        <x:f>IFERROR(VLOOKUP($A257,'Jason FLEX'!$A$6:$N$268,12,FALSE),"")</x:f>
        <x:v>1</x:v>
      </x:c>
      <x:c r="AE257" s="111" t="n">
        <x:f>IFERROR(VLOOKUP($A257,'Jason FLEX'!$A$6:$N$268,13,FALSE),"")</x:f>
        <x:v>1</x:v>
      </x:c>
      <x:c r="AF257" s="110" t="n">
        <x:f>IF(COUNT(E257,N257,W257)=0,"",AVERAGE(E257,N257,W257))</x:f>
        <x:v>240.33333333333334</x:v>
      </x:c>
      <x:c r="AG257" s="110" t="n">
        <x:f>IF(COUNT(E257,N257,W257)=0,"",MAX(E257,N257,W257)-MIN(E257,N257,W257))</x:f>
        <x:v>36</x:v>
      </x:c>
      <x:c r="AH257" s="110" t="n">
        <x:f>IF(COUNT(F257,O257,X257)=0,"",AVERAGE(F257,O257,X257))</x:f>
        <x:v>2.6999999999999997</x:v>
      </x:c>
      <x:c r="AI257" s="112" t="n">
        <x:f>IF(COUNT(G257,P257,Y257)=0,"",AVERAGE(G257,P257,Y257))</x:f>
        <x:v>32</x:v>
      </x:c>
      <x:c r="AJ257" s="112" t="n">
        <x:f>IF(COUNT(H257,Q257,Z257)=0,"",AVERAGE(H257,Q257,Z257))</x:f>
        <x:v>144.66666666666666</x:v>
      </x:c>
      <x:c r="AK257" s="112" t="n">
        <x:f>IF(COUNT(I257,R257,AA257)=0,"",AVERAGE(I257,R257,AA257))</x:f>
        <x:v>0.6666666666666666</x:v>
      </x:c>
      <x:c r="AL257" s="112" t="n">
        <x:f>IF(COUNT(J257,S257,AB257)=0,"",AVERAGE(J257,S257,AB257))</x:f>
        <x:v>13.666666666666666</x:v>
      </x:c>
      <x:c r="AM257" s="112" t="n">
        <x:f>IF(COUNT(K257,T257,AC257)=0,"",AVERAGE(K257,T257,AC257))</x:f>
        <x:v>104</x:v>
      </x:c>
      <x:c r="AN257" s="112" t="n">
        <x:f>IF(COUNT(L257,U257,AD257)=0,"",AVERAGE(L257,U257,AD257))</x:f>
        <x:v>0.6666666666666666</x:v>
      </x:c>
      <x:c r="AO257" s="112" t="n">
        <x:f>IF(COUNT(M257,V257,AE257)=0,"",AVERAGE(M257,V257,AE257))</x:f>
        <x:v>0.6666666666666666</x:v>
      </x:c>
    </x:row>
    <x:row r="258">
      <x:c r="A258" s="107" t="str">
        <x:v>Devin Neal</x:v>
      </x:c>
      <x:c r="B258" s="108" t="str">
        <x:v>RB</x:v>
      </x:c>
      <x:c r="C258" s="108" t="str">
        <x:v>NO</x:v>
      </x:c>
      <x:c r="D258" s="109" t="n">
        <x:v>8</x:v>
      </x:c>
      <x:c r="E258" s="109" t="n">
        <x:f>IFERROR(VLOOKUP($A258,'Mike FLEX'!$A$6:$N$278,5,FALSE),"")</x:f>
        <x:v>240</x:v>
      </x:c>
      <x:c r="F258" s="110" t="n">
        <x:f>IFERROR(VLOOKUP($A258,'Mike FLEX'!$A$6:$N$278,6,FALSE),"")</x:f>
        <x:v>2.5</x:v>
      </x:c>
      <x:c r="G258" s="111" t="n">
        <x:f>IFERROR(VLOOKUP($A258,'Mike FLEX'!$A$6:$N$278,7,FALSE),"")</x:f>
        <x:v>15</x:v>
      </x:c>
      <x:c r="H258" s="111" t="n">
        <x:f>IFERROR(VLOOKUP($A258,'Mike FLEX'!$A$6:$N$278,8,FALSE),"")</x:f>
        <x:v>56</x:v>
      </x:c>
      <x:c r="I258" s="111" t="n">
        <x:f>IFERROR(VLOOKUP($A258,'Mike FLEX'!$A$6:$N$278,9,FALSE),"")</x:f>
        <x:v>0</x:v>
      </x:c>
      <x:c r="J258" s="111" t="n">
        <x:f>IFERROR(VLOOKUP($A258,'Mike FLEX'!$A$6:$N$278,10,FALSE),"")</x:f>
        <x:v>19</x:v>
      </x:c>
      <x:c r="K258" s="111" t="n">
        <x:f>IFERROR(VLOOKUP($A258,'Mike FLEX'!$A$6:$N$278,11,FALSE),"")</x:f>
        <x:v>121</x:v>
      </x:c>
      <x:c r="L258" s="111" t="n">
        <x:f>IFERROR(VLOOKUP($A258,'Mike FLEX'!$A$6:$N$278,12,FALSE),"")</x:f>
        <x:v>1</x:v>
      </x:c>
      <x:c r="M258" s="111" t="n">
        <x:f>IFERROR(VLOOKUP($A258,'Mike FLEX'!$A$6:$N$278,13,FALSE),"")</x:f>
        <x:v>0</x:v>
      </x:c>
      <x:c r="N258" s="109" t="n">
        <x:f>IFERROR(VLOOKUP($A258,'Andy FLEX'!$A$6:$N$278,5,FALSE),"")</x:f>
        <x:v>222</x:v>
      </x:c>
      <x:c r="O258" s="110" t="n">
        <x:f>IFERROR(VLOOKUP($A258,'Andy FLEX'!$A$6:$N$278,6,FALSE),"")</x:f>
        <x:v>4</x:v>
      </x:c>
      <x:c r="P258" s="111" t="n">
        <x:f>IFERROR(VLOOKUP($A258,'Andy FLEX'!$A$6:$N$278,7,FALSE),"")</x:f>
        <x:v>67</x:v>
      </x:c>
      <x:c r="Q258" s="111" t="n">
        <x:f>IFERROR(VLOOKUP($A258,'Andy FLEX'!$A$6:$N$278,8,FALSE),"")</x:f>
        <x:v>277</x:v>
      </x:c>
      <x:c r="R258" s="111" t="n">
        <x:f>IFERROR(VLOOKUP($A258,'Andy FLEX'!$A$6:$N$278,9,FALSE),"")</x:f>
        <x:v>2</x:v>
      </x:c>
      <x:c r="S258" s="111" t="n">
        <x:f>IFERROR(VLOOKUP($A258,'Andy FLEX'!$A$6:$N$278,10,FALSE),"")</x:f>
        <x:v>20</x:v>
      </x:c>
      <x:c r="T258" s="111" t="n">
        <x:f>IFERROR(VLOOKUP($A258,'Andy FLEX'!$A$6:$N$278,11,FALSE),"")</x:f>
        <x:v>110</x:v>
      </x:c>
      <x:c r="U258" s="111" t="n">
        <x:f>IFERROR(VLOOKUP($A258,'Andy FLEX'!$A$6:$N$278,12,FALSE),"")</x:f>
        <x:v>0</x:v>
      </x:c>
      <x:c r="V258" s="111" t="n">
        <x:f>IFERROR(VLOOKUP($A258,'Andy FLEX'!$A$6:$N$278,13,FALSE),"")</x:f>
        <x:v>1</x:v>
      </x:c>
      <x:c r="W258" s="109" t="n">
        <x:f>IFERROR(VLOOKUP($A258,'Jason FLEX'!$A$6:$N$268,5,FALSE),"")</x:f>
        <x:v>261</x:v>
      </x:c>
      <x:c r="X258" s="110" t="n">
        <x:f>IFERROR(VLOOKUP($A258,'Jason FLEX'!$A$6:$N$268,6,FALSE),"")</x:f>
        <x:v>0</x:v>
      </x:c>
      <x:c r="Y258" s="111" t="n">
        <x:f>IFERROR(VLOOKUP($A258,'Jason FLEX'!$A$6:$N$268,7,FALSE),"")</x:f>
        <x:v>0</x:v>
      </x:c>
      <x:c r="Z258" s="111" t="n">
        <x:f>IFERROR(VLOOKUP($A258,'Jason FLEX'!$A$6:$N$268,8,FALSE),"")</x:f>
        <x:v>0</x:v>
      </x:c>
      <x:c r="AA258" s="111" t="n">
        <x:f>IFERROR(VLOOKUP($A258,'Jason FLEX'!$A$6:$N$268,9,FALSE),"")</x:f>
        <x:v>0</x:v>
      </x:c>
      <x:c r="AB258" s="111" t="n">
        <x:f>IFERROR(VLOOKUP($A258,'Jason FLEX'!$A$6:$N$268,10,FALSE),"")</x:f>
        <x:v>0</x:v>
      </x:c>
      <x:c r="AC258" s="111" t="n">
        <x:f>IFERROR(VLOOKUP($A258,'Jason FLEX'!$A$6:$N$268,11,FALSE),"")</x:f>
        <x:v>0</x:v>
      </x:c>
      <x:c r="AD258" s="111" t="n">
        <x:f>IFERROR(VLOOKUP($A258,'Jason FLEX'!$A$6:$N$268,12,FALSE),"")</x:f>
        <x:v>0</x:v>
      </x:c>
      <x:c r="AE258" s="111" t="n">
        <x:f>IFERROR(VLOOKUP($A258,'Jason FLEX'!$A$6:$N$268,13,FALSE),"")</x:f>
        <x:v>0</x:v>
      </x:c>
      <x:c r="AF258" s="110" t="n">
        <x:f>IF(COUNT(E258,N258,W258)=0,"",AVERAGE(E258,N258,W258))</x:f>
        <x:v>241</x:v>
      </x:c>
      <x:c r="AG258" s="110" t="n">
        <x:f>IF(COUNT(E258,N258,W258)=0,"",MAX(E258,N258,W258)-MIN(E258,N258,W258))</x:f>
        <x:v>39</x:v>
      </x:c>
      <x:c r="AH258" s="110" t="n">
        <x:f>IF(COUNT(F258,O258,X258)=0,"",AVERAGE(F258,O258,X258))</x:f>
        <x:v>2.1666666666666665</x:v>
      </x:c>
      <x:c r="AI258" s="112" t="n">
        <x:f>IF(COUNT(G258,P258,Y258)=0,"",AVERAGE(G258,P258,Y258))</x:f>
        <x:v>27.333333333333332</x:v>
      </x:c>
      <x:c r="AJ258" s="112" t="n">
        <x:f>IF(COUNT(H258,Q258,Z258)=0,"",AVERAGE(H258,Q258,Z258))</x:f>
        <x:v>111</x:v>
      </x:c>
      <x:c r="AK258" s="112" t="n">
        <x:f>IF(COUNT(I258,R258,AA258)=0,"",AVERAGE(I258,R258,AA258))</x:f>
        <x:v>0.6666666666666666</x:v>
      </x:c>
      <x:c r="AL258" s="112" t="n">
        <x:f>IF(COUNT(J258,S258,AB258)=0,"",AVERAGE(J258,S258,AB258))</x:f>
        <x:v>13</x:v>
      </x:c>
      <x:c r="AM258" s="112" t="n">
        <x:f>IF(COUNT(K258,T258,AC258)=0,"",AVERAGE(K258,T258,AC258))</x:f>
        <x:v>77</x:v>
      </x:c>
      <x:c r="AN258" s="112" t="n">
        <x:f>IF(COUNT(L258,U258,AD258)=0,"",AVERAGE(L258,U258,AD258))</x:f>
        <x:v>0.3333333333333333</x:v>
      </x:c>
      <x:c r="AO258" s="112" t="n">
        <x:f>IF(COUNT(M258,V258,AE258)=0,"",AVERAGE(M258,V258,AE258))</x:f>
        <x:v>0.3333333333333333</x:v>
      </x:c>
    </x:row>
    <x:row r="259">
      <x:c r="A259" s="107" t="str">
        <x:v>Tutu Atwell</x:v>
      </x:c>
      <x:c r="B259" s="108" t="str">
        <x:v>WR</x:v>
      </x:c>
      <x:c r="C259" s="108" t="str">
        <x:v>LAR</x:v>
      </x:c>
      <x:c r="D259" s="109" t="n">
        <x:v>11</x:v>
      </x:c>
      <x:c r="E259" s="109" t="n">
        <x:f>IFERROR(VLOOKUP($A259,'Mike FLEX'!$A$6:$N$278,5,FALSE),"")</x:f>
        <x:v>236</x:v>
      </x:c>
      <x:c r="F259" s="110" t="n">
        <x:f>IFERROR(VLOOKUP($A259,'Mike FLEX'!$A$6:$N$278,6,FALSE),"")</x:f>
        <x:v>2.8</x:v>
      </x:c>
      <x:c r="G259" s="111" t="n">
        <x:f>IFERROR(VLOOKUP($A259,'Mike FLEX'!$A$6:$N$278,7,FALSE),"")</x:f>
        <x:v>2</x:v>
      </x:c>
      <x:c r="H259" s="111" t="n">
        <x:f>IFERROR(VLOOKUP($A259,'Mike FLEX'!$A$6:$N$278,8,FALSE),"")</x:f>
        <x:v>11</x:v>
      </x:c>
      <x:c r="I259" s="111" t="n">
        <x:f>IFERROR(VLOOKUP($A259,'Mike FLEX'!$A$6:$N$278,9,FALSE),"")</x:f>
        <x:v>0</x:v>
      </x:c>
      <x:c r="J259" s="111" t="n">
        <x:f>IFERROR(VLOOKUP($A259,'Mike FLEX'!$A$6:$N$278,10,FALSE),"")</x:f>
        <x:v>16</x:v>
      </x:c>
      <x:c r="K259" s="111" t="n">
        <x:f>IFERROR(VLOOKUP($A259,'Mike FLEX'!$A$6:$N$278,11,FALSE),"")</x:f>
        <x:v>231</x:v>
      </x:c>
      <x:c r="L259" s="111" t="n">
        <x:f>IFERROR(VLOOKUP($A259,'Mike FLEX'!$A$6:$N$278,12,FALSE),"")</x:f>
        <x:v>1</x:v>
      </x:c>
      <x:c r="M259" s="111" t="n">
        <x:f>IFERROR(VLOOKUP($A259,'Mike FLEX'!$A$6:$N$278,13,FALSE),"")</x:f>
        <x:v>0</x:v>
      </x:c>
      <x:c r="N259" s="109" t="n">
        <x:f>IFERROR(VLOOKUP($A259,'Andy FLEX'!$A$6:$N$278,5,FALSE),"")</x:f>
        <x:v>247</x:v>
      </x:c>
      <x:c r="O259" s="110" t="n">
        <x:f>IFERROR(VLOOKUP($A259,'Andy FLEX'!$A$6:$N$278,6,FALSE),"")</x:f>
        <x:v>3.1</x:v>
      </x:c>
      <x:c r="P259" s="111" t="n">
        <x:f>IFERROR(VLOOKUP($A259,'Andy FLEX'!$A$6:$N$278,7,FALSE),"")</x:f>
        <x:v>4</x:v>
      </x:c>
      <x:c r="Q259" s="111" t="n">
        <x:f>IFERROR(VLOOKUP($A259,'Andy FLEX'!$A$6:$N$278,8,FALSE),"")</x:f>
        <x:v>21</x:v>
      </x:c>
      <x:c r="R259" s="111" t="n">
        <x:f>IFERROR(VLOOKUP($A259,'Andy FLEX'!$A$6:$N$278,9,FALSE),"")</x:f>
        <x:v>0</x:v>
      </x:c>
      <x:c r="S259" s="111" t="n">
        <x:f>IFERROR(VLOOKUP($A259,'Andy FLEX'!$A$6:$N$278,10,FALSE),"")</x:f>
        <x:v>19</x:v>
      </x:c>
      <x:c r="T259" s="111" t="n">
        <x:f>IFERROR(VLOOKUP($A259,'Andy FLEX'!$A$6:$N$278,11,FALSE),"")</x:f>
        <x:v>246</x:v>
      </x:c>
      <x:c r="U259" s="111" t="n">
        <x:f>IFERROR(VLOOKUP($A259,'Andy FLEX'!$A$6:$N$278,12,FALSE),"")</x:f>
        <x:v>1</x:v>
      </x:c>
      <x:c r="V259" s="111" t="n">
        <x:f>IFERROR(VLOOKUP($A259,'Andy FLEX'!$A$6:$N$278,13,FALSE),"")</x:f>
        <x:v>0</x:v>
      </x:c>
      <x:c r="W259" s="109" t="n">
        <x:f>IFERROR(VLOOKUP($A259,'Jason FLEX'!$A$6:$N$268,5,FALSE),"")</x:f>
        <x:v>246</x:v>
      </x:c>
      <x:c r="X259" s="110" t="n">
        <x:f>IFERROR(VLOOKUP($A259,'Jason FLEX'!$A$6:$N$268,6,FALSE),"")</x:f>
        <x:v>2.3</x:v>
      </x:c>
      <x:c r="Y259" s="111" t="n">
        <x:f>IFERROR(VLOOKUP($A259,'Jason FLEX'!$A$6:$N$268,7,FALSE),"")</x:f>
        <x:v>0</x:v>
      </x:c>
      <x:c r="Z259" s="111" t="n">
        <x:f>IFERROR(VLOOKUP($A259,'Jason FLEX'!$A$6:$N$268,8,FALSE),"")</x:f>
        <x:v>0</x:v>
      </x:c>
      <x:c r="AA259" s="111" t="n">
        <x:f>IFERROR(VLOOKUP($A259,'Jason FLEX'!$A$6:$N$268,9,FALSE),"")</x:f>
        <x:v>0</x:v>
      </x:c>
      <x:c r="AB259" s="111" t="n">
        <x:f>IFERROR(VLOOKUP($A259,'Jason FLEX'!$A$6:$N$268,10,FALSE),"")</x:f>
        <x:v>13</x:v>
      </x:c>
      <x:c r="AC259" s="111" t="n">
        <x:f>IFERROR(VLOOKUP($A259,'Jason FLEX'!$A$6:$N$268,11,FALSE),"")</x:f>
        <x:v>203</x:v>
      </x:c>
      <x:c r="AD259" s="111" t="n">
        <x:f>IFERROR(VLOOKUP($A259,'Jason FLEX'!$A$6:$N$268,12,FALSE),"")</x:f>
        <x:v>1</x:v>
      </x:c>
      <x:c r="AE259" s="111" t="n">
        <x:f>IFERROR(VLOOKUP($A259,'Jason FLEX'!$A$6:$N$268,13,FALSE),"")</x:f>
        <x:v>0</x:v>
      </x:c>
      <x:c r="AF259" s="110" t="n">
        <x:f>IF(COUNT(E259,N259,W259)=0,"",AVERAGE(E259,N259,W259))</x:f>
        <x:v>243</x:v>
      </x:c>
      <x:c r="AG259" s="110" t="n">
        <x:f>IF(COUNT(E259,N259,W259)=0,"",MAX(E259,N259,W259)-MIN(E259,N259,W259))</x:f>
        <x:v>11</x:v>
      </x:c>
      <x:c r="AH259" s="110" t="n">
        <x:f>IF(COUNT(F259,O259,X259)=0,"",AVERAGE(F259,O259,X259))</x:f>
        <x:v>2.733333333333333</x:v>
      </x:c>
      <x:c r="AI259" s="112" t="n">
        <x:f>IF(COUNT(G259,P259,Y259)=0,"",AVERAGE(G259,P259,Y259))</x:f>
        <x:v>2</x:v>
      </x:c>
      <x:c r="AJ259" s="112" t="n">
        <x:f>IF(COUNT(H259,Q259,Z259)=0,"",AVERAGE(H259,Q259,Z259))</x:f>
        <x:v>10.666666666666666</x:v>
      </x:c>
      <x:c r="AK259" s="112" t="n">
        <x:f>IF(COUNT(I259,R259,AA259)=0,"",AVERAGE(I259,R259,AA259))</x:f>
        <x:v>0</x:v>
      </x:c>
      <x:c r="AL259" s="112" t="n">
        <x:f>IF(COUNT(J259,S259,AB259)=0,"",AVERAGE(J259,S259,AB259))</x:f>
        <x:v>16</x:v>
      </x:c>
      <x:c r="AM259" s="112" t="n">
        <x:f>IF(COUNT(K259,T259,AC259)=0,"",AVERAGE(K259,T259,AC259))</x:f>
        <x:v>226.66666666666666</x:v>
      </x:c>
      <x:c r="AN259" s="112" t="n">
        <x:f>IF(COUNT(L259,U259,AD259)=0,"",AVERAGE(L259,U259,AD259))</x:f>
        <x:v>1</x:v>
      </x:c>
      <x:c r="AO259" s="112" t="n">
        <x:f>IF(COUNT(M259,V259,AE259)=0,"",AVERAGE(M259,V259,AE259))</x:f>
        <x:v>0</x:v>
      </x:c>
    </x:row>
    <x:row r="260">
      <x:c r="A260" s="107" t="str">
        <x:v>Chris Brazzell II</x:v>
      </x:c>
      <x:c r="B260" s="108" t="str">
        <x:v>WR</x:v>
      </x:c>
      <x:c r="C260" s="108" t="str">
        <x:v>CAR</x:v>
      </x:c>
      <x:c r="D260" s="109" t="n">
        <x:v>5</x:v>
      </x:c>
      <x:c r="E260" s="109" t="n">
        <x:f>IFERROR(VLOOKUP($A260,'Mike FLEX'!$A$6:$N$278,5,FALSE),"")</x:f>
        <x:v>206</x:v>
      </x:c>
      <x:c r="F260" s="110" t="n">
        <x:f>IFERROR(VLOOKUP($A260,'Mike FLEX'!$A$6:$N$278,6,FALSE),"")</x:f>
        <x:v>3.9</x:v>
      </x:c>
      <x:c r="G260" s="111" t="n">
        <x:f>IFERROR(VLOOKUP($A260,'Mike FLEX'!$A$6:$N$278,7,FALSE),"")</x:f>
        <x:v>0</x:v>
      </x:c>
      <x:c r="H260" s="111" t="n">
        <x:f>IFERROR(VLOOKUP($A260,'Mike FLEX'!$A$6:$N$278,8,FALSE),"")</x:f>
        <x:v>0</x:v>
      </x:c>
      <x:c r="I260" s="111" t="n">
        <x:f>IFERROR(VLOOKUP($A260,'Mike FLEX'!$A$6:$N$278,9,FALSE),"")</x:f>
        <x:v>0</x:v>
      </x:c>
      <x:c r="J260" s="111" t="n">
        <x:f>IFERROR(VLOOKUP($A260,'Mike FLEX'!$A$6:$N$278,10,FALSE),"")</x:f>
        <x:v>25</x:v>
      </x:c>
      <x:c r="K260" s="111" t="n">
        <x:f>IFERROR(VLOOKUP($A260,'Mike FLEX'!$A$6:$N$278,11,FALSE),"")</x:f>
        <x:v>307</x:v>
      </x:c>
      <x:c r="L260" s="111" t="n">
        <x:f>IFERROR(VLOOKUP($A260,'Mike FLEX'!$A$6:$N$278,12,FALSE),"")</x:f>
        <x:v>2</x:v>
      </x:c>
      <x:c r="M260" s="111" t="n">
        <x:f>IFERROR(VLOOKUP($A260,'Mike FLEX'!$A$6:$N$278,13,FALSE),"")</x:f>
        <x:v>0</x:v>
      </x:c>
      <x:c r="N260" s="109" t="n">
        <x:f>IFERROR(VLOOKUP($A260,'Andy FLEX'!$A$6:$N$278,5,FALSE),"")</x:f>
        <x:v>263</x:v>
      </x:c>
      <x:c r="O260" s="110" t="n">
        <x:f>IFERROR(VLOOKUP($A260,'Andy FLEX'!$A$6:$N$278,6,FALSE),"")</x:f>
        <x:v>2.6</x:v>
      </x:c>
      <x:c r="P260" s="111" t="n">
        <x:f>IFERROR(VLOOKUP($A260,'Andy FLEX'!$A$6:$N$278,7,FALSE),"")</x:f>
        <x:v>0</x:v>
      </x:c>
      <x:c r="Q260" s="111" t="n">
        <x:f>IFERROR(VLOOKUP($A260,'Andy FLEX'!$A$6:$N$278,8,FALSE),"")</x:f>
        <x:v>0</x:v>
      </x:c>
      <x:c r="R260" s="111" t="n">
        <x:f>IFERROR(VLOOKUP($A260,'Andy FLEX'!$A$6:$N$278,9,FALSE),"")</x:f>
        <x:v>0</x:v>
      </x:c>
      <x:c r="S260" s="111" t="n">
        <x:f>IFERROR(VLOOKUP($A260,'Andy FLEX'!$A$6:$N$278,10,FALSE),"")</x:f>
        <x:v>16</x:v>
      </x:c>
      <x:c r="T260" s="111" t="n">
        <x:f>IFERROR(VLOOKUP($A260,'Andy FLEX'!$A$6:$N$278,11,FALSE),"")</x:f>
        <x:v>213</x:v>
      </x:c>
      <x:c r="U260" s="111" t="n">
        <x:f>IFERROR(VLOOKUP($A260,'Andy FLEX'!$A$6:$N$278,12,FALSE),"")</x:f>
        <x:v>1</x:v>
      </x:c>
      <x:c r="V260" s="111" t="n">
        <x:f>IFERROR(VLOOKUP($A260,'Andy FLEX'!$A$6:$N$278,13,FALSE),"")</x:f>
        <x:v>0</x:v>
      </x:c>
      <x:c r="W260" s="109" t="n">
        <x:f>IFERROR(VLOOKUP($A260,'Jason FLEX'!$A$6:$N$268,5,FALSE),"")</x:f>
        <x:v>262</x:v>
      </x:c>
      <x:c r="X260" s="110" t="n">
        <x:f>IFERROR(VLOOKUP($A260,'Jason FLEX'!$A$6:$N$268,6,FALSE),"")</x:f>
        <x:v>0</x:v>
      </x:c>
      <x:c r="Y260" s="111" t="n">
        <x:f>IFERROR(VLOOKUP($A260,'Jason FLEX'!$A$6:$N$268,7,FALSE),"")</x:f>
        <x:v>0</x:v>
      </x:c>
      <x:c r="Z260" s="111" t="n">
        <x:f>IFERROR(VLOOKUP($A260,'Jason FLEX'!$A$6:$N$268,8,FALSE),"")</x:f>
        <x:v>0</x:v>
      </x:c>
      <x:c r="AA260" s="111" t="n">
        <x:f>IFERROR(VLOOKUP($A260,'Jason FLEX'!$A$6:$N$268,9,FALSE),"")</x:f>
        <x:v>0</x:v>
      </x:c>
      <x:c r="AB260" s="111" t="n">
        <x:f>IFERROR(VLOOKUP($A260,'Jason FLEX'!$A$6:$N$268,10,FALSE),"")</x:f>
        <x:v>0</x:v>
      </x:c>
      <x:c r="AC260" s="111" t="n">
        <x:f>IFERROR(VLOOKUP($A260,'Jason FLEX'!$A$6:$N$268,11,FALSE),"")</x:f>
        <x:v>0</x:v>
      </x:c>
      <x:c r="AD260" s="111" t="n">
        <x:f>IFERROR(VLOOKUP($A260,'Jason FLEX'!$A$6:$N$268,12,FALSE),"")</x:f>
        <x:v>0</x:v>
      </x:c>
      <x:c r="AE260" s="111" t="n">
        <x:f>IFERROR(VLOOKUP($A260,'Jason FLEX'!$A$6:$N$268,13,FALSE),"")</x:f>
        <x:v>0</x:v>
      </x:c>
      <x:c r="AF260" s="110" t="n">
        <x:f>IF(COUNT(E260,N260,W260)=0,"",AVERAGE(E260,N260,W260))</x:f>
        <x:v>243.66666666666666</x:v>
      </x:c>
      <x:c r="AG260" s="110" t="n">
        <x:f>IF(COUNT(E260,N260,W260)=0,"",MAX(E260,N260,W260)-MIN(E260,N260,W260))</x:f>
        <x:v>57</x:v>
      </x:c>
      <x:c r="AH260" s="110" t="n">
        <x:f>IF(COUNT(F260,O260,X260)=0,"",AVERAGE(F260,O260,X260))</x:f>
        <x:v>2.1666666666666665</x:v>
      </x:c>
      <x:c r="AI260" s="112" t="n">
        <x:f>IF(COUNT(G260,P260,Y260)=0,"",AVERAGE(G260,P260,Y260))</x:f>
        <x:v>0</x:v>
      </x:c>
      <x:c r="AJ260" s="112" t="n">
        <x:f>IF(COUNT(H260,Q260,Z260)=0,"",AVERAGE(H260,Q260,Z260))</x:f>
        <x:v>0</x:v>
      </x:c>
      <x:c r="AK260" s="112" t="n">
        <x:f>IF(COUNT(I260,R260,AA260)=0,"",AVERAGE(I260,R260,AA260))</x:f>
        <x:v>0</x:v>
      </x:c>
      <x:c r="AL260" s="112" t="n">
        <x:f>IF(COUNT(J260,S260,AB260)=0,"",AVERAGE(J260,S260,AB260))</x:f>
        <x:v>13.666666666666666</x:v>
      </x:c>
      <x:c r="AM260" s="112" t="n">
        <x:f>IF(COUNT(K260,T260,AC260)=0,"",AVERAGE(K260,T260,AC260))</x:f>
        <x:v>173.33333333333334</x:v>
      </x:c>
      <x:c r="AN260" s="112" t="n">
        <x:f>IF(COUNT(L260,U260,AD260)=0,"",AVERAGE(L260,U260,AD260))</x:f>
        <x:v>1</x:v>
      </x:c>
      <x:c r="AO260" s="112" t="n">
        <x:f>IF(COUNT(M260,V260,AE260)=0,"",AVERAGE(M260,V260,AE260))</x:f>
        <x:v>0</x:v>
      </x:c>
    </x:row>
    <x:row r="261">
      <x:c r="A261" s="107" t="str">
        <x:v>Jaylen Wright</x:v>
      </x:c>
      <x:c r="B261" s="108" t="str">
        <x:v>RB</x:v>
      </x:c>
      <x:c r="C261" s="108" t="str">
        <x:v>MIA</x:v>
      </x:c>
      <x:c r="D261" s="109" t="n">
        <x:v>6</x:v>
      </x:c>
      <x:c r="E261" s="109" t="n">
        <x:f>IFERROR(VLOOKUP($A261,'Mike FLEX'!$A$6:$N$278,5,FALSE),"")</x:f>
        <x:v>244</x:v>
      </x:c>
      <x:c r="F261" s="110" t="n">
        <x:f>IFERROR(VLOOKUP($A261,'Mike FLEX'!$A$6:$N$278,6,FALSE),"")</x:f>
        <x:v>2.4</x:v>
      </x:c>
      <x:c r="G261" s="111" t="n">
        <x:f>IFERROR(VLOOKUP($A261,'Mike FLEX'!$A$6:$N$278,7,FALSE),"")</x:f>
        <x:v>52</x:v>
      </x:c>
      <x:c r="H261" s="111" t="n">
        <x:f>IFERROR(VLOOKUP($A261,'Mike FLEX'!$A$6:$N$278,8,FALSE),"")</x:f>
        <x:v>202</x:v>
      </x:c>
      <x:c r="I261" s="111" t="n">
        <x:f>IFERROR(VLOOKUP($A261,'Mike FLEX'!$A$6:$N$278,9,FALSE),"")</x:f>
        <x:v>1</x:v>
      </x:c>
      <x:c r="J261" s="111" t="n">
        <x:f>IFERROR(VLOOKUP($A261,'Mike FLEX'!$A$6:$N$278,10,FALSE),"")</x:f>
        <x:v>9</x:v>
      </x:c>
      <x:c r="K261" s="111" t="n">
        <x:f>IFERROR(VLOOKUP($A261,'Mike FLEX'!$A$6:$N$278,11,FALSE),"")</x:f>
        <x:v>64</x:v>
      </x:c>
      <x:c r="L261" s="111" t="n">
        <x:f>IFERROR(VLOOKUP($A261,'Mike FLEX'!$A$6:$N$278,12,FALSE),"")</x:f>
        <x:v>0</x:v>
      </x:c>
      <x:c r="M261" s="111" t="n">
        <x:f>IFERROR(VLOOKUP($A261,'Mike FLEX'!$A$6:$N$278,13,FALSE),"")</x:f>
        <x:v>2</x:v>
      </x:c>
      <x:c r="N261" s="109" t="n">
        <x:f>IFERROR(VLOOKUP($A261,'Andy FLEX'!$A$6:$N$278,5,FALSE),"")</x:f>
        <x:v>268</x:v>
      </x:c>
      <x:c r="O261" s="110" t="n">
        <x:f>IFERROR(VLOOKUP($A261,'Andy FLEX'!$A$6:$N$278,6,FALSE),"")</x:f>
        <x:v>2.1</x:v>
      </x:c>
      <x:c r="P261" s="111" t="n">
        <x:f>IFERROR(VLOOKUP($A261,'Andy FLEX'!$A$6:$N$278,7,FALSE),"")</x:f>
        <x:v>26</x:v>
      </x:c>
      <x:c r="Q261" s="111" t="n">
        <x:f>IFERROR(VLOOKUP($A261,'Andy FLEX'!$A$6:$N$278,8,FALSE),"")</x:f>
        <x:v>113</x:v>
      </x:c>
      <x:c r="R261" s="111" t="n">
        <x:f>IFERROR(VLOOKUP($A261,'Andy FLEX'!$A$6:$N$278,9,FALSE),"")</x:f>
        <x:v>1</x:v>
      </x:c>
      <x:c r="S261" s="111" t="n">
        <x:f>IFERROR(VLOOKUP($A261,'Andy FLEX'!$A$6:$N$278,10,FALSE),"")</x:f>
        <x:v>9</x:v>
      </x:c>
      <x:c r="T261" s="111" t="n">
        <x:f>IFERROR(VLOOKUP($A261,'Andy FLEX'!$A$6:$N$278,11,FALSE),"")</x:f>
        <x:v>69</x:v>
      </x:c>
      <x:c r="U261" s="111" t="n">
        <x:f>IFERROR(VLOOKUP($A261,'Andy FLEX'!$A$6:$N$278,12,FALSE),"")</x:f>
        <x:v>1</x:v>
      </x:c>
      <x:c r="V261" s="111" t="n">
        <x:f>IFERROR(VLOOKUP($A261,'Andy FLEX'!$A$6:$N$278,13,FALSE),"")</x:f>
        <x:v>0</x:v>
      </x:c>
      <x:c r="W261" s="109" t="n">
        <x:f>IFERROR(VLOOKUP($A261,'Jason FLEX'!$A$6:$N$268,5,FALSE),"")</x:f>
        <x:v>219</x:v>
      </x:c>
      <x:c r="X261" s="110" t="n">
        <x:f>IFERROR(VLOOKUP($A261,'Jason FLEX'!$A$6:$N$268,6,FALSE),"")</x:f>
        <x:v>3.7</x:v>
      </x:c>
      <x:c r="Y261" s="111" t="n">
        <x:f>IFERROR(VLOOKUP($A261,'Jason FLEX'!$A$6:$N$268,7,FALSE),"")</x:f>
        <x:v>85</x:v>
      </x:c>
      <x:c r="Z261" s="111" t="n">
        <x:f>IFERROR(VLOOKUP($A261,'Jason FLEX'!$A$6:$N$268,8,FALSE),"")</x:f>
        <x:v>360</x:v>
      </x:c>
      <x:c r="AA261" s="111" t="n">
        <x:f>IFERROR(VLOOKUP($A261,'Jason FLEX'!$A$6:$N$268,9,FALSE),"")</x:f>
        <x:v>3</x:v>
      </x:c>
      <x:c r="AB261" s="111" t="n">
        <x:f>IFERROR(VLOOKUP($A261,'Jason FLEX'!$A$6:$N$268,10,FALSE),"")</x:f>
        <x:v>8</x:v>
      </x:c>
      <x:c r="AC261" s="111" t="n">
        <x:f>IFERROR(VLOOKUP($A261,'Jason FLEX'!$A$6:$N$268,11,FALSE),"")</x:f>
        <x:v>60</x:v>
      </x:c>
      <x:c r="AD261" s="111" t="n">
        <x:f>IFERROR(VLOOKUP($A261,'Jason FLEX'!$A$6:$N$268,12,FALSE),"")</x:f>
        <x:v>0</x:v>
      </x:c>
      <x:c r="AE261" s="111" t="n">
        <x:f>IFERROR(VLOOKUP($A261,'Jason FLEX'!$A$6:$N$268,13,FALSE),"")</x:f>
        <x:v>1</x:v>
      </x:c>
      <x:c r="AF261" s="110" t="n">
        <x:f>IF(COUNT(E261,N261,W261)=0,"",AVERAGE(E261,N261,W261))</x:f>
        <x:v>243.66666666666666</x:v>
      </x:c>
      <x:c r="AG261" s="110" t="n">
        <x:f>IF(COUNT(E261,N261,W261)=0,"",MAX(E261,N261,W261)-MIN(E261,N261,W261))</x:f>
        <x:v>49</x:v>
      </x:c>
      <x:c r="AH261" s="110" t="n">
        <x:f>IF(COUNT(F261,O261,X261)=0,"",AVERAGE(F261,O261,X261))</x:f>
        <x:v>2.733333333333333</x:v>
      </x:c>
      <x:c r="AI261" s="112" t="n">
        <x:f>IF(COUNT(G261,P261,Y261)=0,"",AVERAGE(G261,P261,Y261))</x:f>
        <x:v>54.333333333333336</x:v>
      </x:c>
      <x:c r="AJ261" s="112" t="n">
        <x:f>IF(COUNT(H261,Q261,Z261)=0,"",AVERAGE(H261,Q261,Z261))</x:f>
        <x:v>225</x:v>
      </x:c>
      <x:c r="AK261" s="112" t="n">
        <x:f>IF(COUNT(I261,R261,AA261)=0,"",AVERAGE(I261,R261,AA261))</x:f>
        <x:v>1.6666666666666667</x:v>
      </x:c>
      <x:c r="AL261" s="112" t="n">
        <x:f>IF(COUNT(J261,S261,AB261)=0,"",AVERAGE(J261,S261,AB261))</x:f>
        <x:v>8.666666666666666</x:v>
      </x:c>
      <x:c r="AM261" s="112" t="n">
        <x:f>IF(COUNT(K261,T261,AC261)=0,"",AVERAGE(K261,T261,AC261))</x:f>
        <x:v>64.33333333333333</x:v>
      </x:c>
      <x:c r="AN261" s="112" t="n">
        <x:f>IF(COUNT(L261,U261,AD261)=0,"",AVERAGE(L261,U261,AD261))</x:f>
        <x:v>0.3333333333333333</x:v>
      </x:c>
      <x:c r="AO261" s="112" t="n">
        <x:f>IF(COUNT(M261,V261,AE261)=0,"",AVERAGE(M261,V261,AE261))</x:f>
        <x:v>1</x:v>
      </x:c>
    </x:row>
    <x:row r="262">
      <x:c r="A262" s="107" t="str">
        <x:v>Hollywood Brown</x:v>
      </x:c>
      <x:c r="B262" s="108" t="str">
        <x:v>WR</x:v>
      </x:c>
      <x:c r="C262" s="108" t="str">
        <x:v>PHI</x:v>
      </x:c>
      <x:c r="D262" s="109" t="n">
        <x:v>10</x:v>
      </x:c>
      <x:c r="E262" s="109" t="n">
        <x:f>IFERROR(VLOOKUP($A262,'Mike FLEX'!$A$6:$N$278,5,FALSE),"")</x:f>
        <x:v>264</x:v>
      </x:c>
      <x:c r="F262" s="110" t="n">
        <x:f>IFERROR(VLOOKUP($A262,'Mike FLEX'!$A$6:$N$278,6,FALSE),"")</x:f>
        <x:v>1.3</x:v>
      </x:c>
      <x:c r="G262" s="111" t="n">
        <x:f>IFERROR(VLOOKUP($A262,'Mike FLEX'!$A$6:$N$278,7,FALSE),"")</x:f>
        <x:v>0</x:v>
      </x:c>
      <x:c r="H262" s="111" t="n">
        <x:f>IFERROR(VLOOKUP($A262,'Mike FLEX'!$A$6:$N$278,8,FALSE),"")</x:f>
        <x:v>0</x:v>
      </x:c>
      <x:c r="I262" s="111" t="n">
        <x:f>IFERROR(VLOOKUP($A262,'Mike FLEX'!$A$6:$N$278,9,FALSE),"")</x:f>
        <x:v>0</x:v>
      </x:c>
      <x:c r="J262" s="111" t="n">
        <x:f>IFERROR(VLOOKUP($A262,'Mike FLEX'!$A$6:$N$278,10,FALSE),"")</x:f>
        <x:v>9</x:v>
      </x:c>
      <x:c r="K262" s="111" t="n">
        <x:f>IFERROR(VLOOKUP($A262,'Mike FLEX'!$A$6:$N$278,11,FALSE),"")</x:f>
        <x:v>106</x:v>
      </x:c>
      <x:c r="L262" s="111" t="n">
        <x:f>IFERROR(VLOOKUP($A262,'Mike FLEX'!$A$6:$N$278,12,FALSE),"")</x:f>
        <x:v>1</x:v>
      </x:c>
      <x:c r="M262" s="111" t="n">
        <x:f>IFERROR(VLOOKUP($A262,'Mike FLEX'!$A$6:$N$278,13,FALSE),"")</x:f>
        <x:v>1</x:v>
      </x:c>
      <x:c r="N262" s="109" t="n">
        <x:f>IFERROR(VLOOKUP($A262,'Andy FLEX'!$A$6:$N$278,5,FALSE),"")</x:f>
        <x:v>224</x:v>
      </x:c>
      <x:c r="O262" s="110" t="n">
        <x:f>IFERROR(VLOOKUP($A262,'Andy FLEX'!$A$6:$N$278,6,FALSE),"")</x:f>
        <x:v>3.9</x:v>
      </x:c>
      <x:c r="P262" s="111" t="n">
        <x:f>IFERROR(VLOOKUP($A262,'Andy FLEX'!$A$6:$N$278,7,FALSE),"")</x:f>
        <x:v>1</x:v>
      </x:c>
      <x:c r="Q262" s="111" t="n">
        <x:f>IFERROR(VLOOKUP($A262,'Andy FLEX'!$A$6:$N$278,8,FALSE),"")</x:f>
        <x:v>7</x:v>
      </x:c>
      <x:c r="R262" s="111" t="n">
        <x:f>IFERROR(VLOOKUP($A262,'Andy FLEX'!$A$6:$N$278,9,FALSE),"")</x:f>
        <x:v>0</x:v>
      </x:c>
      <x:c r="S262" s="111" t="n">
        <x:f>IFERROR(VLOOKUP($A262,'Andy FLEX'!$A$6:$N$278,10,FALSE),"")</x:f>
        <x:v>24</x:v>
      </x:c>
      <x:c r="T262" s="111" t="n">
        <x:f>IFERROR(VLOOKUP($A262,'Andy FLEX'!$A$6:$N$278,11,FALSE),"")</x:f>
        <x:v>286</x:v>
      </x:c>
      <x:c r="U262" s="111" t="n">
        <x:f>IFERROR(VLOOKUP($A262,'Andy FLEX'!$A$6:$N$278,12,FALSE),"")</x:f>
        <x:v>2</x:v>
      </x:c>
      <x:c r="V262" s="111" t="n">
        <x:f>IFERROR(VLOOKUP($A262,'Andy FLEX'!$A$6:$N$278,13,FALSE),"")</x:f>
        <x:v>0</x:v>
      </x:c>
      <x:c r="W262" s="109" t="n">
        <x:f>IFERROR(VLOOKUP($A262,'Jason FLEX'!$A$6:$N$268,5,FALSE),"")</x:f>
        <x:v>251</x:v>
      </x:c>
      <x:c r="X262" s="110" t="n">
        <x:f>IFERROR(VLOOKUP($A262,'Jason FLEX'!$A$6:$N$268,6,FALSE),"")</x:f>
        <x:v>2.1</x:v>
      </x:c>
      <x:c r="Y262" s="111" t="n">
        <x:f>IFERROR(VLOOKUP($A262,'Jason FLEX'!$A$6:$N$268,7,FALSE),"")</x:f>
        <x:v>3</x:v>
      </x:c>
      <x:c r="Z262" s="111" t="n">
        <x:f>IFERROR(VLOOKUP($A262,'Jason FLEX'!$A$6:$N$268,8,FALSE),"")</x:f>
        <x:v>20</x:v>
      </x:c>
      <x:c r="AA262" s="111" t="n">
        <x:f>IFERROR(VLOOKUP($A262,'Jason FLEX'!$A$6:$N$268,9,FALSE),"")</x:f>
        <x:v>0</x:v>
      </x:c>
      <x:c r="AB262" s="111" t="n">
        <x:f>IFERROR(VLOOKUP($A262,'Jason FLEX'!$A$6:$N$268,10,FALSE),"")</x:f>
        <x:v>9</x:v>
      </x:c>
      <x:c r="AC262" s="111" t="n">
        <x:f>IFERROR(VLOOKUP($A262,'Jason FLEX'!$A$6:$N$268,11,FALSE),"")</x:f>
        <x:v>112</x:v>
      </x:c>
      <x:c r="AD262" s="111" t="n">
        <x:f>IFERROR(VLOOKUP($A262,'Jason FLEX'!$A$6:$N$268,12,FALSE),"")</x:f>
        <x:v>2</x:v>
      </x:c>
      <x:c r="AE262" s="111" t="n">
        <x:f>IFERROR(VLOOKUP($A262,'Jason FLEX'!$A$6:$N$268,13,FALSE),"")</x:f>
        <x:v>0</x:v>
      </x:c>
      <x:c r="AF262" s="110" t="n">
        <x:f>IF(COUNT(E262,N262,W262)=0,"",AVERAGE(E262,N262,W262))</x:f>
        <x:v>246.33333333333334</x:v>
      </x:c>
      <x:c r="AG262" s="110" t="n">
        <x:f>IF(COUNT(E262,N262,W262)=0,"",MAX(E262,N262,W262)-MIN(E262,N262,W262))</x:f>
        <x:v>40</x:v>
      </x:c>
      <x:c r="AH262" s="110" t="n">
        <x:f>IF(COUNT(F262,O262,X262)=0,"",AVERAGE(F262,O262,X262))</x:f>
        <x:v>2.4333333333333336</x:v>
      </x:c>
      <x:c r="AI262" s="112" t="n">
        <x:f>IF(COUNT(G262,P262,Y262)=0,"",AVERAGE(G262,P262,Y262))</x:f>
        <x:v>1.3333333333333333</x:v>
      </x:c>
      <x:c r="AJ262" s="112" t="n">
        <x:f>IF(COUNT(H262,Q262,Z262)=0,"",AVERAGE(H262,Q262,Z262))</x:f>
        <x:v>9</x:v>
      </x:c>
      <x:c r="AK262" s="112" t="n">
        <x:f>IF(COUNT(I262,R262,AA262)=0,"",AVERAGE(I262,R262,AA262))</x:f>
        <x:v>0</x:v>
      </x:c>
      <x:c r="AL262" s="112" t="n">
        <x:f>IF(COUNT(J262,S262,AB262)=0,"",AVERAGE(J262,S262,AB262))</x:f>
        <x:v>14</x:v>
      </x:c>
      <x:c r="AM262" s="112" t="n">
        <x:f>IF(COUNT(K262,T262,AC262)=0,"",AVERAGE(K262,T262,AC262))</x:f>
        <x:v>168</x:v>
      </x:c>
      <x:c r="AN262" s="112" t="n">
        <x:f>IF(COUNT(L262,U262,AD262)=0,"",AVERAGE(L262,U262,AD262))</x:f>
        <x:v>1.6666666666666667</x:v>
      </x:c>
      <x:c r="AO262" s="112" t="n">
        <x:f>IF(COUNT(M262,V262,AE262)=0,"",AVERAGE(M262,V262,AE262))</x:f>
        <x:v>0.3333333333333333</x:v>
      </x:c>
    </x:row>
    <x:row r="263">
      <x:c r="A263" s="107" t="str">
        <x:v>Noah Fant</x:v>
      </x:c>
      <x:c r="B263" s="108" t="str">
        <x:v>TE</x:v>
      </x:c>
      <x:c r="C263" s="108" t="str">
        <x:v>NO</x:v>
      </x:c>
      <x:c r="D263" s="109" t="n">
        <x:v>8</x:v>
      </x:c>
      <x:c r="E263" s="109" t="n">
        <x:f>IFERROR(VLOOKUP($A263,'Mike FLEX'!$A$6:$N$278,5,FALSE),"")</x:f>
        <x:v>266</x:v>
      </x:c>
      <x:c r="F263" s="110" t="n">
        <x:f>IFERROR(VLOOKUP($A263,'Mike FLEX'!$A$6:$N$278,6,FALSE),"")</x:f>
        <x:v>1.1</x:v>
      </x:c>
      <x:c r="G263" s="111" t="n">
        <x:f>IFERROR(VLOOKUP($A263,'Mike FLEX'!$A$6:$N$278,7,FALSE),"")</x:f>
        <x:v>0</x:v>
      </x:c>
      <x:c r="H263" s="111" t="n">
        <x:f>IFERROR(VLOOKUP($A263,'Mike FLEX'!$A$6:$N$278,8,FALSE),"")</x:f>
        <x:v>0</x:v>
      </x:c>
      <x:c r="I263" s="111" t="n">
        <x:f>IFERROR(VLOOKUP($A263,'Mike FLEX'!$A$6:$N$278,9,FALSE),"")</x:f>
        <x:v>0</x:v>
      </x:c>
      <x:c r="J263" s="111" t="n">
        <x:f>IFERROR(VLOOKUP($A263,'Mike FLEX'!$A$6:$N$278,10,FALSE),"")</x:f>
        <x:v>9</x:v>
      </x:c>
      <x:c r="K263" s="111" t="n">
        <x:f>IFERROR(VLOOKUP($A263,'Mike FLEX'!$A$6:$N$278,11,FALSE),"")</x:f>
        <x:v>93</x:v>
      </x:c>
      <x:c r="L263" s="111" t="n">
        <x:f>IFERROR(VLOOKUP($A263,'Mike FLEX'!$A$6:$N$278,12,FALSE),"")</x:f>
        <x:v>1</x:v>
      </x:c>
      <x:c r="M263" s="111" t="n">
        <x:f>IFERROR(VLOOKUP($A263,'Mike FLEX'!$A$6:$N$278,13,FALSE),"")</x:f>
        <x:v>1</x:v>
      </x:c>
      <x:c r="N263" s="109" t="n">
        <x:f>IFERROR(VLOOKUP($A263,'Andy FLEX'!$A$6:$N$278,5,FALSE),"")</x:f>
        <x:v>242</x:v>
      </x:c>
      <x:c r="O263" s="110" t="n">
        <x:f>IFERROR(VLOOKUP($A263,'Andy FLEX'!$A$6:$N$278,6,FALSE),"")</x:f>
        <x:v>3.4</x:v>
      </x:c>
      <x:c r="P263" s="111" t="n">
        <x:f>IFERROR(VLOOKUP($A263,'Andy FLEX'!$A$6:$N$278,7,FALSE),"")</x:f>
        <x:v>0</x:v>
      </x:c>
      <x:c r="Q263" s="111" t="n">
        <x:f>IFERROR(VLOOKUP($A263,'Andy FLEX'!$A$6:$N$278,8,FALSE),"")</x:f>
        <x:v>0</x:v>
      </x:c>
      <x:c r="R263" s="111" t="n">
        <x:f>IFERROR(VLOOKUP($A263,'Andy FLEX'!$A$6:$N$278,9,FALSE),"")</x:f>
        <x:v>0</x:v>
      </x:c>
      <x:c r="S263" s="111" t="n">
        <x:f>IFERROR(VLOOKUP($A263,'Andy FLEX'!$A$6:$N$278,10,FALSE),"")</x:f>
        <x:v>27</x:v>
      </x:c>
      <x:c r="T263" s="111" t="n">
        <x:f>IFERROR(VLOOKUP($A263,'Andy FLEX'!$A$6:$N$278,11,FALSE),"")</x:f>
        <x:v>248</x:v>
      </x:c>
      <x:c r="U263" s="111" t="n">
        <x:f>IFERROR(VLOOKUP($A263,'Andy FLEX'!$A$6:$N$278,12,FALSE),"")</x:f>
        <x:v>1</x:v>
      </x:c>
      <x:c r="V263" s="111" t="n">
        <x:f>IFERROR(VLOOKUP($A263,'Andy FLEX'!$A$6:$N$278,13,FALSE),"")</x:f>
        <x:v>0</x:v>
      </x:c>
      <x:c r="W263" s="109" t="n">
        <x:f>IFERROR(VLOOKUP($A263,'Jason FLEX'!$A$6:$N$268,5,FALSE),"")</x:f>
        <x:v>231</x:v>
      </x:c>
      <x:c r="X263" s="110" t="n">
        <x:f>IFERROR(VLOOKUP($A263,'Jason FLEX'!$A$6:$N$268,6,FALSE),"")</x:f>
        <x:v>3.1</x:v>
      </x:c>
      <x:c r="Y263" s="111" t="n">
        <x:f>IFERROR(VLOOKUP($A263,'Jason FLEX'!$A$6:$N$268,7,FALSE),"")</x:f>
        <x:v>0</x:v>
      </x:c>
      <x:c r="Z263" s="111" t="n">
        <x:f>IFERROR(VLOOKUP($A263,'Jason FLEX'!$A$6:$N$268,8,FALSE),"")</x:f>
        <x:v>0</x:v>
      </x:c>
      <x:c r="AA263" s="111" t="n">
        <x:f>IFERROR(VLOOKUP($A263,'Jason FLEX'!$A$6:$N$268,9,FALSE),"")</x:f>
        <x:v>0</x:v>
      </x:c>
      <x:c r="AB263" s="111" t="n">
        <x:f>IFERROR(VLOOKUP($A263,'Jason FLEX'!$A$6:$N$268,10,FALSE),"")</x:f>
        <x:v>22</x:v>
      </x:c>
      <x:c r="AC263" s="111" t="n">
        <x:f>IFERROR(VLOOKUP($A263,'Jason FLEX'!$A$6:$N$268,11,FALSE),"")</x:f>
        <x:v>213</x:v>
      </x:c>
      <x:c r="AD263" s="111" t="n">
        <x:f>IFERROR(VLOOKUP($A263,'Jason FLEX'!$A$6:$N$268,12,FALSE),"")</x:f>
        <x:v>2</x:v>
      </x:c>
      <x:c r="AE263" s="111" t="n">
        <x:f>IFERROR(VLOOKUP($A263,'Jason FLEX'!$A$6:$N$268,13,FALSE),"")</x:f>
        <x:v>0</x:v>
      </x:c>
      <x:c r="AF263" s="110" t="n">
        <x:f>IF(COUNT(E263,N263,W263)=0,"",AVERAGE(E263,N263,W263))</x:f>
        <x:v>246.33333333333334</x:v>
      </x:c>
      <x:c r="AG263" s="110" t="n">
        <x:f>IF(COUNT(E263,N263,W263)=0,"",MAX(E263,N263,W263)-MIN(E263,N263,W263))</x:f>
        <x:v>35</x:v>
      </x:c>
      <x:c r="AH263" s="110" t="n">
        <x:f>IF(COUNT(F263,O263,X263)=0,"",AVERAGE(F263,O263,X263))</x:f>
        <x:v>2.533333333333333</x:v>
      </x:c>
      <x:c r="AI263" s="112" t="n">
        <x:f>IF(COUNT(G263,P263,Y263)=0,"",AVERAGE(G263,P263,Y263))</x:f>
        <x:v>0</x:v>
      </x:c>
      <x:c r="AJ263" s="112" t="n">
        <x:f>IF(COUNT(H263,Q263,Z263)=0,"",AVERAGE(H263,Q263,Z263))</x:f>
        <x:v>0</x:v>
      </x:c>
      <x:c r="AK263" s="112" t="n">
        <x:f>IF(COUNT(I263,R263,AA263)=0,"",AVERAGE(I263,R263,AA263))</x:f>
        <x:v>0</x:v>
      </x:c>
      <x:c r="AL263" s="112" t="n">
        <x:f>IF(COUNT(J263,S263,AB263)=0,"",AVERAGE(J263,S263,AB263))</x:f>
        <x:v>19.333333333333332</x:v>
      </x:c>
      <x:c r="AM263" s="112" t="n">
        <x:f>IF(COUNT(K263,T263,AC263)=0,"",AVERAGE(K263,T263,AC263))</x:f>
        <x:v>184.66666666666666</x:v>
      </x:c>
      <x:c r="AN263" s="112" t="n">
        <x:f>IF(COUNT(L263,U263,AD263)=0,"",AVERAGE(L263,U263,AD263))</x:f>
        <x:v>1.3333333333333333</x:v>
      </x:c>
      <x:c r="AO263" s="112" t="n">
        <x:f>IF(COUNT(M263,V263,AE263)=0,"",AVERAGE(M263,V263,AE263))</x:f>
        <x:v>0.3333333333333333</x:v>
      </x:c>
    </x:row>
    <x:row r="264">
      <x:c r="A264" s="107" t="str">
        <x:v>Devontez Walker</x:v>
      </x:c>
      <x:c r="B264" s="108" t="str">
        <x:v>WR</x:v>
      </x:c>
      <x:c r="C264" s="108" t="str">
        <x:v>BAL</x:v>
      </x:c>
      <x:c r="D264" s="109" t="n">
        <x:v>13</x:v>
      </x:c>
      <x:c r="E264" s="109" t="n">
        <x:f>IFERROR(VLOOKUP($A264,'Mike FLEX'!$A$6:$N$278,5,FALSE),"")</x:f>
        <x:v>239</x:v>
      </x:c>
      <x:c r="F264" s="110" t="n">
        <x:f>IFERROR(VLOOKUP($A264,'Mike FLEX'!$A$6:$N$278,6,FALSE),"")</x:f>
        <x:v>2.5</x:v>
      </x:c>
      <x:c r="G264" s="111" t="n">
        <x:f>IFERROR(VLOOKUP($A264,'Mike FLEX'!$A$6:$N$278,7,FALSE),"")</x:f>
        <x:v>0</x:v>
      </x:c>
      <x:c r="H264" s="111" t="n">
        <x:f>IFERROR(VLOOKUP($A264,'Mike FLEX'!$A$6:$N$278,8,FALSE),"")</x:f>
        <x:v>0</x:v>
      </x:c>
      <x:c r="I264" s="111" t="n">
        <x:f>IFERROR(VLOOKUP($A264,'Mike FLEX'!$A$6:$N$278,9,FALSE),"")</x:f>
        <x:v>0</x:v>
      </x:c>
      <x:c r="J264" s="111" t="n">
        <x:f>IFERROR(VLOOKUP($A264,'Mike FLEX'!$A$6:$N$278,10,FALSE),"")</x:f>
        <x:v>15</x:v>
      </x:c>
      <x:c r="K264" s="111" t="n">
        <x:f>IFERROR(VLOOKUP($A264,'Mike FLEX'!$A$6:$N$278,11,FALSE),"")</x:f>
        <x:v>207</x:v>
      </x:c>
      <x:c r="L264" s="111" t="n">
        <x:f>IFERROR(VLOOKUP($A264,'Mike FLEX'!$A$6:$N$278,12,FALSE),"")</x:f>
        <x:v>1</x:v>
      </x:c>
      <x:c r="M264" s="111" t="n">
        <x:f>IFERROR(VLOOKUP($A264,'Mike FLEX'!$A$6:$N$278,13,FALSE),"")</x:f>
        <x:v>0</x:v>
      </x:c>
      <x:c r="N264" s="109" t="n">
        <x:f>IFERROR(VLOOKUP($A264,'Andy FLEX'!$A$6:$N$278,5,FALSE),"")</x:f>
        <x:v>261</x:v>
      </x:c>
      <x:c r="O264" s="110" t="n">
        <x:f>IFERROR(VLOOKUP($A264,'Andy FLEX'!$A$6:$N$278,6,FALSE),"")</x:f>
        <x:v>2.7</x:v>
      </x:c>
      <x:c r="P264" s="111" t="n">
        <x:f>IFERROR(VLOOKUP($A264,'Andy FLEX'!$A$6:$N$278,7,FALSE),"")</x:f>
        <x:v>0</x:v>
      </x:c>
      <x:c r="Q264" s="111" t="n">
        <x:f>IFERROR(VLOOKUP($A264,'Andy FLEX'!$A$6:$N$278,8,FALSE),"")</x:f>
        <x:v>0</x:v>
      </x:c>
      <x:c r="R264" s="111" t="n">
        <x:f>IFERROR(VLOOKUP($A264,'Andy FLEX'!$A$6:$N$278,9,FALSE),"")</x:f>
        <x:v>0</x:v>
      </x:c>
      <x:c r="S264" s="111" t="n">
        <x:f>IFERROR(VLOOKUP($A264,'Andy FLEX'!$A$6:$N$278,10,FALSE),"")</x:f>
        <x:v>12</x:v>
      </x:c>
      <x:c r="T264" s="111" t="n">
        <x:f>IFERROR(VLOOKUP($A264,'Andy FLEX'!$A$6:$N$278,11,FALSE),"")</x:f>
        <x:v>179</x:v>
      </x:c>
      <x:c r="U264" s="111" t="n">
        <x:f>IFERROR(VLOOKUP($A264,'Andy FLEX'!$A$6:$N$278,12,FALSE),"")</x:f>
        <x:v>3</x:v>
      </x:c>
      <x:c r="V264" s="111" t="n">
        <x:f>IFERROR(VLOOKUP($A264,'Andy FLEX'!$A$6:$N$278,13,FALSE),"")</x:f>
        <x:v>0</x:v>
      </x:c>
      <x:c r="W264" s="109" t="n">
        <x:f>IFERROR(VLOOKUP($A264,'Jason FLEX'!$A$6:$N$268,5,FALSE),"")</x:f>
        <x:v>240</x:v>
      </x:c>
      <x:c r="X264" s="110" t="n">
        <x:f>IFERROR(VLOOKUP($A264,'Jason FLEX'!$A$6:$N$268,6,FALSE),"")</x:f>
        <x:v>2.8</x:v>
      </x:c>
      <x:c r="Y264" s="111" t="n">
        <x:f>IFERROR(VLOOKUP($A264,'Jason FLEX'!$A$6:$N$268,7,FALSE),"")</x:f>
        <x:v>0</x:v>
      </x:c>
      <x:c r="Z264" s="111" t="n">
        <x:f>IFERROR(VLOOKUP($A264,'Jason FLEX'!$A$6:$N$268,8,FALSE),"")</x:f>
        <x:v>0</x:v>
      </x:c>
      <x:c r="AA264" s="111" t="n">
        <x:f>IFERROR(VLOOKUP($A264,'Jason FLEX'!$A$6:$N$268,9,FALSE),"")</x:f>
        <x:v>0</x:v>
      </x:c>
      <x:c r="AB264" s="111" t="n">
        <x:f>IFERROR(VLOOKUP($A264,'Jason FLEX'!$A$6:$N$268,10,FALSE),"")</x:f>
        <x:v>15</x:v>
      </x:c>
      <x:c r="AC264" s="111" t="n">
        <x:f>IFERROR(VLOOKUP($A264,'Jason FLEX'!$A$6:$N$268,11,FALSE),"")</x:f>
        <x:v>255</x:v>
      </x:c>
      <x:c r="AD264" s="111" t="n">
        <x:f>IFERROR(VLOOKUP($A264,'Jason FLEX'!$A$6:$N$268,12,FALSE),"")</x:f>
        <x:v>1</x:v>
      </x:c>
      <x:c r="AE264" s="111" t="n">
        <x:f>IFERROR(VLOOKUP($A264,'Jason FLEX'!$A$6:$N$268,13,FALSE),"")</x:f>
        <x:v>0</x:v>
      </x:c>
      <x:c r="AF264" s="110" t="n">
        <x:f>IF(COUNT(E264,N264,W264)=0,"",AVERAGE(E264,N264,W264))</x:f>
        <x:v>246.66666666666666</x:v>
      </x:c>
      <x:c r="AG264" s="110" t="n">
        <x:f>IF(COUNT(E264,N264,W264)=0,"",MAX(E264,N264,W264)-MIN(E264,N264,W264))</x:f>
        <x:v>22</x:v>
      </x:c>
      <x:c r="AH264" s="110" t="n">
        <x:f>IF(COUNT(F264,O264,X264)=0,"",AVERAGE(F264,O264,X264))</x:f>
        <x:v>2.6666666666666665</x:v>
      </x:c>
      <x:c r="AI264" s="112" t="n">
        <x:f>IF(COUNT(G264,P264,Y264)=0,"",AVERAGE(G264,P264,Y264))</x:f>
        <x:v>0</x:v>
      </x:c>
      <x:c r="AJ264" s="112" t="n">
        <x:f>IF(COUNT(H264,Q264,Z264)=0,"",AVERAGE(H264,Q264,Z264))</x:f>
        <x:v>0</x:v>
      </x:c>
      <x:c r="AK264" s="112" t="n">
        <x:f>IF(COUNT(I264,R264,AA264)=0,"",AVERAGE(I264,R264,AA264))</x:f>
        <x:v>0</x:v>
      </x:c>
      <x:c r="AL264" s="112" t="n">
        <x:f>IF(COUNT(J264,S264,AB264)=0,"",AVERAGE(J264,S264,AB264))</x:f>
        <x:v>14</x:v>
      </x:c>
      <x:c r="AM264" s="112" t="n">
        <x:f>IF(COUNT(K264,T264,AC264)=0,"",AVERAGE(K264,T264,AC264))</x:f>
        <x:v>213.66666666666666</x:v>
      </x:c>
      <x:c r="AN264" s="112" t="n">
        <x:f>IF(COUNT(L264,U264,AD264)=0,"",AVERAGE(L264,U264,AD264))</x:f>
        <x:v>1.6666666666666667</x:v>
      </x:c>
      <x:c r="AO264" s="112" t="n">
        <x:f>IF(COUNT(M264,V264,AE264)=0,"",AVERAGE(M264,V264,AE264))</x:f>
        <x:v>0</x:v>
      </x:c>
    </x:row>
    <x:row r="265">
      <x:c r="A265" s="107" t="str">
        <x:v>Sean Tucker</x:v>
      </x:c>
      <x:c r="B265" s="108" t="str">
        <x:v>RB</x:v>
      </x:c>
      <x:c r="C265" s="108" t="str">
        <x:v>TB</x:v>
      </x:c>
      <x:c r="D265" s="109" t="n">
        <x:v>10</x:v>
      </x:c>
      <x:c r="E265" s="109" t="n">
        <x:f>IFERROR(VLOOKUP($A265,'Mike FLEX'!$A$6:$N$278,5,FALSE),"")</x:f>
        <x:v>267</x:v>
      </x:c>
      <x:c r="F265" s="110" t="n">
        <x:f>IFERROR(VLOOKUP($A265,'Mike FLEX'!$A$6:$N$278,6,FALSE),"")</x:f>
        <x:v>1.1</x:v>
      </x:c>
      <x:c r="G265" s="111" t="n">
        <x:f>IFERROR(VLOOKUP($A265,'Mike FLEX'!$A$6:$N$278,7,FALSE),"")</x:f>
        <x:v>23</x:v>
      </x:c>
      <x:c r="H265" s="111" t="n">
        <x:f>IFERROR(VLOOKUP($A265,'Mike FLEX'!$A$6:$N$278,8,FALSE),"")</x:f>
        <x:v>97</x:v>
      </x:c>
      <x:c r="I265" s="111" t="n">
        <x:f>IFERROR(VLOOKUP($A265,'Mike FLEX'!$A$6:$N$278,9,FALSE),"")</x:f>
        <x:v>1</x:v>
      </x:c>
      <x:c r="J265" s="111" t="n">
        <x:f>IFERROR(VLOOKUP($A265,'Mike FLEX'!$A$6:$N$278,10,FALSE),"")</x:f>
        <x:v>2</x:v>
      </x:c>
      <x:c r="K265" s="111" t="n">
        <x:f>IFERROR(VLOOKUP($A265,'Mike FLEX'!$A$6:$N$278,11,FALSE),"")</x:f>
        <x:v>17</x:v>
      </x:c>
      <x:c r="L265" s="111" t="n">
        <x:f>IFERROR(VLOOKUP($A265,'Mike FLEX'!$A$6:$N$278,12,FALSE),"")</x:f>
        <x:v>0</x:v>
      </x:c>
      <x:c r="M265" s="111" t="n">
        <x:f>IFERROR(VLOOKUP($A265,'Mike FLEX'!$A$6:$N$278,13,FALSE),"")</x:f>
        <x:v>1</x:v>
      </x:c>
      <x:c r="N265" s="109" t="n">
        <x:f>IFERROR(VLOOKUP($A265,'Andy FLEX'!$A$6:$N$278,5,FALSE),"")</x:f>
        <x:v>236</x:v>
      </x:c>
      <x:c r="O265" s="110" t="n">
        <x:f>IFERROR(VLOOKUP($A265,'Andy FLEX'!$A$6:$N$278,6,FALSE),"")</x:f>
        <x:v>3.6</x:v>
      </x:c>
      <x:c r="P265" s="111" t="n">
        <x:f>IFERROR(VLOOKUP($A265,'Andy FLEX'!$A$6:$N$278,7,FALSE),"")</x:f>
        <x:v>67</x:v>
      </x:c>
      <x:c r="Q265" s="111" t="n">
        <x:f>IFERROR(VLOOKUP($A265,'Andy FLEX'!$A$6:$N$278,8,FALSE),"")</x:f>
        <x:v>261</x:v>
      </x:c>
      <x:c r="R265" s="111" t="n">
        <x:f>IFERROR(VLOOKUP($A265,'Andy FLEX'!$A$6:$N$278,9,FALSE),"")</x:f>
        <x:v>3</x:v>
      </x:c>
      <x:c r="S265" s="111" t="n">
        <x:f>IFERROR(VLOOKUP($A265,'Andy FLEX'!$A$6:$N$278,10,FALSE),"")</x:f>
        <x:v>9</x:v>
      </x:c>
      <x:c r="T265" s="111" t="n">
        <x:f>IFERROR(VLOOKUP($A265,'Andy FLEX'!$A$6:$N$278,11,FALSE),"")</x:f>
        <x:v>59</x:v>
      </x:c>
      <x:c r="U265" s="111" t="n">
        <x:f>IFERROR(VLOOKUP($A265,'Andy FLEX'!$A$6:$N$278,12,FALSE),"")</x:f>
        <x:v>1</x:v>
      </x:c>
      <x:c r="V265" s="111" t="n">
        <x:f>IFERROR(VLOOKUP($A265,'Andy FLEX'!$A$6:$N$278,13,FALSE),"")</x:f>
        <x:v>1</x:v>
      </x:c>
      <x:c r="W265" s="109" t="n">
        <x:f>IFERROR(VLOOKUP($A265,'Jason FLEX'!$A$6:$N$268,5,FALSE),"")</x:f>
        <x:v>237</x:v>
      </x:c>
      <x:c r="X265" s="110" t="n">
        <x:f>IFERROR(VLOOKUP($A265,'Jason FLEX'!$A$6:$N$268,6,FALSE),"")</x:f>
        <x:v>2.9</x:v>
      </x:c>
      <x:c r="Y265" s="111" t="n">
        <x:f>IFERROR(VLOOKUP($A265,'Jason FLEX'!$A$6:$N$268,7,FALSE),"")</x:f>
        <x:v>69</x:v>
      </x:c>
      <x:c r="Z265" s="111" t="n">
        <x:f>IFERROR(VLOOKUP($A265,'Jason FLEX'!$A$6:$N$268,8,FALSE),"")</x:f>
        <x:v>270</x:v>
      </x:c>
      <x:c r="AA265" s="111" t="n">
        <x:f>IFERROR(VLOOKUP($A265,'Jason FLEX'!$A$6:$N$268,9,FALSE),"")</x:f>
        <x:v>2</x:v>
      </x:c>
      <x:c r="AB265" s="111" t="n">
        <x:f>IFERROR(VLOOKUP($A265,'Jason FLEX'!$A$6:$N$268,10,FALSE),"")</x:f>
        <x:v>6</x:v>
      </x:c>
      <x:c r="AC265" s="111" t="n">
        <x:f>IFERROR(VLOOKUP($A265,'Jason FLEX'!$A$6:$N$268,11,FALSE),"")</x:f>
        <x:v>30</x:v>
      </x:c>
      <x:c r="AD265" s="111" t="n">
        <x:f>IFERROR(VLOOKUP($A265,'Jason FLEX'!$A$6:$N$268,12,FALSE),"")</x:f>
        <x:v>0</x:v>
      </x:c>
      <x:c r="AE265" s="111" t="n">
        <x:f>IFERROR(VLOOKUP($A265,'Jason FLEX'!$A$6:$N$268,13,FALSE),"")</x:f>
        <x:v>0</x:v>
      </x:c>
      <x:c r="AF265" s="110" t="n">
        <x:f>IF(COUNT(E265,N265,W265)=0,"",AVERAGE(E265,N265,W265))</x:f>
        <x:v>246.66666666666666</x:v>
      </x:c>
      <x:c r="AG265" s="110" t="n">
        <x:f>IF(COUNT(E265,N265,W265)=0,"",MAX(E265,N265,W265)-MIN(E265,N265,W265))</x:f>
        <x:v>31</x:v>
      </x:c>
      <x:c r="AH265" s="110" t="n">
        <x:f>IF(COUNT(F265,O265,X265)=0,"",AVERAGE(F265,O265,X265))</x:f>
        <x:v>2.533333333333333</x:v>
      </x:c>
      <x:c r="AI265" s="112" t="n">
        <x:f>IF(COUNT(G265,P265,Y265)=0,"",AVERAGE(G265,P265,Y265))</x:f>
        <x:v>53</x:v>
      </x:c>
      <x:c r="AJ265" s="112" t="n">
        <x:f>IF(COUNT(H265,Q265,Z265)=0,"",AVERAGE(H265,Q265,Z265))</x:f>
        <x:v>209.33333333333334</x:v>
      </x:c>
      <x:c r="AK265" s="112" t="n">
        <x:f>IF(COUNT(I265,R265,AA265)=0,"",AVERAGE(I265,R265,AA265))</x:f>
        <x:v>2</x:v>
      </x:c>
      <x:c r="AL265" s="112" t="n">
        <x:f>IF(COUNT(J265,S265,AB265)=0,"",AVERAGE(J265,S265,AB265))</x:f>
        <x:v>5.666666666666667</x:v>
      </x:c>
      <x:c r="AM265" s="112" t="n">
        <x:f>IF(COUNT(K265,T265,AC265)=0,"",AVERAGE(K265,T265,AC265))</x:f>
        <x:v>35.333333333333336</x:v>
      </x:c>
      <x:c r="AN265" s="112" t="n">
        <x:f>IF(COUNT(L265,U265,AD265)=0,"",AVERAGE(L265,U265,AD265))</x:f>
        <x:v>0.3333333333333333</x:v>
      </x:c>
      <x:c r="AO265" s="112" t="n">
        <x:f>IF(COUNT(M265,V265,AE265)=0,"",AVERAGE(M265,V265,AE265))</x:f>
        <x:v>0.6666666666666666</x:v>
      </x:c>
    </x:row>
    <x:row r="266">
      <x:c r="A266" s="107" t="str">
        <x:v>Demond Claiborne</x:v>
      </x:c>
      <x:c r="B266" s="108" t="str">
        <x:v>RB</x:v>
      </x:c>
      <x:c r="C266" s="108" t="str">
        <x:v>MIN</x:v>
      </x:c>
      <x:c r="D266" s="109" t="n">
        <x:v>6</x:v>
      </x:c>
      <x:c r="E266" s="109" t="n">
        <x:f>IFERROR(VLOOKUP($A266,'Mike FLEX'!$A$6:$N$278,5,FALSE),"")</x:f>
        <x:v>257</x:v>
      </x:c>
      <x:c r="F266" s="110" t="n">
        <x:f>IFERROR(VLOOKUP($A266,'Mike FLEX'!$A$6:$N$278,6,FALSE),"")</x:f>
        <x:v>1.5</x:v>
      </x:c>
      <x:c r="G266" s="111" t="n">
        <x:f>IFERROR(VLOOKUP($A266,'Mike FLEX'!$A$6:$N$278,7,FALSE),"")</x:f>
        <x:v>27</x:v>
      </x:c>
      <x:c r="H266" s="111" t="n">
        <x:f>IFERROR(VLOOKUP($A266,'Mike FLEX'!$A$6:$N$278,8,FALSE),"")</x:f>
        <x:v>117</x:v>
      </x:c>
      <x:c r="I266" s="111" t="n">
        <x:f>IFERROR(VLOOKUP($A266,'Mike FLEX'!$A$6:$N$278,9,FALSE),"")</x:f>
        <x:v>1</x:v>
      </x:c>
      <x:c r="J266" s="111" t="n">
        <x:f>IFERROR(VLOOKUP($A266,'Mike FLEX'!$A$6:$N$278,10,FALSE),"")</x:f>
        <x:v>5</x:v>
      </x:c>
      <x:c r="K266" s="111" t="n">
        <x:f>IFERROR(VLOOKUP($A266,'Mike FLEX'!$A$6:$N$278,11,FALSE),"")</x:f>
        <x:v>35</x:v>
      </x:c>
      <x:c r="L266" s="111" t="n">
        <x:f>IFERROR(VLOOKUP($A266,'Mike FLEX'!$A$6:$N$278,12,FALSE),"")</x:f>
        <x:v>0</x:v>
      </x:c>
      <x:c r="M266" s="111" t="n">
        <x:f>IFERROR(VLOOKUP($A266,'Mike FLEX'!$A$6:$N$278,13,FALSE),"")</x:f>
        <x:v>0</x:v>
      </x:c>
      <x:c r="N266" s="109" t="n">
        <x:f>IFERROR(VLOOKUP($A266,'Andy FLEX'!$A$6:$N$278,5,FALSE),"")</x:f>
        <x:v>269</x:v>
      </x:c>
      <x:c r="O266" s="110" t="n">
        <x:f>IFERROR(VLOOKUP($A266,'Andy FLEX'!$A$6:$N$278,6,FALSE),"")</x:f>
        <x:v>2</x:v>
      </x:c>
      <x:c r="P266" s="111" t="n">
        <x:f>IFERROR(VLOOKUP($A266,'Andy FLEX'!$A$6:$N$278,7,FALSE),"")</x:f>
        <x:v>42</x:v>
      </x:c>
      <x:c r="Q266" s="111" t="n">
        <x:f>IFERROR(VLOOKUP($A266,'Andy FLEX'!$A$6:$N$278,8,FALSE),"")</x:f>
        <x:v>185</x:v>
      </x:c>
      <x:c r="R266" s="111" t="n">
        <x:f>IFERROR(VLOOKUP($A266,'Andy FLEX'!$A$6:$N$278,9,FALSE),"")</x:f>
        <x:v>1</x:v>
      </x:c>
      <x:c r="S266" s="111" t="n">
        <x:f>IFERROR(VLOOKUP($A266,'Andy FLEX'!$A$6:$N$278,10,FALSE),"")</x:f>
        <x:v>7</x:v>
      </x:c>
      <x:c r="T266" s="111" t="n">
        <x:f>IFERROR(VLOOKUP($A266,'Andy FLEX'!$A$6:$N$278,11,FALSE),"")</x:f>
        <x:v>45</x:v>
      </x:c>
      <x:c r="U266" s="111" t="n">
        <x:f>IFERROR(VLOOKUP($A266,'Andy FLEX'!$A$6:$N$278,12,FALSE),"")</x:f>
        <x:v>0</x:v>
      </x:c>
      <x:c r="V266" s="111" t="n">
        <x:f>IFERROR(VLOOKUP($A266,'Andy FLEX'!$A$6:$N$278,13,FALSE),"")</x:f>
        <x:v>1</x:v>
      </x:c>
      <x:c r="W266" s="109" t="n">
        <x:f>IFERROR(VLOOKUP($A266,'Jason FLEX'!$A$6:$N$268,5,FALSE),"")</x:f>
        <x:v>215</x:v>
      </x:c>
      <x:c r="X266" s="110" t="n">
        <x:f>IFERROR(VLOOKUP($A266,'Jason FLEX'!$A$6:$N$268,6,FALSE),"")</x:f>
        <x:v>3.9</x:v>
      </x:c>
      <x:c r="Y266" s="111" t="n">
        <x:f>IFERROR(VLOOKUP($A266,'Jason FLEX'!$A$6:$N$268,7,FALSE),"")</x:f>
        <x:v>69</x:v>
      </x:c>
      <x:c r="Z266" s="111" t="n">
        <x:f>IFERROR(VLOOKUP($A266,'Jason FLEX'!$A$6:$N$268,8,FALSE),"")</x:f>
        <x:v>359</x:v>
      </x:c>
      <x:c r="AA266" s="111" t="n">
        <x:f>IFERROR(VLOOKUP($A266,'Jason FLEX'!$A$6:$N$268,9,FALSE),"")</x:f>
        <x:v>2</x:v>
      </x:c>
      <x:c r="AB266" s="111" t="n">
        <x:f>IFERROR(VLOOKUP($A266,'Jason FLEX'!$A$6:$N$268,10,FALSE),"")</x:f>
        <x:v>11</x:v>
      </x:c>
      <x:c r="AC266" s="111" t="n">
        <x:f>IFERROR(VLOOKUP($A266,'Jason FLEX'!$A$6:$N$268,11,FALSE),"")</x:f>
        <x:v>88</x:v>
      </x:c>
      <x:c r="AD266" s="111" t="n">
        <x:f>IFERROR(VLOOKUP($A266,'Jason FLEX'!$A$6:$N$268,12,FALSE),"")</x:f>
        <x:v>0</x:v>
      </x:c>
      <x:c r="AE266" s="111" t="n">
        <x:f>IFERROR(VLOOKUP($A266,'Jason FLEX'!$A$6:$N$268,13,FALSE),"")</x:f>
        <x:v>1</x:v>
      </x:c>
      <x:c r="AF266" s="110" t="n">
        <x:f>IF(COUNT(E266,N266,W266)=0,"",AVERAGE(E266,N266,W266))</x:f>
        <x:v>247</x:v>
      </x:c>
      <x:c r="AG266" s="110" t="n">
        <x:f>IF(COUNT(E266,N266,W266)=0,"",MAX(E266,N266,W266)-MIN(E266,N266,W266))</x:f>
        <x:v>54</x:v>
      </x:c>
      <x:c r="AH266" s="110" t="n">
        <x:f>IF(COUNT(F266,O266,X266)=0,"",AVERAGE(F266,O266,X266))</x:f>
        <x:v>2.466666666666667</x:v>
      </x:c>
      <x:c r="AI266" s="112" t="n">
        <x:f>IF(COUNT(G266,P266,Y266)=0,"",AVERAGE(G266,P266,Y266))</x:f>
        <x:v>46</x:v>
      </x:c>
      <x:c r="AJ266" s="112" t="n">
        <x:f>IF(COUNT(H266,Q266,Z266)=0,"",AVERAGE(H266,Q266,Z266))</x:f>
        <x:v>220.33333333333334</x:v>
      </x:c>
      <x:c r="AK266" s="112" t="n">
        <x:f>IF(COUNT(I266,R266,AA266)=0,"",AVERAGE(I266,R266,AA266))</x:f>
        <x:v>1.3333333333333333</x:v>
      </x:c>
      <x:c r="AL266" s="112" t="n">
        <x:f>IF(COUNT(J266,S266,AB266)=0,"",AVERAGE(J266,S266,AB266))</x:f>
        <x:v>7.666666666666667</x:v>
      </x:c>
      <x:c r="AM266" s="112" t="n">
        <x:f>IF(COUNT(K266,T266,AC266)=0,"",AVERAGE(K266,T266,AC266))</x:f>
        <x:v>56</x:v>
      </x:c>
      <x:c r="AN266" s="112" t="n">
        <x:f>IF(COUNT(L266,U266,AD266)=0,"",AVERAGE(L266,U266,AD266))</x:f>
        <x:v>0</x:v>
      </x:c>
      <x:c r="AO266" s="112" t="n">
        <x:f>IF(COUNT(M266,V266,AE266)=0,"",AVERAGE(M266,V266,AE266))</x:f>
        <x:v>0.6666666666666666</x:v>
      </x:c>
    </x:row>
    <x:row r="267">
      <x:c r="A267" s="107" t="str">
        <x:v>Devin Singletary</x:v>
      </x:c>
      <x:c r="B267" s="108" t="str">
        <x:v>RB</x:v>
      </x:c>
      <x:c r="C267" s="108" t="str">
        <x:v>NYG</x:v>
      </x:c>
      <x:c r="D267" s="109" t="n">
        <x:v>8</x:v>
      </x:c>
      <x:c r="E267" s="109" t="n">
        <x:f>IFERROR(VLOOKUP($A267,'Mike FLEX'!$A$6:$N$278,5,FALSE),"")</x:f>
        <x:v>245</x:v>
      </x:c>
      <x:c r="F267" s="110" t="n">
        <x:f>IFERROR(VLOOKUP($A267,'Mike FLEX'!$A$6:$N$278,6,FALSE),"")</x:f>
        <x:v>2.3</x:v>
      </x:c>
      <x:c r="G267" s="111" t="n">
        <x:f>IFERROR(VLOOKUP($A267,'Mike FLEX'!$A$6:$N$278,7,FALSE),"")</x:f>
        <x:v>22</x:v>
      </x:c>
      <x:c r="H267" s="111" t="n">
        <x:f>IFERROR(VLOOKUP($A267,'Mike FLEX'!$A$6:$N$278,8,FALSE),"")</x:f>
        <x:v>87</x:v>
      </x:c>
      <x:c r="I267" s="111" t="n">
        <x:f>IFERROR(VLOOKUP($A267,'Mike FLEX'!$A$6:$N$278,9,FALSE),"")</x:f>
        <x:v>1</x:v>
      </x:c>
      <x:c r="J267" s="111" t="n">
        <x:f>IFERROR(VLOOKUP($A267,'Mike FLEX'!$A$6:$N$278,10,FALSE),"")</x:f>
        <x:v>16</x:v>
      </x:c>
      <x:c r="K267" s="111" t="n">
        <x:f>IFERROR(VLOOKUP($A267,'Mike FLEX'!$A$6:$N$278,11,FALSE),"")</x:f>
        <x:v>110</x:v>
      </x:c>
      <x:c r="L267" s="111" t="n">
        <x:f>IFERROR(VLOOKUP($A267,'Mike FLEX'!$A$6:$N$278,12,FALSE),"")</x:f>
        <x:v>0</x:v>
      </x:c>
      <x:c r="M267" s="111" t="n">
        <x:f>IFERROR(VLOOKUP($A267,'Mike FLEX'!$A$6:$N$278,13,FALSE),"")</x:f>
        <x:v>1</x:v>
      </x:c>
      <x:c r="N267" s="109" t="n">
        <x:f>IFERROR(VLOOKUP($A267,'Andy FLEX'!$A$6:$N$278,5,FALSE),"")</x:f>
        <x:v>253</x:v>
      </x:c>
      <x:c r="O267" s="110" t="n">
        <x:f>IFERROR(VLOOKUP($A267,'Andy FLEX'!$A$6:$N$278,6,FALSE),"")</x:f>
        <x:v>3</x:v>
      </x:c>
      <x:c r="P267" s="111" t="n">
        <x:f>IFERROR(VLOOKUP($A267,'Andy FLEX'!$A$6:$N$278,7,FALSE),"")</x:f>
        <x:v>59</x:v>
      </x:c>
      <x:c r="Q267" s="111" t="n">
        <x:f>IFERROR(VLOOKUP($A267,'Andy FLEX'!$A$6:$N$278,8,FALSE),"")</x:f>
        <x:v>229</x:v>
      </x:c>
      <x:c r="R267" s="111" t="n">
        <x:f>IFERROR(VLOOKUP($A267,'Andy FLEX'!$A$6:$N$278,9,FALSE),"")</x:f>
        <x:v>2</x:v>
      </x:c>
      <x:c r="S267" s="111" t="n">
        <x:f>IFERROR(VLOOKUP($A267,'Andy FLEX'!$A$6:$N$278,10,FALSE),"")</x:f>
        <x:v>6</x:v>
      </x:c>
      <x:c r="T267" s="111" t="n">
        <x:f>IFERROR(VLOOKUP($A267,'Andy FLEX'!$A$6:$N$278,11,FALSE),"")</x:f>
        <x:v>71</x:v>
      </x:c>
      <x:c r="U267" s="111" t="n">
        <x:f>IFERROR(VLOOKUP($A267,'Andy FLEX'!$A$6:$N$278,12,FALSE),"")</x:f>
        <x:v>1</x:v>
      </x:c>
      <x:c r="V267" s="111" t="n">
        <x:f>IFERROR(VLOOKUP($A267,'Andy FLEX'!$A$6:$N$278,13,FALSE),"")</x:f>
        <x:v>1</x:v>
      </x:c>
      <x:c r="W267" s="109" t="n">
        <x:f>IFERROR(VLOOKUP($A267,'Jason FLEX'!$A$6:$N$268,5,FALSE),"")</x:f>
        <x:v>243</x:v>
      </x:c>
      <x:c r="X267" s="110" t="n">
        <x:f>IFERROR(VLOOKUP($A267,'Jason FLEX'!$A$6:$N$268,6,FALSE),"")</x:f>
        <x:v>2.6</x:v>
      </x:c>
      <x:c r="Y267" s="111" t="n">
        <x:f>IFERROR(VLOOKUP($A267,'Jason FLEX'!$A$6:$N$268,7,FALSE),"")</x:f>
        <x:v>50</x:v>
      </x:c>
      <x:c r="Z267" s="111" t="n">
        <x:f>IFERROR(VLOOKUP($A267,'Jason FLEX'!$A$6:$N$268,8,FALSE),"")</x:f>
        <x:v>200</x:v>
      </x:c>
      <x:c r="AA267" s="111" t="n">
        <x:f>IFERROR(VLOOKUP($A267,'Jason FLEX'!$A$6:$N$268,9,FALSE),"")</x:f>
        <x:v>2</x:v>
      </x:c>
      <x:c r="AB267" s="111" t="n">
        <x:f>IFERROR(VLOOKUP($A267,'Jason FLEX'!$A$6:$N$268,10,FALSE),"")</x:f>
        <x:v>8</x:v>
      </x:c>
      <x:c r="AC267" s="111" t="n">
        <x:f>IFERROR(VLOOKUP($A267,'Jason FLEX'!$A$6:$N$268,11,FALSE),"")</x:f>
        <x:v>56</x:v>
      </x:c>
      <x:c r="AD267" s="111" t="n">
        <x:f>IFERROR(VLOOKUP($A267,'Jason FLEX'!$A$6:$N$268,12,FALSE),"")</x:f>
        <x:v>0</x:v>
      </x:c>
      <x:c r="AE267" s="111" t="n">
        <x:f>IFERROR(VLOOKUP($A267,'Jason FLEX'!$A$6:$N$268,13,FALSE),"")</x:f>
        <x:v>1</x:v>
      </x:c>
      <x:c r="AF267" s="110" t="n">
        <x:f>IF(COUNT(E267,N267,W267)=0,"",AVERAGE(E267,N267,W267))</x:f>
        <x:v>247</x:v>
      </x:c>
      <x:c r="AG267" s="110" t="n">
        <x:f>IF(COUNT(E267,N267,W267)=0,"",MAX(E267,N267,W267)-MIN(E267,N267,W267))</x:f>
        <x:v>10</x:v>
      </x:c>
      <x:c r="AH267" s="110" t="n">
        <x:f>IF(COUNT(F267,O267,X267)=0,"",AVERAGE(F267,O267,X267))</x:f>
        <x:v>2.6333333333333333</x:v>
      </x:c>
      <x:c r="AI267" s="112" t="n">
        <x:f>IF(COUNT(G267,P267,Y267)=0,"",AVERAGE(G267,P267,Y267))</x:f>
        <x:v>43.666666666666664</x:v>
      </x:c>
      <x:c r="AJ267" s="112" t="n">
        <x:f>IF(COUNT(H267,Q267,Z267)=0,"",AVERAGE(H267,Q267,Z267))</x:f>
        <x:v>172</x:v>
      </x:c>
      <x:c r="AK267" s="112" t="n">
        <x:f>IF(COUNT(I267,R267,AA267)=0,"",AVERAGE(I267,R267,AA267))</x:f>
        <x:v>1.6666666666666667</x:v>
      </x:c>
      <x:c r="AL267" s="112" t="n">
        <x:f>IF(COUNT(J267,S267,AB267)=0,"",AVERAGE(J267,S267,AB267))</x:f>
        <x:v>10</x:v>
      </x:c>
      <x:c r="AM267" s="112" t="n">
        <x:f>IF(COUNT(K267,T267,AC267)=0,"",AVERAGE(K267,T267,AC267))</x:f>
        <x:v>79</x:v>
      </x:c>
      <x:c r="AN267" s="112" t="n">
        <x:f>IF(COUNT(L267,U267,AD267)=0,"",AVERAGE(L267,U267,AD267))</x:f>
        <x:v>0.3333333333333333</x:v>
      </x:c>
      <x:c r="AO267" s="112" t="n">
        <x:f>IF(COUNT(M267,V267,AE267)=0,"",AVERAGE(M267,V267,AE267))</x:f>
        <x:v>1</x:v>
      </x:c>
    </x:row>
    <x:row r="268">
      <x:c r="A268" s="107" t="str">
        <x:v>Trevor Etienne</x:v>
      </x:c>
      <x:c r="B268" s="108" t="str">
        <x:v>RB</x:v>
      </x:c>
      <x:c r="C268" s="108" t="str">
        <x:v>CAR</x:v>
      </x:c>
      <x:c r="D268" s="109" t="n">
        <x:v>5</x:v>
      </x:c>
      <x:c r="E268" s="109" t="n">
        <x:f>IFERROR(VLOOKUP($A268,'Mike FLEX'!$A$6:$N$278,5,FALSE),"")</x:f>
        <x:v>261</x:v>
      </x:c>
      <x:c r="F268" s="110" t="n">
        <x:f>IFERROR(VLOOKUP($A268,'Mike FLEX'!$A$6:$N$278,6,FALSE),"")</x:f>
        <x:v>1.4</x:v>
      </x:c>
      <x:c r="G268" s="111" t="n">
        <x:f>IFERROR(VLOOKUP($A268,'Mike FLEX'!$A$6:$N$278,7,FALSE),"")</x:f>
        <x:v>27</x:v>
      </x:c>
      <x:c r="H268" s="111" t="n">
        <x:f>IFERROR(VLOOKUP($A268,'Mike FLEX'!$A$6:$N$278,8,FALSE),"")</x:f>
        <x:v>125</x:v>
      </x:c>
      <x:c r="I268" s="111" t="n">
        <x:f>IFERROR(VLOOKUP($A268,'Mike FLEX'!$A$6:$N$278,9,FALSE),"")</x:f>
        <x:v>1</x:v>
      </x:c>
      <x:c r="J268" s="111" t="n">
        <x:f>IFERROR(VLOOKUP($A268,'Mike FLEX'!$A$6:$N$278,10,FALSE),"")</x:f>
        <x:v>3</x:v>
      </x:c>
      <x:c r="K268" s="111" t="n">
        <x:f>IFERROR(VLOOKUP($A268,'Mike FLEX'!$A$6:$N$278,11,FALSE),"")</x:f>
        <x:v>21</x:v>
      </x:c>
      <x:c r="L268" s="111" t="n">
        <x:f>IFERROR(VLOOKUP($A268,'Mike FLEX'!$A$6:$N$278,12,FALSE),"")</x:f>
        <x:v>0</x:v>
      </x:c>
      <x:c r="M268" s="111" t="n">
        <x:f>IFERROR(VLOOKUP($A268,'Mike FLEX'!$A$6:$N$278,13,FALSE),"")</x:f>
        <x:v>0</x:v>
      </x:c>
      <x:c r="N268" s="109" t="n">
        <x:f>IFERROR(VLOOKUP($A268,'Andy FLEX'!$A$6:$N$278,5,FALSE),"")</x:f>
        <x:v>272</x:v>
      </x:c>
      <x:c r="O268" s="110" t="n">
        <x:f>IFERROR(VLOOKUP($A268,'Andy FLEX'!$A$6:$N$278,6,FALSE),"")</x:f>
        <x:v>1.5</x:v>
      </x:c>
      <x:c r="P268" s="111" t="n">
        <x:f>IFERROR(VLOOKUP($A268,'Andy FLEX'!$A$6:$N$278,7,FALSE),"")</x:f>
        <x:v>22</x:v>
      </x:c>
      <x:c r="Q268" s="111" t="n">
        <x:f>IFERROR(VLOOKUP($A268,'Andy FLEX'!$A$6:$N$278,8,FALSE),"")</x:f>
        <x:v>116</x:v>
      </x:c>
      <x:c r="R268" s="111" t="n">
        <x:f>IFERROR(VLOOKUP($A268,'Andy FLEX'!$A$6:$N$278,9,FALSE),"")</x:f>
        <x:v>0</x:v>
      </x:c>
      <x:c r="S268" s="111" t="n">
        <x:f>IFERROR(VLOOKUP($A268,'Andy FLEX'!$A$6:$N$278,10,FALSE),"")</x:f>
        <x:v>4</x:v>
      </x:c>
      <x:c r="T268" s="111" t="n">
        <x:f>IFERROR(VLOOKUP($A268,'Andy FLEX'!$A$6:$N$278,11,FALSE),"")</x:f>
        <x:v>22</x:v>
      </x:c>
      <x:c r="U268" s="111" t="n">
        <x:f>IFERROR(VLOOKUP($A268,'Andy FLEX'!$A$6:$N$278,12,FALSE),"")</x:f>
        <x:v>1</x:v>
      </x:c>
      <x:c r="V268" s="111" t="n">
        <x:f>IFERROR(VLOOKUP($A268,'Andy FLEX'!$A$6:$N$278,13,FALSE),"")</x:f>
        <x:v>0</x:v>
      </x:c>
      <x:c r="W268" s="109" t="n">
        <x:f>IFERROR(VLOOKUP($A268,'Jason FLEX'!$A$6:$N$268,5,FALSE),"")</x:f>
        <x:v>208</x:v>
      </x:c>
      <x:c r="X268" s="110" t="n">
        <x:f>IFERROR(VLOOKUP($A268,'Jason FLEX'!$A$6:$N$268,6,FALSE),"")</x:f>
        <x:v>4.3</x:v>
      </x:c>
      <x:c r="Y268" s="111" t="n">
        <x:f>IFERROR(VLOOKUP($A268,'Jason FLEX'!$A$6:$N$268,7,FALSE),"")</x:f>
        <x:v>70</x:v>
      </x:c>
      <x:c r="Z268" s="111" t="n">
        <x:f>IFERROR(VLOOKUP($A268,'Jason FLEX'!$A$6:$N$268,8,FALSE),"")</x:f>
        <x:v>320</x:v>
      </x:c>
      <x:c r="AA268" s="111" t="n">
        <x:f>IFERROR(VLOOKUP($A268,'Jason FLEX'!$A$6:$N$268,9,FALSE),"")</x:f>
        <x:v>2</x:v>
      </x:c>
      <x:c r="AB268" s="111" t="n">
        <x:f>IFERROR(VLOOKUP($A268,'Jason FLEX'!$A$6:$N$268,10,FALSE),"")</x:f>
        <x:v>15</x:v>
      </x:c>
      <x:c r="AC268" s="111" t="n">
        <x:f>IFERROR(VLOOKUP($A268,'Jason FLEX'!$A$6:$N$268,11,FALSE),"")</x:f>
        <x:v>120</x:v>
      </x:c>
      <x:c r="AD268" s="111" t="n">
        <x:f>IFERROR(VLOOKUP($A268,'Jason FLEX'!$A$6:$N$268,12,FALSE),"")</x:f>
        <x:v>1</x:v>
      </x:c>
      <x:c r="AE268" s="111" t="n">
        <x:f>IFERROR(VLOOKUP($A268,'Jason FLEX'!$A$6:$N$268,13,FALSE),"")</x:f>
        <x:v>1</x:v>
      </x:c>
      <x:c r="AF268" s="110" t="n">
        <x:f>IF(COUNT(E268,N268,W268)=0,"",AVERAGE(E268,N268,W268))</x:f>
        <x:v>247</x:v>
      </x:c>
      <x:c r="AG268" s="110" t="n">
        <x:f>IF(COUNT(E268,N268,W268)=0,"",MAX(E268,N268,W268)-MIN(E268,N268,W268))</x:f>
        <x:v>64</x:v>
      </x:c>
      <x:c r="AH268" s="110" t="n">
        <x:f>IF(COUNT(F268,O268,X268)=0,"",AVERAGE(F268,O268,X268))</x:f>
        <x:v>2.4</x:v>
      </x:c>
      <x:c r="AI268" s="112" t="n">
        <x:f>IF(COUNT(G268,P268,Y268)=0,"",AVERAGE(G268,P268,Y268))</x:f>
        <x:v>39.666666666666664</x:v>
      </x:c>
      <x:c r="AJ268" s="112" t="n">
        <x:f>IF(COUNT(H268,Q268,Z268)=0,"",AVERAGE(H268,Q268,Z268))</x:f>
        <x:v>187</x:v>
      </x:c>
      <x:c r="AK268" s="112" t="n">
        <x:f>IF(COUNT(I268,R268,AA268)=0,"",AVERAGE(I268,R268,AA268))</x:f>
        <x:v>1</x:v>
      </x:c>
      <x:c r="AL268" s="112" t="n">
        <x:f>IF(COUNT(J268,S268,AB268)=0,"",AVERAGE(J268,S268,AB268))</x:f>
        <x:v>7.333333333333333</x:v>
      </x:c>
      <x:c r="AM268" s="112" t="n">
        <x:f>IF(COUNT(K268,T268,AC268)=0,"",AVERAGE(K268,T268,AC268))</x:f>
        <x:v>54.333333333333336</x:v>
      </x:c>
      <x:c r="AN268" s="112" t="n">
        <x:f>IF(COUNT(L268,U268,AD268)=0,"",AVERAGE(L268,U268,AD268))</x:f>
        <x:v>0.6666666666666666</x:v>
      </x:c>
      <x:c r="AO268" s="112" t="n">
        <x:f>IF(COUNT(M268,V268,AE268)=0,"",AVERAGE(M268,V268,AE268))</x:f>
        <x:v>0.3333333333333333</x:v>
      </x:c>
    </x:row>
    <x:row r="269">
      <x:c r="A269" s="107" t="str">
        <x:v>Jaylin Lane</x:v>
      </x:c>
      <x:c r="B269" s="108" t="str">
        <x:v>WR</x:v>
      </x:c>
      <x:c r="C269" s="108" t="str">
        <x:v>WAS</x:v>
      </x:c>
      <x:c r="D269" s="109" t="n">
        <x:v>7</x:v>
      </x:c>
      <x:c r="E269" s="109" t="n">
        <x:f>IFERROR(VLOOKUP($A269,'Mike FLEX'!$A$6:$N$278,5,FALSE),"")</x:f>
        <x:v>247</x:v>
      </x:c>
      <x:c r="F269" s="110" t="n">
        <x:f>IFERROR(VLOOKUP($A269,'Mike FLEX'!$A$6:$N$278,6,FALSE),"")</x:f>
        <x:v>2.2</x:v>
      </x:c>
      <x:c r="G269" s="111" t="n">
        <x:f>IFERROR(VLOOKUP($A269,'Mike FLEX'!$A$6:$N$278,7,FALSE),"")</x:f>
        <x:v>0</x:v>
      </x:c>
      <x:c r="H269" s="111" t="n">
        <x:f>IFERROR(VLOOKUP($A269,'Mike FLEX'!$A$6:$N$278,8,FALSE),"")</x:f>
        <x:v>0</x:v>
      </x:c>
      <x:c r="I269" s="111" t="n">
        <x:f>IFERROR(VLOOKUP($A269,'Mike FLEX'!$A$6:$N$278,9,FALSE),"")</x:f>
        <x:v>0</x:v>
      </x:c>
      <x:c r="J269" s="111" t="n">
        <x:f>IFERROR(VLOOKUP($A269,'Mike FLEX'!$A$6:$N$278,10,FALSE),"")</x:f>
        <x:v>13</x:v>
      </x:c>
      <x:c r="K269" s="111" t="n">
        <x:f>IFERROR(VLOOKUP($A269,'Mike FLEX'!$A$6:$N$278,11,FALSE),"")</x:f>
        <x:v>176</x:v>
      </x:c>
      <x:c r="L269" s="111" t="n">
        <x:f>IFERROR(VLOOKUP($A269,'Mike FLEX'!$A$6:$N$278,12,FALSE),"")</x:f>
        <x:v>1</x:v>
      </x:c>
      <x:c r="M269" s="111" t="n">
        <x:f>IFERROR(VLOOKUP($A269,'Mike FLEX'!$A$6:$N$278,13,FALSE),"")</x:f>
        <x:v>0</x:v>
      </x:c>
      <x:c r="N269" s="109" t="n">
        <x:f>IFERROR(VLOOKUP($A269,'Andy FLEX'!$A$6:$N$278,5,FALSE),"")</x:f>
        <x:v>250</x:v>
      </x:c>
      <x:c r="O269" s="110" t="n">
        <x:f>IFERROR(VLOOKUP($A269,'Andy FLEX'!$A$6:$N$278,6,FALSE),"")</x:f>
        <x:v>3.1</x:v>
      </x:c>
      <x:c r="P269" s="111" t="n">
        <x:f>IFERROR(VLOOKUP($A269,'Andy FLEX'!$A$6:$N$278,7,FALSE),"")</x:f>
        <x:v>6</x:v>
      </x:c>
      <x:c r="Q269" s="111" t="n">
        <x:f>IFERROR(VLOOKUP($A269,'Andy FLEX'!$A$6:$N$278,8,FALSE),"")</x:f>
        <x:v>39</x:v>
      </x:c>
      <x:c r="R269" s="111" t="n">
        <x:f>IFERROR(VLOOKUP($A269,'Andy FLEX'!$A$6:$N$278,9,FALSE),"")</x:f>
        <x:v>0</x:v>
      </x:c>
      <x:c r="S269" s="111" t="n">
        <x:f>IFERROR(VLOOKUP($A269,'Andy FLEX'!$A$6:$N$278,10,FALSE),"")</x:f>
        <x:v>19</x:v>
      </x:c>
      <x:c r="T269" s="111" t="n">
        <x:f>IFERROR(VLOOKUP($A269,'Andy FLEX'!$A$6:$N$278,11,FALSE),"")</x:f>
        <x:v>248</x:v>
      </x:c>
      <x:c r="U269" s="111" t="n">
        <x:f>IFERROR(VLOOKUP($A269,'Andy FLEX'!$A$6:$N$278,12,FALSE),"")</x:f>
        <x:v>1</x:v>
      </x:c>
      <x:c r="V269" s="111" t="n">
        <x:f>IFERROR(VLOOKUP($A269,'Andy FLEX'!$A$6:$N$278,13,FALSE),"")</x:f>
        <x:v>0</x:v>
      </x:c>
      <x:c r="W269" s="109" t="str">
        <x:f>IFERROR(VLOOKUP($A269,'Jason FLEX'!$A$6:$N$268,5,FALSE),"")</x:f>
      </x:c>
      <x:c r="X269" s="110" t="str">
        <x:f>IFERROR(VLOOKUP($A269,'Jason FLEX'!$A$6:$N$268,6,FALSE),"")</x:f>
      </x:c>
      <x:c r="Y269" s="111" t="str">
        <x:f>IFERROR(VLOOKUP($A269,'Jason FLEX'!$A$6:$N$268,7,FALSE),"")</x:f>
      </x:c>
      <x:c r="Z269" s="111" t="str">
        <x:f>IFERROR(VLOOKUP($A269,'Jason FLEX'!$A$6:$N$268,8,FALSE),"")</x:f>
      </x:c>
      <x:c r="AA269" s="111" t="str">
        <x:f>IFERROR(VLOOKUP($A269,'Jason FLEX'!$A$6:$N$268,9,FALSE),"")</x:f>
      </x:c>
      <x:c r="AB269" s="111" t="str">
        <x:f>IFERROR(VLOOKUP($A269,'Jason FLEX'!$A$6:$N$268,10,FALSE),"")</x:f>
      </x:c>
      <x:c r="AC269" s="111" t="str">
        <x:f>IFERROR(VLOOKUP($A269,'Jason FLEX'!$A$6:$N$268,11,FALSE),"")</x:f>
      </x:c>
      <x:c r="AD269" s="111" t="str">
        <x:f>IFERROR(VLOOKUP($A269,'Jason FLEX'!$A$6:$N$268,12,FALSE),"")</x:f>
      </x:c>
      <x:c r="AE269" s="111" t="str">
        <x:f>IFERROR(VLOOKUP($A269,'Jason FLEX'!$A$6:$N$268,13,FALSE),"")</x:f>
      </x:c>
      <x:c r="AF269" s="110" t="n">
        <x:f>IF(COUNT(E269,N269,W269)=0,"",AVERAGE(E269,N269,W269))</x:f>
        <x:v>248.5</x:v>
      </x:c>
      <x:c r="AG269" s="110" t="n">
        <x:f>IF(COUNT(E269,N269,W269)=0,"",MAX(E269,N269,W269)-MIN(E269,N269,W269))</x:f>
        <x:v>3</x:v>
      </x:c>
      <x:c r="AH269" s="110" t="n">
        <x:f>IF(COUNT(F269,O269,X269)=0,"",AVERAGE(F269,O269,X269))</x:f>
        <x:v>2.6500000000000004</x:v>
      </x:c>
      <x:c r="AI269" s="112" t="n">
        <x:f>IF(COUNT(G269,P269,Y269)=0,"",AVERAGE(G269,P269,Y269))</x:f>
        <x:v>3</x:v>
      </x:c>
      <x:c r="AJ269" s="112" t="n">
        <x:f>IF(COUNT(H269,Q269,Z269)=0,"",AVERAGE(H269,Q269,Z269))</x:f>
        <x:v>19.5</x:v>
      </x:c>
      <x:c r="AK269" s="112" t="n">
        <x:f>IF(COUNT(I269,R269,AA269)=0,"",AVERAGE(I269,R269,AA269))</x:f>
        <x:v>0</x:v>
      </x:c>
      <x:c r="AL269" s="112" t="n">
        <x:f>IF(COUNT(J269,S269,AB269)=0,"",AVERAGE(J269,S269,AB269))</x:f>
        <x:v>16</x:v>
      </x:c>
      <x:c r="AM269" s="112" t="n">
        <x:f>IF(COUNT(K269,T269,AC269)=0,"",AVERAGE(K269,T269,AC269))</x:f>
        <x:v>212</x:v>
      </x:c>
      <x:c r="AN269" s="112" t="n">
        <x:f>IF(COUNT(L269,U269,AD269)=0,"",AVERAGE(L269,U269,AD269))</x:f>
        <x:v>1</x:v>
      </x:c>
      <x:c r="AO269" s="112" t="n">
        <x:f>IF(COUNT(M269,V269,AE269)=0,"",AVERAGE(M269,V269,AE269))</x:f>
        <x:v>0</x:v>
      </x:c>
    </x:row>
    <x:row r="270">
      <x:c r="A270" s="107" t="str">
        <x:v>Will Shipley</x:v>
      </x:c>
      <x:c r="B270" s="108" t="str">
        <x:v>RB</x:v>
      </x:c>
      <x:c r="C270" s="108" t="str">
        <x:v>PHI</x:v>
      </x:c>
      <x:c r="D270" s="109" t="n">
        <x:v>10</x:v>
      </x:c>
      <x:c r="E270" s="109" t="n">
        <x:f>IFERROR(VLOOKUP($A270,'Mike FLEX'!$A$6:$N$278,5,FALSE),"")</x:f>
        <x:v>271</x:v>
      </x:c>
      <x:c r="F270" s="110" t="n">
        <x:f>IFERROR(VLOOKUP($A270,'Mike FLEX'!$A$6:$N$278,6,FALSE),"")</x:f>
        <x:v>0.4</x:v>
      </x:c>
      <x:c r="G270" s="111" t="n">
        <x:f>IFERROR(VLOOKUP($A270,'Mike FLEX'!$A$6:$N$278,7,FALSE),"")</x:f>
        <x:v>15</x:v>
      </x:c>
      <x:c r="H270" s="111" t="n">
        <x:f>IFERROR(VLOOKUP($A270,'Mike FLEX'!$A$6:$N$278,8,FALSE),"")</x:f>
        <x:v>48</x:v>
      </x:c>
      <x:c r="I270" s="111" t="n">
        <x:f>IFERROR(VLOOKUP($A270,'Mike FLEX'!$A$6:$N$278,9,FALSE),"")</x:f>
        <x:v>0</x:v>
      </x:c>
      <x:c r="J270" s="111" t="n">
        <x:f>IFERROR(VLOOKUP($A270,'Mike FLEX'!$A$6:$N$278,10,FALSE),"")</x:f>
        <x:v>0</x:v>
      </x:c>
      <x:c r="K270" s="111" t="n">
        <x:f>IFERROR(VLOOKUP($A270,'Mike FLEX'!$A$6:$N$278,11,FALSE),"")</x:f>
        <x:v>0</x:v>
      </x:c>
      <x:c r="L270" s="111" t="n">
        <x:f>IFERROR(VLOOKUP($A270,'Mike FLEX'!$A$6:$N$278,12,FALSE),"")</x:f>
        <x:v>0</x:v>
      </x:c>
      <x:c r="M270" s="111" t="n">
        <x:f>IFERROR(VLOOKUP($A270,'Mike FLEX'!$A$6:$N$278,13,FALSE),"")</x:f>
        <x:v>0</x:v>
      </x:c>
      <x:c r="N270" s="109" t="n">
        <x:f>IFERROR(VLOOKUP($A270,'Andy FLEX'!$A$6:$N$278,5,FALSE),"")</x:f>
        <x:v>218</x:v>
      </x:c>
      <x:c r="O270" s="110" t="n">
        <x:f>IFERROR(VLOOKUP($A270,'Andy FLEX'!$A$6:$N$278,6,FALSE),"")</x:f>
        <x:v>4.1</x:v>
      </x:c>
      <x:c r="P270" s="111" t="n">
        <x:f>IFERROR(VLOOKUP($A270,'Andy FLEX'!$A$6:$N$278,7,FALSE),"")</x:f>
        <x:v>50</x:v>
      </x:c>
      <x:c r="Q270" s="111" t="n">
        <x:f>IFERROR(VLOOKUP($A270,'Andy FLEX'!$A$6:$N$278,8,FALSE),"")</x:f>
        <x:v>210</x:v>
      </x:c>
      <x:c r="R270" s="111" t="n">
        <x:f>IFERROR(VLOOKUP($A270,'Andy FLEX'!$A$6:$N$278,9,FALSE),"")</x:f>
        <x:v>1</x:v>
      </x:c>
      <x:c r="S270" s="111" t="n">
        <x:f>IFERROR(VLOOKUP($A270,'Andy FLEX'!$A$6:$N$278,10,FALSE),"")</x:f>
        <x:v>22</x:v>
      </x:c>
      <x:c r="T270" s="111" t="n">
        <x:f>IFERROR(VLOOKUP($A270,'Andy FLEX'!$A$6:$N$278,11,FALSE),"")</x:f>
        <x:v>154</x:v>
      </x:c>
      <x:c r="U270" s="111" t="n">
        <x:f>IFERROR(VLOOKUP($A270,'Andy FLEX'!$A$6:$N$278,12,FALSE),"")</x:f>
        <x:v>1</x:v>
      </x:c>
      <x:c r="V270" s="111" t="n">
        <x:f>IFERROR(VLOOKUP($A270,'Andy FLEX'!$A$6:$N$278,13,FALSE),"")</x:f>
        <x:v>0</x:v>
      </x:c>
      <x:c r="W270" s="109" t="n">
        <x:f>IFERROR(VLOOKUP($A270,'Jason FLEX'!$A$6:$N$268,5,FALSE),"")</x:f>
        <x:v>257</x:v>
      </x:c>
      <x:c r="X270" s="110" t="n">
        <x:f>IFERROR(VLOOKUP($A270,'Jason FLEX'!$A$6:$N$268,6,FALSE),"")</x:f>
        <x:v>1.4</x:v>
      </x:c>
      <x:c r="Y270" s="111" t="n">
        <x:f>IFERROR(VLOOKUP($A270,'Jason FLEX'!$A$6:$N$268,7,FALSE),"")</x:f>
        <x:v>20</x:v>
      </x:c>
      <x:c r="Z270" s="111" t="n">
        <x:f>IFERROR(VLOOKUP($A270,'Jason FLEX'!$A$6:$N$268,8,FALSE),"")</x:f>
        <x:v>85</x:v>
      </x:c>
      <x:c r="AA270" s="111" t="n">
        <x:f>IFERROR(VLOOKUP($A270,'Jason FLEX'!$A$6:$N$268,9,FALSE),"")</x:f>
        <x:v>1</x:v>
      </x:c>
      <x:c r="AB270" s="111" t="n">
        <x:f>IFERROR(VLOOKUP($A270,'Jason FLEX'!$A$6:$N$268,10,FALSE),"")</x:f>
        <x:v>6</x:v>
      </x:c>
      <x:c r="AC270" s="111" t="n">
        <x:f>IFERROR(VLOOKUP($A270,'Jason FLEX'!$A$6:$N$268,11,FALSE),"")</x:f>
        <x:v>38</x:v>
      </x:c>
      <x:c r="AD270" s="111" t="n">
        <x:f>IFERROR(VLOOKUP($A270,'Jason FLEX'!$A$6:$N$268,12,FALSE),"")</x:f>
        <x:v>0</x:v>
      </x:c>
      <x:c r="AE270" s="111" t="n">
        <x:f>IFERROR(VLOOKUP($A270,'Jason FLEX'!$A$6:$N$268,13,FALSE),"")</x:f>
        <x:v>0</x:v>
      </x:c>
      <x:c r="AF270" s="110" t="n">
        <x:f>IF(COUNT(E270,N270,W270)=0,"",AVERAGE(E270,N270,W270))</x:f>
        <x:v>248.66666666666666</x:v>
      </x:c>
      <x:c r="AG270" s="110" t="n">
        <x:f>IF(COUNT(E270,N270,W270)=0,"",MAX(E270,N270,W270)-MIN(E270,N270,W270))</x:f>
        <x:v>53</x:v>
      </x:c>
      <x:c r="AH270" s="110" t="n">
        <x:f>IF(COUNT(F270,O270,X270)=0,"",AVERAGE(F270,O270,X270))</x:f>
        <x:v>1.9666666666666668</x:v>
      </x:c>
      <x:c r="AI270" s="112" t="n">
        <x:f>IF(COUNT(G270,P270,Y270)=0,"",AVERAGE(G270,P270,Y270))</x:f>
        <x:v>28.333333333333332</x:v>
      </x:c>
      <x:c r="AJ270" s="112" t="n">
        <x:f>IF(COUNT(H270,Q270,Z270)=0,"",AVERAGE(H270,Q270,Z270))</x:f>
        <x:v>114.33333333333333</x:v>
      </x:c>
      <x:c r="AK270" s="112" t="n">
        <x:f>IF(COUNT(I270,R270,AA270)=0,"",AVERAGE(I270,R270,AA270))</x:f>
        <x:v>0.6666666666666666</x:v>
      </x:c>
      <x:c r="AL270" s="112" t="n">
        <x:f>IF(COUNT(J270,S270,AB270)=0,"",AVERAGE(J270,S270,AB270))</x:f>
        <x:v>9.333333333333334</x:v>
      </x:c>
      <x:c r="AM270" s="112" t="n">
        <x:f>IF(COUNT(K270,T270,AC270)=0,"",AVERAGE(K270,T270,AC270))</x:f>
        <x:v>64</x:v>
      </x:c>
      <x:c r="AN270" s="112" t="n">
        <x:f>IF(COUNT(L270,U270,AD270)=0,"",AVERAGE(L270,U270,AD270))</x:f>
        <x:v>0.3333333333333333</x:v>
      </x:c>
      <x:c r="AO270" s="112" t="n">
        <x:f>IF(COUNT(M270,V270,AE270)=0,"",AVERAGE(M270,V270,AE270))</x:f>
        <x:v>0</x:v>
      </x:c>
    </x:row>
    <x:row r="271">
      <x:c r="A271" s="107" t="str">
        <x:v>Josh Jacobs</x:v>
      </x:c>
      <x:c r="B271" s="108" t="str">
        <x:v>RB</x:v>
      </x:c>
      <x:c r="C271" s="108" t="str">
        <x:v>GB</x:v>
      </x:c>
      <x:c r="D271" s="109" t="n">
        <x:v>11</x:v>
      </x:c>
      <x:c r="E271" s="109" t="n">
        <x:f>IFERROR(VLOOKUP($A271,'Mike FLEX'!$A$6:$N$278,5,FALSE),"")</x:f>
        <x:v>265</x:v>
      </x:c>
      <x:c r="F271" s="110" t="n">
        <x:f>IFERROR(VLOOKUP($A271,'Mike FLEX'!$A$6:$N$278,6,FALSE),"")</x:f>
        <x:v>1.3</x:v>
      </x:c>
      <x:c r="G271" s="111" t="n">
        <x:f>IFERROR(VLOOKUP($A271,'Mike FLEX'!$A$6:$N$278,7,FALSE),"")</x:f>
        <x:v>30</x:v>
      </x:c>
      <x:c r="H271" s="111" t="n">
        <x:f>IFERROR(VLOOKUP($A271,'Mike FLEX'!$A$6:$N$278,8,FALSE),"")</x:f>
        <x:v>126</x:v>
      </x:c>
      <x:c r="I271" s="111" t="n">
        <x:f>IFERROR(VLOOKUP($A271,'Mike FLEX'!$A$6:$N$278,9,FALSE),"")</x:f>
        <x:v>1</x:v>
      </x:c>
      <x:c r="J271" s="111" t="n">
        <x:f>IFERROR(VLOOKUP($A271,'Mike FLEX'!$A$6:$N$278,10,FALSE),"")</x:f>
        <x:v>4</x:v>
      </x:c>
      <x:c r="K271" s="111" t="n">
        <x:f>IFERROR(VLOOKUP($A271,'Mike FLEX'!$A$6:$N$278,11,FALSE),"")</x:f>
        <x:v>36</x:v>
      </x:c>
      <x:c r="L271" s="111" t="n">
        <x:f>IFERROR(VLOOKUP($A271,'Mike FLEX'!$A$6:$N$278,12,FALSE),"")</x:f>
        <x:v>0</x:v>
      </x:c>
      <x:c r="M271" s="111" t="n">
        <x:f>IFERROR(VLOOKUP($A271,'Mike FLEX'!$A$6:$N$278,13,FALSE),"")</x:f>
        <x:v>3</x:v>
      </x:c>
      <x:c r="N271" s="109" t="n">
        <x:f>IFERROR(VLOOKUP($A271,'Andy FLEX'!$A$6:$N$278,5,FALSE),"")</x:f>
        <x:v>252</x:v>
      </x:c>
      <x:c r="O271" s="110" t="n">
        <x:f>IFERROR(VLOOKUP($A271,'Andy FLEX'!$A$6:$N$278,6,FALSE),"")</x:f>
        <x:v>3</x:v>
      </x:c>
      <x:c r="P271" s="111" t="n">
        <x:f>IFERROR(VLOOKUP($A271,'Andy FLEX'!$A$6:$N$278,7,FALSE),"")</x:f>
        <x:v>51</x:v>
      </x:c>
      <x:c r="Q271" s="111" t="n">
        <x:f>IFERROR(VLOOKUP($A271,'Andy FLEX'!$A$6:$N$278,8,FALSE),"")</x:f>
        <x:v>210</x:v>
      </x:c>
      <x:c r="R271" s="111" t="n">
        <x:f>IFERROR(VLOOKUP($A271,'Andy FLEX'!$A$6:$N$278,9,FALSE),"")</x:f>
        <x:v>3</x:v>
      </x:c>
      <x:c r="S271" s="111" t="n">
        <x:f>IFERROR(VLOOKUP($A271,'Andy FLEX'!$A$6:$N$278,10,FALSE),"")</x:f>
        <x:v>8</x:v>
      </x:c>
      <x:c r="T271" s="111" t="n">
        <x:f>IFERROR(VLOOKUP($A271,'Andy FLEX'!$A$6:$N$278,11,FALSE),"")</x:f>
        <x:v>62</x:v>
      </x:c>
      <x:c r="U271" s="111" t="n">
        <x:f>IFERROR(VLOOKUP($A271,'Andy FLEX'!$A$6:$N$278,12,FALSE),"")</x:f>
        <x:v>0</x:v>
      </x:c>
      <x:c r="V271" s="111" t="n">
        <x:f>IFERROR(VLOOKUP($A271,'Andy FLEX'!$A$6:$N$278,13,FALSE),"")</x:f>
        <x:v>1</x:v>
      </x:c>
      <x:c r="W271" s="109" t="n">
        <x:f>IFERROR(VLOOKUP($A271,'Jason FLEX'!$A$6:$N$268,5,FALSE),"")</x:f>
        <x:v>232</x:v>
      </x:c>
      <x:c r="X271" s="110" t="n">
        <x:f>IFERROR(VLOOKUP($A271,'Jason FLEX'!$A$6:$N$268,6,FALSE),"")</x:f>
        <x:v>3.1</x:v>
      </x:c>
      <x:c r="Y271" s="111" t="n">
        <x:f>IFERROR(VLOOKUP($A271,'Jason FLEX'!$A$6:$N$268,7,FALSE),"")</x:f>
        <x:v>60</x:v>
      </x:c>
      <x:c r="Z271" s="111" t="n">
        <x:f>IFERROR(VLOOKUP($A271,'Jason FLEX'!$A$6:$N$268,8,FALSE),"")</x:f>
        <x:v>240</x:v>
      </x:c>
      <x:c r="AA271" s="111" t="n">
        <x:f>IFERROR(VLOOKUP($A271,'Jason FLEX'!$A$6:$N$268,9,FALSE),"")</x:f>
        <x:v>2</x:v>
      </x:c>
      <x:c r="AB271" s="111" t="n">
        <x:f>IFERROR(VLOOKUP($A271,'Jason FLEX'!$A$6:$N$268,10,FALSE),"")</x:f>
        <x:v>9</x:v>
      </x:c>
      <x:c r="AC271" s="111" t="n">
        <x:f>IFERROR(VLOOKUP($A271,'Jason FLEX'!$A$6:$N$268,11,FALSE),"")</x:f>
        <x:v>70</x:v>
      </x:c>
      <x:c r="AD271" s="111" t="n">
        <x:f>IFERROR(VLOOKUP($A271,'Jason FLEX'!$A$6:$N$268,12,FALSE),"")</x:f>
        <x:v>0</x:v>
      </x:c>
      <x:c r="AE271" s="111" t="n">
        <x:f>IFERROR(VLOOKUP($A271,'Jason FLEX'!$A$6:$N$268,13,FALSE),"")</x:f>
        <x:v>0</x:v>
      </x:c>
      <x:c r="AF271" s="110" t="n">
        <x:f>IF(COUNT(E271,N271,W271)=0,"",AVERAGE(E271,N271,W271))</x:f>
        <x:v>249.66666666666666</x:v>
      </x:c>
      <x:c r="AG271" s="110" t="n">
        <x:f>IF(COUNT(E271,N271,W271)=0,"",MAX(E271,N271,W271)-MIN(E271,N271,W271))</x:f>
        <x:v>33</x:v>
      </x:c>
      <x:c r="AH271" s="110" t="n">
        <x:f>IF(COUNT(F271,O271,X271)=0,"",AVERAGE(F271,O271,X271))</x:f>
        <x:v>2.466666666666667</x:v>
      </x:c>
      <x:c r="AI271" s="112" t="n">
        <x:f>IF(COUNT(G271,P271,Y271)=0,"",AVERAGE(G271,P271,Y271))</x:f>
        <x:v>47</x:v>
      </x:c>
      <x:c r="AJ271" s="112" t="n">
        <x:f>IF(COUNT(H271,Q271,Z271)=0,"",AVERAGE(H271,Q271,Z271))</x:f>
        <x:v>192</x:v>
      </x:c>
      <x:c r="AK271" s="112" t="n">
        <x:f>IF(COUNT(I271,R271,AA271)=0,"",AVERAGE(I271,R271,AA271))</x:f>
        <x:v>2</x:v>
      </x:c>
      <x:c r="AL271" s="112" t="n">
        <x:f>IF(COUNT(J271,S271,AB271)=0,"",AVERAGE(J271,S271,AB271))</x:f>
        <x:v>7</x:v>
      </x:c>
      <x:c r="AM271" s="112" t="n">
        <x:f>IF(COUNT(K271,T271,AC271)=0,"",AVERAGE(K271,T271,AC271))</x:f>
        <x:v>56</x:v>
      </x:c>
      <x:c r="AN271" s="112" t="n">
        <x:f>IF(COUNT(L271,U271,AD271)=0,"",AVERAGE(L271,U271,AD271))</x:f>
        <x:v>0</x:v>
      </x:c>
      <x:c r="AO271" s="112" t="n">
        <x:f>IF(COUNT(M271,V271,AE271)=0,"",AVERAGE(M271,V271,AE271))</x:f>
        <x:v>1.3333333333333333</x:v>
      </x:c>
    </x:row>
    <x:row r="272">
      <x:c r="A272" s="107" t="str">
        <x:v>Cedric Tillman</x:v>
      </x:c>
      <x:c r="B272" s="108" t="str">
        <x:v>WR</x:v>
      </x:c>
      <x:c r="C272" s="108" t="str">
        <x:v>FA</x:v>
      </x:c>
      <x:c r="D272" s="109"/>
      <x:c r="E272" s="109" t="n">
        <x:f>IFERROR(VLOOKUP($A272,'Mike FLEX'!$A$6:$N$278,5,FALSE),"")</x:f>
        <x:v>238</x:v>
      </x:c>
      <x:c r="F272" s="110" t="n">
        <x:f>IFERROR(VLOOKUP($A272,'Mike FLEX'!$A$6:$N$278,6,FALSE),"")</x:f>
        <x:v>2.6</x:v>
      </x:c>
      <x:c r="G272" s="111" t="n">
        <x:f>IFERROR(VLOOKUP($A272,'Mike FLEX'!$A$6:$N$278,7,FALSE),"")</x:f>
        <x:v>0</x:v>
      </x:c>
      <x:c r="H272" s="111" t="n">
        <x:f>IFERROR(VLOOKUP($A272,'Mike FLEX'!$A$6:$N$278,8,FALSE),"")</x:f>
        <x:v>0</x:v>
      </x:c>
      <x:c r="I272" s="111" t="n">
        <x:f>IFERROR(VLOOKUP($A272,'Mike FLEX'!$A$6:$N$278,9,FALSE),"")</x:f>
        <x:v>0</x:v>
      </x:c>
      <x:c r="J272" s="111" t="n">
        <x:f>IFERROR(VLOOKUP($A272,'Mike FLEX'!$A$6:$N$278,10,FALSE),"")</x:f>
        <x:v>17</x:v>
      </x:c>
      <x:c r="K272" s="111" t="n">
        <x:f>IFERROR(VLOOKUP($A272,'Mike FLEX'!$A$6:$N$278,11,FALSE),"")</x:f>
        <x:v>197</x:v>
      </x:c>
      <x:c r="L272" s="111" t="n">
        <x:f>IFERROR(VLOOKUP($A272,'Mike FLEX'!$A$6:$N$278,12,FALSE),"")</x:f>
        <x:v>1</x:v>
      </x:c>
      <x:c r="M272" s="111" t="n">
        <x:f>IFERROR(VLOOKUP($A272,'Mike FLEX'!$A$6:$N$278,13,FALSE),"")</x:f>
        <x:v>0</x:v>
      </x:c>
      <x:c r="N272" s="109" t="n">
        <x:f>IFERROR(VLOOKUP($A272,'Andy FLEX'!$A$6:$N$278,5,FALSE),"")</x:f>
        <x:v>260</x:v>
      </x:c>
      <x:c r="O272" s="110" t="n">
        <x:f>IFERROR(VLOOKUP($A272,'Andy FLEX'!$A$6:$N$278,6,FALSE),"")</x:f>
        <x:v>2.8</x:v>
      </x:c>
      <x:c r="P272" s="111" t="n">
        <x:f>IFERROR(VLOOKUP($A272,'Andy FLEX'!$A$6:$N$278,7,FALSE),"")</x:f>
        <x:v>0</x:v>
      </x:c>
      <x:c r="Q272" s="111" t="n">
        <x:f>IFERROR(VLOOKUP($A272,'Andy FLEX'!$A$6:$N$278,8,FALSE),"")</x:f>
        <x:v>0</x:v>
      </x:c>
      <x:c r="R272" s="111" t="n">
        <x:f>IFERROR(VLOOKUP($A272,'Andy FLEX'!$A$6:$N$278,9,FALSE),"")</x:f>
        <x:v>0</x:v>
      </x:c>
      <x:c r="S272" s="111" t="n">
        <x:f>IFERROR(VLOOKUP($A272,'Andy FLEX'!$A$6:$N$278,10,FALSE),"")</x:f>
        <x:v>16</x:v>
      </x:c>
      <x:c r="T272" s="111" t="n">
        <x:f>IFERROR(VLOOKUP($A272,'Andy FLEX'!$A$6:$N$278,11,FALSE),"")</x:f>
        <x:v>222</x:v>
      </x:c>
      <x:c r="U272" s="111" t="n">
        <x:f>IFERROR(VLOOKUP($A272,'Andy FLEX'!$A$6:$N$278,12,FALSE),"")</x:f>
        <x:v>2</x:v>
      </x:c>
      <x:c r="V272" s="111" t="n">
        <x:f>IFERROR(VLOOKUP($A272,'Andy FLEX'!$A$6:$N$278,13,FALSE),"")</x:f>
        <x:v>0</x:v>
      </x:c>
      <x:c r="W272" s="109" t="n">
        <x:f>IFERROR(VLOOKUP($A272,'Jason FLEX'!$A$6:$N$268,5,FALSE),"")</x:f>
        <x:v>254</x:v>
      </x:c>
      <x:c r="X272" s="110" t="n">
        <x:f>IFERROR(VLOOKUP($A272,'Jason FLEX'!$A$6:$N$268,6,FALSE),"")</x:f>
        <x:v>1.7</x:v>
      </x:c>
      <x:c r="Y272" s="111" t="n">
        <x:f>IFERROR(VLOOKUP($A272,'Jason FLEX'!$A$6:$N$268,7,FALSE),"")</x:f>
        <x:v>0</x:v>
      </x:c>
      <x:c r="Z272" s="111" t="n">
        <x:f>IFERROR(VLOOKUP($A272,'Jason FLEX'!$A$6:$N$268,8,FALSE),"")</x:f>
        <x:v>0</x:v>
      </x:c>
      <x:c r="AA272" s="111" t="n">
        <x:f>IFERROR(VLOOKUP($A272,'Jason FLEX'!$A$6:$N$268,9,FALSE),"")</x:f>
        <x:v>0</x:v>
      </x:c>
      <x:c r="AB272" s="111" t="n">
        <x:f>IFERROR(VLOOKUP($A272,'Jason FLEX'!$A$6:$N$268,10,FALSE),"")</x:f>
        <x:v>10</x:v>
      </x:c>
      <x:c r="AC272" s="111" t="n">
        <x:f>IFERROR(VLOOKUP($A272,'Jason FLEX'!$A$6:$N$268,11,FALSE),"")</x:f>
        <x:v>133</x:v>
      </x:c>
      <x:c r="AD272" s="111" t="n">
        <x:f>IFERROR(VLOOKUP($A272,'Jason FLEX'!$A$6:$N$268,12,FALSE),"")</x:f>
        <x:v>1</x:v>
      </x:c>
      <x:c r="AE272" s="111" t="n">
        <x:f>IFERROR(VLOOKUP($A272,'Jason FLEX'!$A$6:$N$268,13,FALSE),"")</x:f>
        <x:v>0</x:v>
      </x:c>
      <x:c r="AF272" s="110" t="n">
        <x:f>IF(COUNT(E272,N272,W272)=0,"",AVERAGE(E272,N272,W272))</x:f>
        <x:v>250.66666666666666</x:v>
      </x:c>
      <x:c r="AG272" s="110" t="n">
        <x:f>IF(COUNT(E272,N272,W272)=0,"",MAX(E272,N272,W272)-MIN(E272,N272,W272))</x:f>
        <x:v>22</x:v>
      </x:c>
      <x:c r="AH272" s="110" t="n">
        <x:f>IF(COUNT(F272,O272,X272)=0,"",AVERAGE(F272,O272,X272))</x:f>
        <x:v>2.3666666666666667</x:v>
      </x:c>
      <x:c r="AI272" s="112" t="n">
        <x:f>IF(COUNT(G272,P272,Y272)=0,"",AVERAGE(G272,P272,Y272))</x:f>
        <x:v>0</x:v>
      </x:c>
      <x:c r="AJ272" s="112" t="n">
        <x:f>IF(COUNT(H272,Q272,Z272)=0,"",AVERAGE(H272,Q272,Z272))</x:f>
        <x:v>0</x:v>
      </x:c>
      <x:c r="AK272" s="112" t="n">
        <x:f>IF(COUNT(I272,R272,AA272)=0,"",AVERAGE(I272,R272,AA272))</x:f>
        <x:v>0</x:v>
      </x:c>
      <x:c r="AL272" s="112" t="n">
        <x:f>IF(COUNT(J272,S272,AB272)=0,"",AVERAGE(J272,S272,AB272))</x:f>
        <x:v>14.333333333333334</x:v>
      </x:c>
      <x:c r="AM272" s="112" t="n">
        <x:f>IF(COUNT(K272,T272,AC272)=0,"",AVERAGE(K272,T272,AC272))</x:f>
        <x:v>184</x:v>
      </x:c>
      <x:c r="AN272" s="112" t="n">
        <x:f>IF(COUNT(L272,U272,AD272)=0,"",AVERAGE(L272,U272,AD272))</x:f>
        <x:v>1.3333333333333333</x:v>
      </x:c>
      <x:c r="AO272" s="112" t="n">
        <x:f>IF(COUNT(M272,V272,AE272)=0,"",AVERAGE(M272,V272,AE272))</x:f>
        <x:v>0</x:v>
      </x:c>
    </x:row>
    <x:row r="273">
      <x:c r="A273" s="107" t="str">
        <x:v>Ollie Gordon II</x:v>
      </x:c>
      <x:c r="B273" s="108" t="str">
        <x:v>RB</x:v>
      </x:c>
      <x:c r="C273" s="108" t="str">
        <x:v>MIA</x:v>
      </x:c>
      <x:c r="D273" s="109" t="n">
        <x:v>6</x:v>
      </x:c>
      <x:c r="E273" s="109" t="n">
        <x:f>IFERROR(VLOOKUP($A273,'Mike FLEX'!$A$6:$N$278,5,FALSE),"")</x:f>
        <x:v>248</x:v>
      </x:c>
      <x:c r="F273" s="110" t="n">
        <x:f>IFERROR(VLOOKUP($A273,'Mike FLEX'!$A$6:$N$278,6,FALSE),"")</x:f>
        <x:v>2.1</x:v>
      </x:c>
      <x:c r="G273" s="111" t="n">
        <x:f>IFERROR(VLOOKUP($A273,'Mike FLEX'!$A$6:$N$278,7,FALSE),"")</x:f>
        <x:v>40</x:v>
      </x:c>
      <x:c r="H273" s="111" t="n">
        <x:f>IFERROR(VLOOKUP($A273,'Mike FLEX'!$A$6:$N$278,8,FALSE),"")</x:f>
        <x:v>111</x:v>
      </x:c>
      <x:c r="I273" s="111" t="n">
        <x:f>IFERROR(VLOOKUP($A273,'Mike FLEX'!$A$6:$N$278,9,FALSE),"")</x:f>
        <x:v>1</x:v>
      </x:c>
      <x:c r="J273" s="111" t="n">
        <x:f>IFERROR(VLOOKUP($A273,'Mike FLEX'!$A$6:$N$278,10,FALSE),"")</x:f>
        <x:v>11</x:v>
      </x:c>
      <x:c r="K273" s="111" t="n">
        <x:f>IFERROR(VLOOKUP($A273,'Mike FLEX'!$A$6:$N$278,11,FALSE),"")</x:f>
        <x:v>65</x:v>
      </x:c>
      <x:c r="L273" s="111" t="n">
        <x:f>IFERROR(VLOOKUP($A273,'Mike FLEX'!$A$6:$N$278,12,FALSE),"")</x:f>
        <x:v>0</x:v>
      </x:c>
      <x:c r="M273" s="111" t="n">
        <x:f>IFERROR(VLOOKUP($A273,'Mike FLEX'!$A$6:$N$278,13,FALSE),"")</x:f>
        <x:v>0</x:v>
      </x:c>
      <x:c r="N273" s="109" t="n">
        <x:f>IFERROR(VLOOKUP($A273,'Andy FLEX'!$A$6:$N$278,5,FALSE),"")</x:f>
        <x:v>265</x:v>
      </x:c>
      <x:c r="O273" s="110" t="n">
        <x:f>IFERROR(VLOOKUP($A273,'Andy FLEX'!$A$6:$N$278,6,FALSE),"")</x:f>
        <x:v>2.3</x:v>
      </x:c>
      <x:c r="P273" s="111" t="n">
        <x:f>IFERROR(VLOOKUP($A273,'Andy FLEX'!$A$6:$N$278,7,FALSE),"")</x:f>
        <x:v>41</x:v>
      </x:c>
      <x:c r="Q273" s="111" t="n">
        <x:f>IFERROR(VLOOKUP($A273,'Andy FLEX'!$A$6:$N$278,8,FALSE),"")</x:f>
        <x:v>168</x:v>
      </x:c>
      <x:c r="R273" s="111" t="n">
        <x:f>IFERROR(VLOOKUP($A273,'Andy FLEX'!$A$6:$N$278,9,FALSE),"")</x:f>
        <x:v>2</x:v>
      </x:c>
      <x:c r="S273" s="111" t="n">
        <x:f>IFERROR(VLOOKUP($A273,'Andy FLEX'!$A$6:$N$278,10,FALSE),"")</x:f>
        <x:v>10</x:v>
      </x:c>
      <x:c r="T273" s="111" t="n">
        <x:f>IFERROR(VLOOKUP($A273,'Andy FLEX'!$A$6:$N$278,11,FALSE),"")</x:f>
        <x:v>60</x:v>
      </x:c>
      <x:c r="U273" s="111" t="n">
        <x:f>IFERROR(VLOOKUP($A273,'Andy FLEX'!$A$6:$N$278,12,FALSE),"")</x:f>
        <x:v>0</x:v>
      </x:c>
      <x:c r="V273" s="111" t="n">
        <x:f>IFERROR(VLOOKUP($A273,'Andy FLEX'!$A$6:$N$278,13,FALSE),"")</x:f>
        <x:v>1</x:v>
      </x:c>
      <x:c r="W273" s="109" t="n">
        <x:f>IFERROR(VLOOKUP($A273,'Jason FLEX'!$A$6:$N$268,5,FALSE),"")</x:f>
        <x:v>244</x:v>
      </x:c>
      <x:c r="X273" s="110" t="n">
        <x:f>IFERROR(VLOOKUP($A273,'Jason FLEX'!$A$6:$N$268,6,FALSE),"")</x:f>
        <x:v>2.4</x:v>
      </x:c>
      <x:c r="Y273" s="111" t="n">
        <x:f>IFERROR(VLOOKUP($A273,'Jason FLEX'!$A$6:$N$268,7,FALSE),"")</x:f>
        <x:v>75</x:v>
      </x:c>
      <x:c r="Z273" s="111" t="n">
        <x:f>IFERROR(VLOOKUP($A273,'Jason FLEX'!$A$6:$N$268,8,FALSE),"")</x:f>
        <x:v>258</x:v>
      </x:c>
      <x:c r="AA273" s="111" t="n">
        <x:f>IFERROR(VLOOKUP($A273,'Jason FLEX'!$A$6:$N$268,9,FALSE),"")</x:f>
        <x:v>2</x:v>
      </x:c>
      <x:c r="AB273" s="111" t="n">
        <x:f>IFERROR(VLOOKUP($A273,'Jason FLEX'!$A$6:$N$268,10,FALSE),"")</x:f>
        <x:v>5</x:v>
      </x:c>
      <x:c r="AC273" s="111" t="n">
        <x:f>IFERROR(VLOOKUP($A273,'Jason FLEX'!$A$6:$N$268,11,FALSE),"")</x:f>
        <x:v>35</x:v>
      </x:c>
      <x:c r="AD273" s="111" t="n">
        <x:f>IFERROR(VLOOKUP($A273,'Jason FLEX'!$A$6:$N$268,12,FALSE),"")</x:f>
        <x:v>0</x:v>
      </x:c>
      <x:c r="AE273" s="111" t="n">
        <x:f>IFERROR(VLOOKUP($A273,'Jason FLEX'!$A$6:$N$268,13,FALSE),"")</x:f>
        <x:v>1</x:v>
      </x:c>
      <x:c r="AF273" s="110" t="n">
        <x:f>IF(COUNT(E273,N273,W273)=0,"",AVERAGE(E273,N273,W273))</x:f>
        <x:v>252.33333333333334</x:v>
      </x:c>
      <x:c r="AG273" s="110" t="n">
        <x:f>IF(COUNT(E273,N273,W273)=0,"",MAX(E273,N273,W273)-MIN(E273,N273,W273))</x:f>
        <x:v>21</x:v>
      </x:c>
      <x:c r="AH273" s="110" t="n">
        <x:f>IF(COUNT(F273,O273,X273)=0,"",AVERAGE(F273,O273,X273))</x:f>
        <x:v>2.266666666666667</x:v>
      </x:c>
      <x:c r="AI273" s="112" t="n">
        <x:f>IF(COUNT(G273,P273,Y273)=0,"",AVERAGE(G273,P273,Y273))</x:f>
        <x:v>52</x:v>
      </x:c>
      <x:c r="AJ273" s="112" t="n">
        <x:f>IF(COUNT(H273,Q273,Z273)=0,"",AVERAGE(H273,Q273,Z273))</x:f>
        <x:v>179</x:v>
      </x:c>
      <x:c r="AK273" s="112" t="n">
        <x:f>IF(COUNT(I273,R273,AA273)=0,"",AVERAGE(I273,R273,AA273))</x:f>
        <x:v>1.6666666666666667</x:v>
      </x:c>
      <x:c r="AL273" s="112" t="n">
        <x:f>IF(COUNT(J273,S273,AB273)=0,"",AVERAGE(J273,S273,AB273))</x:f>
        <x:v>8.666666666666666</x:v>
      </x:c>
      <x:c r="AM273" s="112" t="n">
        <x:f>IF(COUNT(K273,T273,AC273)=0,"",AVERAGE(K273,T273,AC273))</x:f>
        <x:v>53.333333333333336</x:v>
      </x:c>
      <x:c r="AN273" s="112" t="n">
        <x:f>IF(COUNT(L273,U273,AD273)=0,"",AVERAGE(L273,U273,AD273))</x:f>
        <x:v>0</x:v>
      </x:c>
      <x:c r="AO273" s="112" t="n">
        <x:f>IF(COUNT(M273,V273,AE273)=0,"",AVERAGE(M273,V273,AE273))</x:f>
        <x:v>0.6666666666666666</x:v>
      </x:c>
    </x:row>
    <x:row r="274">
      <x:c r="A274" s="107" t="str">
        <x:v>AJ Dillon</x:v>
      </x:c>
      <x:c r="B274" s="108" t="str">
        <x:v>RB</x:v>
      </x:c>
      <x:c r="C274" s="108" t="str">
        <x:v>CAR</x:v>
      </x:c>
      <x:c r="D274" s="109" t="n">
        <x:v>5</x:v>
      </x:c>
      <x:c r="E274" s="109" t="n">
        <x:f>IFERROR(VLOOKUP($A274,'Mike FLEX'!$A$6:$N$278,5,FALSE),"")</x:f>
        <x:v>269</x:v>
      </x:c>
      <x:c r="F274" s="110" t="n">
        <x:f>IFERROR(VLOOKUP($A274,'Mike FLEX'!$A$6:$N$278,6,FALSE),"")</x:f>
        <x:v>0.5</x:v>
      </x:c>
      <x:c r="G274" s="111" t="n">
        <x:f>IFERROR(VLOOKUP($A274,'Mike FLEX'!$A$6:$N$278,7,FALSE),"")</x:f>
        <x:v>13</x:v>
      </x:c>
      <x:c r="H274" s="111" t="n">
        <x:f>IFERROR(VLOOKUP($A274,'Mike FLEX'!$A$6:$N$278,8,FALSE),"")</x:f>
        <x:v>49</x:v>
      </x:c>
      <x:c r="I274" s="111" t="n">
        <x:f>IFERROR(VLOOKUP($A274,'Mike FLEX'!$A$6:$N$278,9,FALSE),"")</x:f>
        <x:v>0</x:v>
      </x:c>
      <x:c r="J274" s="111" t="n">
        <x:f>IFERROR(VLOOKUP($A274,'Mike FLEX'!$A$6:$N$278,10,FALSE),"")</x:f>
        <x:v>2</x:v>
      </x:c>
      <x:c r="K274" s="111" t="n">
        <x:f>IFERROR(VLOOKUP($A274,'Mike FLEX'!$A$6:$N$278,11,FALSE),"")</x:f>
        <x:v>18</x:v>
      </x:c>
      <x:c r="L274" s="111" t="n">
        <x:f>IFERROR(VLOOKUP($A274,'Mike FLEX'!$A$6:$N$278,12,FALSE),"")</x:f>
        <x:v>0</x:v>
      </x:c>
      <x:c r="M274" s="111" t="n">
        <x:f>IFERROR(VLOOKUP($A274,'Mike FLEX'!$A$6:$N$278,13,FALSE),"")</x:f>
        <x:v>1</x:v>
      </x:c>
      <x:c r="N274" s="109" t="n">
        <x:f>IFERROR(VLOOKUP($A274,'Andy FLEX'!$A$6:$N$278,5,FALSE),"")</x:f>
        <x:v>244</x:v>
      </x:c>
      <x:c r="O274" s="110" t="n">
        <x:f>IFERROR(VLOOKUP($A274,'Andy FLEX'!$A$6:$N$278,6,FALSE),"")</x:f>
        <x:v>3.3</x:v>
      </x:c>
      <x:c r="P274" s="111" t="n">
        <x:f>IFERROR(VLOOKUP($A274,'Andy FLEX'!$A$6:$N$278,7,FALSE),"")</x:f>
        <x:v>65</x:v>
      </x:c>
      <x:c r="Q274" s="111" t="n">
        <x:f>IFERROR(VLOOKUP($A274,'Andy FLEX'!$A$6:$N$278,8,FALSE),"")</x:f>
        <x:v>242</x:v>
      </x:c>
      <x:c r="R274" s="111" t="n">
        <x:f>IFERROR(VLOOKUP($A274,'Andy FLEX'!$A$6:$N$278,9,FALSE),"")</x:f>
        <x:v>3</x:v>
      </x:c>
      <x:c r="S274" s="111" t="n">
        <x:f>IFERROR(VLOOKUP($A274,'Andy FLEX'!$A$6:$N$278,10,FALSE),"")</x:f>
        <x:v>13</x:v>
      </x:c>
      <x:c r="T274" s="111" t="n">
        <x:f>IFERROR(VLOOKUP($A274,'Andy FLEX'!$A$6:$N$278,11,FALSE),"")</x:f>
        <x:v>62</x:v>
      </x:c>
      <x:c r="U274" s="111" t="n">
        <x:f>IFERROR(VLOOKUP($A274,'Andy FLEX'!$A$6:$N$278,12,FALSE),"")</x:f>
        <x:v>0</x:v>
      </x:c>
      <x:c r="V274" s="111" t="n">
        <x:f>IFERROR(VLOOKUP($A274,'Andy FLEX'!$A$6:$N$278,13,FALSE),"")</x:f>
        <x:v>3</x:v>
      </x:c>
      <x:c r="W274" s="109" t="str">
        <x:f>IFERROR(VLOOKUP($A274,'Jason FLEX'!$A$6:$N$268,5,FALSE),"")</x:f>
      </x:c>
      <x:c r="X274" s="110" t="str">
        <x:f>IFERROR(VLOOKUP($A274,'Jason FLEX'!$A$6:$N$268,6,FALSE),"")</x:f>
      </x:c>
      <x:c r="Y274" s="111" t="str">
        <x:f>IFERROR(VLOOKUP($A274,'Jason FLEX'!$A$6:$N$268,7,FALSE),"")</x:f>
      </x:c>
      <x:c r="Z274" s="111" t="str">
        <x:f>IFERROR(VLOOKUP($A274,'Jason FLEX'!$A$6:$N$268,8,FALSE),"")</x:f>
      </x:c>
      <x:c r="AA274" s="111" t="str">
        <x:f>IFERROR(VLOOKUP($A274,'Jason FLEX'!$A$6:$N$268,9,FALSE),"")</x:f>
      </x:c>
      <x:c r="AB274" s="111" t="str">
        <x:f>IFERROR(VLOOKUP($A274,'Jason FLEX'!$A$6:$N$268,10,FALSE),"")</x:f>
      </x:c>
      <x:c r="AC274" s="111" t="str">
        <x:f>IFERROR(VLOOKUP($A274,'Jason FLEX'!$A$6:$N$268,11,FALSE),"")</x:f>
      </x:c>
      <x:c r="AD274" s="111" t="str">
        <x:f>IFERROR(VLOOKUP($A274,'Jason FLEX'!$A$6:$N$268,12,FALSE),"")</x:f>
      </x:c>
      <x:c r="AE274" s="111" t="str">
        <x:f>IFERROR(VLOOKUP($A274,'Jason FLEX'!$A$6:$N$268,13,FALSE),"")</x:f>
      </x:c>
      <x:c r="AF274" s="110" t="n">
        <x:f>IF(COUNT(E274,N274,W274)=0,"",AVERAGE(E274,N274,W274))</x:f>
        <x:v>256.5</x:v>
      </x:c>
      <x:c r="AG274" s="110" t="n">
        <x:f>IF(COUNT(E274,N274,W274)=0,"",MAX(E274,N274,W274)-MIN(E274,N274,W274))</x:f>
        <x:v>25</x:v>
      </x:c>
      <x:c r="AH274" s="110" t="n">
        <x:f>IF(COUNT(F274,O274,X274)=0,"",AVERAGE(F274,O274,X274))</x:f>
        <x:v>1.9</x:v>
      </x:c>
      <x:c r="AI274" s="112" t="n">
        <x:f>IF(COUNT(G274,P274,Y274)=0,"",AVERAGE(G274,P274,Y274))</x:f>
        <x:v>39</x:v>
      </x:c>
      <x:c r="AJ274" s="112" t="n">
        <x:f>IF(COUNT(H274,Q274,Z274)=0,"",AVERAGE(H274,Q274,Z274))</x:f>
        <x:v>145.5</x:v>
      </x:c>
      <x:c r="AK274" s="112" t="n">
        <x:f>IF(COUNT(I274,R274,AA274)=0,"",AVERAGE(I274,R274,AA274))</x:f>
        <x:v>1.5</x:v>
      </x:c>
      <x:c r="AL274" s="112" t="n">
        <x:f>IF(COUNT(J274,S274,AB274)=0,"",AVERAGE(J274,S274,AB274))</x:f>
        <x:v>7.5</x:v>
      </x:c>
      <x:c r="AM274" s="112" t="n">
        <x:f>IF(COUNT(K274,T274,AC274)=0,"",AVERAGE(K274,T274,AC274))</x:f>
        <x:v>40</x:v>
      </x:c>
      <x:c r="AN274" s="112" t="n">
        <x:f>IF(COUNT(L274,U274,AD274)=0,"",AVERAGE(L274,U274,AD274))</x:f>
        <x:v>0</x:v>
      </x:c>
      <x:c r="AO274" s="112" t="n">
        <x:f>IF(COUNT(M274,V274,AE274)=0,"",AVERAGE(M274,V274,AE274))</x:f>
        <x:v>2</x:v>
      </x:c>
    </x:row>
    <x:row r="275">
      <x:c r="A275" s="107" t="str">
        <x:v>Justin Joly</x:v>
      </x:c>
      <x:c r="B275" s="108" t="str">
        <x:v>TE</x:v>
      </x:c>
      <x:c r="C275" s="108" t="str">
        <x:v>FA</x:v>
      </x:c>
      <x:c r="D275" s="109"/>
      <x:c r="E275" s="109" t="n">
        <x:f>IFERROR(VLOOKUP($A275,'Mike FLEX'!$A$6:$N$278,5,FALSE),"")</x:f>
        <x:v>253</x:v>
      </x:c>
      <x:c r="F275" s="110" t="n">
        <x:f>IFERROR(VLOOKUP($A275,'Mike FLEX'!$A$6:$N$278,6,FALSE),"")</x:f>
        <x:v>1.8</x:v>
      </x:c>
      <x:c r="G275" s="111" t="n">
        <x:f>IFERROR(VLOOKUP($A275,'Mike FLEX'!$A$6:$N$278,7,FALSE),"")</x:f>
        <x:v>0</x:v>
      </x:c>
      <x:c r="H275" s="111" t="n">
        <x:f>IFERROR(VLOOKUP($A275,'Mike FLEX'!$A$6:$N$278,8,FALSE),"")</x:f>
        <x:v>0</x:v>
      </x:c>
      <x:c r="I275" s="111" t="n">
        <x:f>IFERROR(VLOOKUP($A275,'Mike FLEX'!$A$6:$N$278,9,FALSE),"")</x:f>
        <x:v>0</x:v>
      </x:c>
      <x:c r="J275" s="111" t="n">
        <x:f>IFERROR(VLOOKUP($A275,'Mike FLEX'!$A$6:$N$278,10,FALSE),"")</x:f>
        <x:v>13</x:v>
      </x:c>
      <x:c r="K275" s="111" t="n">
        <x:f>IFERROR(VLOOKUP($A275,'Mike FLEX'!$A$6:$N$278,11,FALSE),"")</x:f>
        <x:v>128</x:v>
      </x:c>
      <x:c r="L275" s="111" t="n">
        <x:f>IFERROR(VLOOKUP($A275,'Mike FLEX'!$A$6:$N$278,12,FALSE),"")</x:f>
        <x:v>1</x:v>
      </x:c>
      <x:c r="M275" s="111" t="n">
        <x:f>IFERROR(VLOOKUP($A275,'Mike FLEX'!$A$6:$N$278,13,FALSE),"")</x:f>
        <x:v>0</x:v>
      </x:c>
      <x:c r="N275" s="109" t="str">
        <x:f>IFERROR(VLOOKUP($A275,'Andy FLEX'!$A$6:$N$278,5,FALSE),"")</x:f>
      </x:c>
      <x:c r="O275" s="110" t="str">
        <x:f>IFERROR(VLOOKUP($A275,'Andy FLEX'!$A$6:$N$278,6,FALSE),"")</x:f>
      </x:c>
      <x:c r="P275" s="111" t="str">
        <x:f>IFERROR(VLOOKUP($A275,'Andy FLEX'!$A$6:$N$278,7,FALSE),"")</x:f>
      </x:c>
      <x:c r="Q275" s="111" t="str">
        <x:f>IFERROR(VLOOKUP($A275,'Andy FLEX'!$A$6:$N$278,8,FALSE),"")</x:f>
      </x:c>
      <x:c r="R275" s="111" t="str">
        <x:f>IFERROR(VLOOKUP($A275,'Andy FLEX'!$A$6:$N$278,9,FALSE),"")</x:f>
      </x:c>
      <x:c r="S275" s="111" t="str">
        <x:f>IFERROR(VLOOKUP($A275,'Andy FLEX'!$A$6:$N$278,10,FALSE),"")</x:f>
      </x:c>
      <x:c r="T275" s="111" t="str">
        <x:f>IFERROR(VLOOKUP($A275,'Andy FLEX'!$A$6:$N$278,11,FALSE),"")</x:f>
      </x:c>
      <x:c r="U275" s="111" t="str">
        <x:f>IFERROR(VLOOKUP($A275,'Andy FLEX'!$A$6:$N$278,12,FALSE),"")</x:f>
      </x:c>
      <x:c r="V275" s="111" t="str">
        <x:f>IFERROR(VLOOKUP($A275,'Andy FLEX'!$A$6:$N$278,13,FALSE),"")</x:f>
      </x:c>
      <x:c r="W275" s="109" t="n">
        <x:f>IFERROR(VLOOKUP($A275,'Jason FLEX'!$A$6:$N$268,5,FALSE),"")</x:f>
        <x:v>263</x:v>
      </x:c>
      <x:c r="X275" s="110" t="n">
        <x:f>IFERROR(VLOOKUP($A275,'Jason FLEX'!$A$6:$N$268,6,FALSE),"")</x:f>
        <x:v>0</x:v>
      </x:c>
      <x:c r="Y275" s="111" t="n">
        <x:f>IFERROR(VLOOKUP($A275,'Jason FLEX'!$A$6:$N$268,7,FALSE),"")</x:f>
        <x:v>0</x:v>
      </x:c>
      <x:c r="Z275" s="111" t="n">
        <x:f>IFERROR(VLOOKUP($A275,'Jason FLEX'!$A$6:$N$268,8,FALSE),"")</x:f>
        <x:v>0</x:v>
      </x:c>
      <x:c r="AA275" s="111" t="n">
        <x:f>IFERROR(VLOOKUP($A275,'Jason FLEX'!$A$6:$N$268,9,FALSE),"")</x:f>
        <x:v>0</x:v>
      </x:c>
      <x:c r="AB275" s="111" t="n">
        <x:f>IFERROR(VLOOKUP($A275,'Jason FLEX'!$A$6:$N$268,10,FALSE),"")</x:f>
        <x:v>0</x:v>
      </x:c>
      <x:c r="AC275" s="111" t="n">
        <x:f>IFERROR(VLOOKUP($A275,'Jason FLEX'!$A$6:$N$268,11,FALSE),"")</x:f>
        <x:v>0</x:v>
      </x:c>
      <x:c r="AD275" s="111" t="n">
        <x:f>IFERROR(VLOOKUP($A275,'Jason FLEX'!$A$6:$N$268,12,FALSE),"")</x:f>
        <x:v>0</x:v>
      </x:c>
      <x:c r="AE275" s="111" t="n">
        <x:f>IFERROR(VLOOKUP($A275,'Jason FLEX'!$A$6:$N$268,13,FALSE),"")</x:f>
        <x:v>0</x:v>
      </x:c>
      <x:c r="AF275" s="110" t="n">
        <x:f>IF(COUNT(E275,N275,W275)=0,"",AVERAGE(E275,N275,W275))</x:f>
        <x:v>258</x:v>
      </x:c>
      <x:c r="AG275" s="110" t="n">
        <x:f>IF(COUNT(E275,N275,W275)=0,"",MAX(E275,N275,W275)-MIN(E275,N275,W275))</x:f>
        <x:v>10</x:v>
      </x:c>
      <x:c r="AH275" s="110" t="n">
        <x:f>IF(COUNT(F275,O275,X275)=0,"",AVERAGE(F275,O275,X275))</x:f>
        <x:v>0.9</x:v>
      </x:c>
      <x:c r="AI275" s="112" t="n">
        <x:f>IF(COUNT(G275,P275,Y275)=0,"",AVERAGE(G275,P275,Y275))</x:f>
        <x:v>0</x:v>
      </x:c>
      <x:c r="AJ275" s="112" t="n">
        <x:f>IF(COUNT(H275,Q275,Z275)=0,"",AVERAGE(H275,Q275,Z275))</x:f>
        <x:v>0</x:v>
      </x:c>
      <x:c r="AK275" s="112" t="n">
        <x:f>IF(COUNT(I275,R275,AA275)=0,"",AVERAGE(I275,R275,AA275))</x:f>
        <x:v>0</x:v>
      </x:c>
      <x:c r="AL275" s="112" t="n">
        <x:f>IF(COUNT(J275,S275,AB275)=0,"",AVERAGE(J275,S275,AB275))</x:f>
        <x:v>6.5</x:v>
      </x:c>
      <x:c r="AM275" s="112" t="n">
        <x:f>IF(COUNT(K275,T275,AC275)=0,"",AVERAGE(K275,T275,AC275))</x:f>
        <x:v>64</x:v>
      </x:c>
      <x:c r="AN275" s="112" t="n">
        <x:f>IF(COUNT(L275,U275,AD275)=0,"",AVERAGE(L275,U275,AD275))</x:f>
        <x:v>0.5</x:v>
      </x:c>
      <x:c r="AO275" s="112" t="n">
        <x:f>IF(COUNT(M275,V275,AE275)=0,"",AVERAGE(M275,V275,AE275))</x:f>
        <x:v>0</x:v>
      </x:c>
    </x:row>
    <x:row r="276">
      <x:c r="A276" s="107" t="str">
        <x:v>Adam Randall</x:v>
      </x:c>
      <x:c r="B276" s="108" t="str">
        <x:v>RB</x:v>
      </x:c>
      <x:c r="C276" s="108" t="str">
        <x:v>BAL</x:v>
      </x:c>
      <x:c r="D276" s="109" t="n">
        <x:v>13</x:v>
      </x:c>
      <x:c r="E276" s="109" t="n">
        <x:f>IFERROR(VLOOKUP($A276,'Mike FLEX'!$A$6:$N$278,5,FALSE),"")</x:f>
        <x:v>270</x:v>
      </x:c>
      <x:c r="F276" s="110" t="n">
        <x:f>IFERROR(VLOOKUP($A276,'Mike FLEX'!$A$6:$N$278,6,FALSE),"")</x:f>
        <x:v>0.5</x:v>
      </x:c>
      <x:c r="G276" s="111" t="n">
        <x:f>IFERROR(VLOOKUP($A276,'Mike FLEX'!$A$6:$N$278,7,FALSE),"")</x:f>
        <x:v>4</x:v>
      </x:c>
      <x:c r="H276" s="111" t="n">
        <x:f>IFERROR(VLOOKUP($A276,'Mike FLEX'!$A$6:$N$278,8,FALSE),"")</x:f>
        <x:v>17</x:v>
      </x:c>
      <x:c r="I276" s="111" t="n">
        <x:f>IFERROR(VLOOKUP($A276,'Mike FLEX'!$A$6:$N$278,9,FALSE),"")</x:f>
        <x:v>0</x:v>
      </x:c>
      <x:c r="J276" s="111" t="n">
        <x:f>IFERROR(VLOOKUP($A276,'Mike FLEX'!$A$6:$N$278,10,FALSE),"")</x:f>
        <x:v>3</x:v>
      </x:c>
      <x:c r="K276" s="111" t="n">
        <x:f>IFERROR(VLOOKUP($A276,'Mike FLEX'!$A$6:$N$278,11,FALSE),"")</x:f>
        <x:v>24</x:v>
      </x:c>
      <x:c r="L276" s="111" t="n">
        <x:f>IFERROR(VLOOKUP($A276,'Mike FLEX'!$A$6:$N$278,12,FALSE),"")</x:f>
        <x:v>0</x:v>
      </x:c>
      <x:c r="M276" s="111" t="n">
        <x:f>IFERROR(VLOOKUP($A276,'Mike FLEX'!$A$6:$N$278,13,FALSE),"")</x:f>
        <x:v>0</x:v>
      </x:c>
      <x:c r="N276" s="109" t="n">
        <x:f>IFERROR(VLOOKUP($A276,'Andy FLEX'!$A$6:$N$278,5,FALSE),"")</x:f>
        <x:v>257</x:v>
      </x:c>
      <x:c r="O276" s="110" t="n">
        <x:f>IFERROR(VLOOKUP($A276,'Andy FLEX'!$A$6:$N$278,6,FALSE),"")</x:f>
        <x:v>2.9</x:v>
      </x:c>
      <x:c r="P276" s="111" t="n">
        <x:f>IFERROR(VLOOKUP($A276,'Andy FLEX'!$A$6:$N$278,7,FALSE),"")</x:f>
        <x:v>60</x:v>
      </x:c>
      <x:c r="Q276" s="111" t="n">
        <x:f>IFERROR(VLOOKUP($A276,'Andy FLEX'!$A$6:$N$278,8,FALSE),"")</x:f>
        <x:v>225</x:v>
      </x:c>
      <x:c r="R276" s="111" t="n">
        <x:f>IFERROR(VLOOKUP($A276,'Andy FLEX'!$A$6:$N$278,9,FALSE),"")</x:f>
        <x:v>1</x:v>
      </x:c>
      <x:c r="S276" s="111" t="n">
        <x:f>IFERROR(VLOOKUP($A276,'Andy FLEX'!$A$6:$N$278,10,FALSE),"")</x:f>
        <x:v>10</x:v>
      </x:c>
      <x:c r="T276" s="111" t="n">
        <x:f>IFERROR(VLOOKUP($A276,'Andy FLEX'!$A$6:$N$278,11,FALSE),"")</x:f>
        <x:v>76</x:v>
      </x:c>
      <x:c r="U276" s="111" t="n">
        <x:f>IFERROR(VLOOKUP($A276,'Andy FLEX'!$A$6:$N$278,12,FALSE),"")</x:f>
        <x:v>0</x:v>
      </x:c>
      <x:c r="V276" s="111" t="n">
        <x:f>IFERROR(VLOOKUP($A276,'Andy FLEX'!$A$6:$N$278,13,FALSE),"")</x:f>
        <x:v>0</x:v>
      </x:c>
      <x:c r="W276" s="109" t="n">
        <x:f>IFERROR(VLOOKUP($A276,'Jason FLEX'!$A$6:$N$268,5,FALSE),"")</x:f>
        <x:v>248</x:v>
      </x:c>
      <x:c r="X276" s="110" t="n">
        <x:f>IFERROR(VLOOKUP($A276,'Jason FLEX'!$A$6:$N$268,6,FALSE),"")</x:f>
        <x:v>2.2</x:v>
      </x:c>
      <x:c r="Y276" s="111" t="n">
        <x:f>IFERROR(VLOOKUP($A276,'Jason FLEX'!$A$6:$N$268,7,FALSE),"")</x:f>
        <x:v>44</x:v>
      </x:c>
      <x:c r="Z276" s="111" t="n">
        <x:f>IFERROR(VLOOKUP($A276,'Jason FLEX'!$A$6:$N$268,8,FALSE),"")</x:f>
        <x:v>202</x:v>
      </x:c>
      <x:c r="AA276" s="111" t="n">
        <x:f>IFERROR(VLOOKUP($A276,'Jason FLEX'!$A$6:$N$268,9,FALSE),"")</x:f>
        <x:v>1</x:v>
      </x:c>
      <x:c r="AB276" s="111" t="n">
        <x:f>IFERROR(VLOOKUP($A276,'Jason FLEX'!$A$6:$N$268,10,FALSE),"")</x:f>
        <x:v>5</x:v>
      </x:c>
      <x:c r="AC276" s="111" t="n">
        <x:f>IFERROR(VLOOKUP($A276,'Jason FLEX'!$A$6:$N$268,11,FALSE),"")</x:f>
        <x:v>32</x:v>
      </x:c>
      <x:c r="AD276" s="111" t="n">
        <x:f>IFERROR(VLOOKUP($A276,'Jason FLEX'!$A$6:$N$268,12,FALSE),"")</x:f>
        <x:v>0</x:v>
      </x:c>
      <x:c r="AE276" s="111" t="n">
        <x:f>IFERROR(VLOOKUP($A276,'Jason FLEX'!$A$6:$N$268,13,FALSE),"")</x:f>
        <x:v>0</x:v>
      </x:c>
      <x:c r="AF276" s="110" t="n">
        <x:f>IF(COUNT(E276,N276,W276)=0,"",AVERAGE(E276,N276,W276))</x:f>
        <x:v>258.3333333333333</x:v>
      </x:c>
      <x:c r="AG276" s="110" t="n">
        <x:f>IF(COUNT(E276,N276,W276)=0,"",MAX(E276,N276,W276)-MIN(E276,N276,W276))</x:f>
        <x:v>22</x:v>
      </x:c>
      <x:c r="AH276" s="110" t="n">
        <x:f>IF(COUNT(F276,O276,X276)=0,"",AVERAGE(F276,O276,X276))</x:f>
        <x:v>1.8666666666666665</x:v>
      </x:c>
      <x:c r="AI276" s="112" t="n">
        <x:f>IF(COUNT(G276,P276,Y276)=0,"",AVERAGE(G276,P276,Y276))</x:f>
        <x:v>36</x:v>
      </x:c>
      <x:c r="AJ276" s="112" t="n">
        <x:f>IF(COUNT(H276,Q276,Z276)=0,"",AVERAGE(H276,Q276,Z276))</x:f>
        <x:v>148</x:v>
      </x:c>
      <x:c r="AK276" s="112" t="n">
        <x:f>IF(COUNT(I276,R276,AA276)=0,"",AVERAGE(I276,R276,AA276))</x:f>
        <x:v>0.6666666666666666</x:v>
      </x:c>
      <x:c r="AL276" s="112" t="n">
        <x:f>IF(COUNT(J276,S276,AB276)=0,"",AVERAGE(J276,S276,AB276))</x:f>
        <x:v>6</x:v>
      </x:c>
      <x:c r="AM276" s="112" t="n">
        <x:f>IF(COUNT(K276,T276,AC276)=0,"",AVERAGE(K276,T276,AC276))</x:f>
        <x:v>44</x:v>
      </x:c>
      <x:c r="AN276" s="112" t="n">
        <x:f>IF(COUNT(L276,U276,AD276)=0,"",AVERAGE(L276,U276,AD276))</x:f>
        <x:v>0</x:v>
      </x:c>
      <x:c r="AO276" s="112" t="n">
        <x:f>IF(COUNT(M276,V276,AE276)=0,"",AVERAGE(M276,V276,AE276))</x:f>
        <x:v>0</x:v>
      </x:c>
    </x:row>
    <x:row r="277">
      <x:c r="A277" s="107" t="str">
        <x:v>Kendrick Law</x:v>
      </x:c>
      <x:c r="B277" s="108" t="str">
        <x:v>WR</x:v>
      </x:c>
      <x:c r="C277" s="108" t="str">
        <x:v>DET</x:v>
      </x:c>
      <x:c r="D277" s="109" t="n">
        <x:v>6</x:v>
      </x:c>
      <x:c r="E277" s="109" t="str">
        <x:f>IFERROR(VLOOKUP($A277,'Mike FLEX'!$A$6:$N$278,5,FALSE),"")</x:f>
      </x:c>
      <x:c r="F277" s="110" t="str">
        <x:f>IFERROR(VLOOKUP($A277,'Mike FLEX'!$A$6:$N$278,6,FALSE),"")</x:f>
      </x:c>
      <x:c r="G277" s="111" t="str">
        <x:f>IFERROR(VLOOKUP($A277,'Mike FLEX'!$A$6:$N$278,7,FALSE),"")</x:f>
      </x:c>
      <x:c r="H277" s="111" t="str">
        <x:f>IFERROR(VLOOKUP($A277,'Mike FLEX'!$A$6:$N$278,8,FALSE),"")</x:f>
      </x:c>
      <x:c r="I277" s="111" t="str">
        <x:f>IFERROR(VLOOKUP($A277,'Mike FLEX'!$A$6:$N$278,9,FALSE),"")</x:f>
      </x:c>
      <x:c r="J277" s="111" t="str">
        <x:f>IFERROR(VLOOKUP($A277,'Mike FLEX'!$A$6:$N$278,10,FALSE),"")</x:f>
      </x:c>
      <x:c r="K277" s="111" t="str">
        <x:f>IFERROR(VLOOKUP($A277,'Mike FLEX'!$A$6:$N$278,11,FALSE),"")</x:f>
      </x:c>
      <x:c r="L277" s="111" t="str">
        <x:f>IFERROR(VLOOKUP($A277,'Mike FLEX'!$A$6:$N$278,12,FALSE),"")</x:f>
      </x:c>
      <x:c r="M277" s="111" t="str">
        <x:f>IFERROR(VLOOKUP($A277,'Mike FLEX'!$A$6:$N$278,13,FALSE),"")</x:f>
      </x:c>
      <x:c r="N277" s="109" t="str">
        <x:f>IFERROR(VLOOKUP($A277,'Andy FLEX'!$A$6:$N$278,5,FALSE),"")</x:f>
      </x:c>
      <x:c r="O277" s="110" t="str">
        <x:f>IFERROR(VLOOKUP($A277,'Andy FLEX'!$A$6:$N$278,6,FALSE),"")</x:f>
      </x:c>
      <x:c r="P277" s="111" t="str">
        <x:f>IFERROR(VLOOKUP($A277,'Andy FLEX'!$A$6:$N$278,7,FALSE),"")</x:f>
      </x:c>
      <x:c r="Q277" s="111" t="str">
        <x:f>IFERROR(VLOOKUP($A277,'Andy FLEX'!$A$6:$N$278,8,FALSE),"")</x:f>
      </x:c>
      <x:c r="R277" s="111" t="str">
        <x:f>IFERROR(VLOOKUP($A277,'Andy FLEX'!$A$6:$N$278,9,FALSE),"")</x:f>
      </x:c>
      <x:c r="S277" s="111" t="str">
        <x:f>IFERROR(VLOOKUP($A277,'Andy FLEX'!$A$6:$N$278,10,FALSE),"")</x:f>
      </x:c>
      <x:c r="T277" s="111" t="str">
        <x:f>IFERROR(VLOOKUP($A277,'Andy FLEX'!$A$6:$N$278,11,FALSE),"")</x:f>
      </x:c>
      <x:c r="U277" s="111" t="str">
        <x:f>IFERROR(VLOOKUP($A277,'Andy FLEX'!$A$6:$N$278,12,FALSE),"")</x:f>
      </x:c>
      <x:c r="V277" s="111" t="str">
        <x:f>IFERROR(VLOOKUP($A277,'Andy FLEX'!$A$6:$N$278,13,FALSE),"")</x:f>
      </x:c>
      <x:c r="W277" s="109" t="n">
        <x:f>IFERROR(VLOOKUP($A277,'Jason FLEX'!$A$6:$N$268,5,FALSE),"")</x:f>
        <x:v>259</x:v>
      </x:c>
      <x:c r="X277" s="110" t="n">
        <x:f>IFERROR(VLOOKUP($A277,'Jason FLEX'!$A$6:$N$268,6,FALSE),"")</x:f>
        <x:v>1</x:v>
      </x:c>
      <x:c r="Y277" s="111" t="n">
        <x:f>IFERROR(VLOOKUP($A277,'Jason FLEX'!$A$6:$N$268,7,FALSE),"")</x:f>
        <x:v>0</x:v>
      </x:c>
      <x:c r="Z277" s="111" t="n">
        <x:f>IFERROR(VLOOKUP($A277,'Jason FLEX'!$A$6:$N$268,8,FALSE),"")</x:f>
        <x:v>0</x:v>
      </x:c>
      <x:c r="AA277" s="111" t="n">
        <x:f>IFERROR(VLOOKUP($A277,'Jason FLEX'!$A$6:$N$268,9,FALSE),"")</x:f>
        <x:v>0</x:v>
      </x:c>
      <x:c r="AB277" s="111" t="n">
        <x:f>IFERROR(VLOOKUP($A277,'Jason FLEX'!$A$6:$N$268,10,FALSE),"")</x:f>
        <x:v>7</x:v>
      </x:c>
      <x:c r="AC277" s="111" t="n">
        <x:f>IFERROR(VLOOKUP($A277,'Jason FLEX'!$A$6:$N$268,11,FALSE),"")</x:f>
        <x:v>75</x:v>
      </x:c>
      <x:c r="AD277" s="111" t="n">
        <x:f>IFERROR(VLOOKUP($A277,'Jason FLEX'!$A$6:$N$268,12,FALSE),"")</x:f>
        <x:v>1</x:v>
      </x:c>
      <x:c r="AE277" s="111" t="n">
        <x:f>IFERROR(VLOOKUP($A277,'Jason FLEX'!$A$6:$N$268,13,FALSE),"")</x:f>
        <x:v>0</x:v>
      </x:c>
      <x:c r="AF277" s="110" t="n">
        <x:f>IF(COUNT(E277,N277,W277)=0,"",AVERAGE(E277,N277,W277))</x:f>
        <x:v>259</x:v>
      </x:c>
      <x:c r="AG277" s="110" t="n">
        <x:f>IF(COUNT(E277,N277,W277)=0,"",MAX(E277,N277,W277)-MIN(E277,N277,W277))</x:f>
        <x:v>0</x:v>
      </x:c>
      <x:c r="AH277" s="110" t="n">
        <x:f>IF(COUNT(F277,O277,X277)=0,"",AVERAGE(F277,O277,X277))</x:f>
        <x:v>1</x:v>
      </x:c>
      <x:c r="AI277" s="112" t="n">
        <x:f>IF(COUNT(G277,P277,Y277)=0,"",AVERAGE(G277,P277,Y277))</x:f>
        <x:v>0</x:v>
      </x:c>
      <x:c r="AJ277" s="112" t="n">
        <x:f>IF(COUNT(H277,Q277,Z277)=0,"",AVERAGE(H277,Q277,Z277))</x:f>
        <x:v>0</x:v>
      </x:c>
      <x:c r="AK277" s="112" t="n">
        <x:f>IF(COUNT(I277,R277,AA277)=0,"",AVERAGE(I277,R277,AA277))</x:f>
        <x:v>0</x:v>
      </x:c>
      <x:c r="AL277" s="112" t="n">
        <x:f>IF(COUNT(J277,S277,AB277)=0,"",AVERAGE(J277,S277,AB277))</x:f>
        <x:v>7</x:v>
      </x:c>
      <x:c r="AM277" s="112" t="n">
        <x:f>IF(COUNT(K277,T277,AC277)=0,"",AVERAGE(K277,T277,AC277))</x:f>
        <x:v>75</x:v>
      </x:c>
      <x:c r="AN277" s="112" t="n">
        <x:f>IF(COUNT(L277,U277,AD277)=0,"",AVERAGE(L277,U277,AD277))</x:f>
        <x:v>1</x:v>
      </x:c>
      <x:c r="AO277" s="112" t="n">
        <x:f>IF(COUNT(M277,V277,AE277)=0,"",AVERAGE(M277,V277,AE277))</x:f>
        <x:v>0</x:v>
      </x:c>
    </x:row>
    <x:row r="278">
      <x:c r="A278" s="107" t="str">
        <x:v>Zavion Thomas</x:v>
      </x:c>
      <x:c r="B278" s="108" t="str">
        <x:v>WR</x:v>
      </x:c>
      <x:c r="C278" s="108" t="str">
        <x:v>CHI</x:v>
      </x:c>
      <x:c r="D278" s="109" t="n">
        <x:v>10</x:v>
      </x:c>
      <x:c r="E278" s="109" t="str">
        <x:f>IFERROR(VLOOKUP($A278,'Mike FLEX'!$A$6:$N$278,5,FALSE),"")</x:f>
      </x:c>
      <x:c r="F278" s="110" t="str">
        <x:f>IFERROR(VLOOKUP($A278,'Mike FLEX'!$A$6:$N$278,6,FALSE),"")</x:f>
      </x:c>
      <x:c r="G278" s="111" t="str">
        <x:f>IFERROR(VLOOKUP($A278,'Mike FLEX'!$A$6:$N$278,7,FALSE),"")</x:f>
      </x:c>
      <x:c r="H278" s="111" t="str">
        <x:f>IFERROR(VLOOKUP($A278,'Mike FLEX'!$A$6:$N$278,8,FALSE),"")</x:f>
      </x:c>
      <x:c r="I278" s="111" t="str">
        <x:f>IFERROR(VLOOKUP($A278,'Mike FLEX'!$A$6:$N$278,9,FALSE),"")</x:f>
      </x:c>
      <x:c r="J278" s="111" t="str">
        <x:f>IFERROR(VLOOKUP($A278,'Mike FLEX'!$A$6:$N$278,10,FALSE),"")</x:f>
      </x:c>
      <x:c r="K278" s="111" t="str">
        <x:f>IFERROR(VLOOKUP($A278,'Mike FLEX'!$A$6:$N$278,11,FALSE),"")</x:f>
      </x:c>
      <x:c r="L278" s="111" t="str">
        <x:f>IFERROR(VLOOKUP($A278,'Mike FLEX'!$A$6:$N$278,12,FALSE),"")</x:f>
      </x:c>
      <x:c r="M278" s="111" t="str">
        <x:f>IFERROR(VLOOKUP($A278,'Mike FLEX'!$A$6:$N$278,13,FALSE),"")</x:f>
      </x:c>
      <x:c r="N278" s="109" t="n">
        <x:f>IFERROR(VLOOKUP($A278,'Andy FLEX'!$A$6:$N$278,5,FALSE),"")</x:f>
        <x:v>266</x:v>
      </x:c>
      <x:c r="O278" s="110" t="n">
        <x:f>IFERROR(VLOOKUP($A278,'Andy FLEX'!$A$6:$N$278,6,FALSE),"")</x:f>
        <x:v>2.2</x:v>
      </x:c>
      <x:c r="P278" s="111" t="n">
        <x:f>IFERROR(VLOOKUP($A278,'Andy FLEX'!$A$6:$N$278,7,FALSE),"")</x:f>
        <x:v>0</x:v>
      </x:c>
      <x:c r="Q278" s="111" t="n">
        <x:f>IFERROR(VLOOKUP($A278,'Andy FLEX'!$A$6:$N$278,8,FALSE),"")</x:f>
        <x:v>0</x:v>
      </x:c>
      <x:c r="R278" s="111" t="n">
        <x:f>IFERROR(VLOOKUP($A278,'Andy FLEX'!$A$6:$N$278,9,FALSE),"")</x:f>
        <x:v>0</x:v>
      </x:c>
      <x:c r="S278" s="111" t="n">
        <x:f>IFERROR(VLOOKUP($A278,'Andy FLEX'!$A$6:$N$278,10,FALSE),"")</x:f>
        <x:v>14</x:v>
      </x:c>
      <x:c r="T278" s="111" t="n">
        <x:f>IFERROR(VLOOKUP($A278,'Andy FLEX'!$A$6:$N$278,11,FALSE),"")</x:f>
        <x:v>174</x:v>
      </x:c>
      <x:c r="U278" s="111" t="n">
        <x:f>IFERROR(VLOOKUP($A278,'Andy FLEX'!$A$6:$N$278,12,FALSE),"")</x:f>
        <x:v>1</x:v>
      </x:c>
      <x:c r="V278" s="111" t="n">
        <x:f>IFERROR(VLOOKUP($A278,'Andy FLEX'!$A$6:$N$278,13,FALSE),"")</x:f>
        <x:v>0</x:v>
      </x:c>
      <x:c r="W278" s="109" t="n">
        <x:f>IFERROR(VLOOKUP($A278,'Jason FLEX'!$A$6:$N$268,5,FALSE),"")</x:f>
        <x:v>252</x:v>
      </x:c>
      <x:c r="X278" s="110" t="n">
        <x:f>IFERROR(VLOOKUP($A278,'Jason FLEX'!$A$6:$N$268,6,FALSE),"")</x:f>
        <x:v>1.7</x:v>
      </x:c>
      <x:c r="Y278" s="111" t="n">
        <x:f>IFERROR(VLOOKUP($A278,'Jason FLEX'!$A$6:$N$268,7,FALSE),"")</x:f>
        <x:v>4</x:v>
      </x:c>
      <x:c r="Z278" s="111" t="n">
        <x:f>IFERROR(VLOOKUP($A278,'Jason FLEX'!$A$6:$N$268,8,FALSE),"")</x:f>
        <x:v>28</x:v>
      </x:c>
      <x:c r="AA278" s="111" t="n">
        <x:f>IFERROR(VLOOKUP($A278,'Jason FLEX'!$A$6:$N$268,9,FALSE),"")</x:f>
        <x:v>0</x:v>
      </x:c>
      <x:c r="AB278" s="111" t="n">
        <x:f>IFERROR(VLOOKUP($A278,'Jason FLEX'!$A$6:$N$268,10,FALSE),"")</x:f>
        <x:v>10</x:v>
      </x:c>
      <x:c r="AC278" s="111" t="n">
        <x:f>IFERROR(VLOOKUP($A278,'Jason FLEX'!$A$6:$N$268,11,FALSE),"")</x:f>
        <x:v>125</x:v>
      </x:c>
      <x:c r="AD278" s="111" t="n">
        <x:f>IFERROR(VLOOKUP($A278,'Jason FLEX'!$A$6:$N$268,12,FALSE),"")</x:f>
        <x:v>1</x:v>
      </x:c>
      <x:c r="AE278" s="111" t="n">
        <x:f>IFERROR(VLOOKUP($A278,'Jason FLEX'!$A$6:$N$268,13,FALSE),"")</x:f>
        <x:v>0</x:v>
      </x:c>
      <x:c r="AF278" s="110" t="n">
        <x:f>IF(COUNT(E278,N278,W278)=0,"",AVERAGE(E278,N278,W278))</x:f>
        <x:v>259</x:v>
      </x:c>
      <x:c r="AG278" s="110" t="n">
        <x:f>IF(COUNT(E278,N278,W278)=0,"",MAX(E278,N278,W278)-MIN(E278,N278,W278))</x:f>
        <x:v>14</x:v>
      </x:c>
      <x:c r="AH278" s="110" t="n">
        <x:f>IF(COUNT(F278,O278,X278)=0,"",AVERAGE(F278,O278,X278))</x:f>
        <x:v>1.9500000000000002</x:v>
      </x:c>
      <x:c r="AI278" s="112" t="n">
        <x:f>IF(COUNT(G278,P278,Y278)=0,"",AVERAGE(G278,P278,Y278))</x:f>
        <x:v>2</x:v>
      </x:c>
      <x:c r="AJ278" s="112" t="n">
        <x:f>IF(COUNT(H278,Q278,Z278)=0,"",AVERAGE(H278,Q278,Z278))</x:f>
        <x:v>14</x:v>
      </x:c>
      <x:c r="AK278" s="112" t="n">
        <x:f>IF(COUNT(I278,R278,AA278)=0,"",AVERAGE(I278,R278,AA278))</x:f>
        <x:v>0</x:v>
      </x:c>
      <x:c r="AL278" s="112" t="n">
        <x:f>IF(COUNT(J278,S278,AB278)=0,"",AVERAGE(J278,S278,AB278))</x:f>
        <x:v>12</x:v>
      </x:c>
      <x:c r="AM278" s="112" t="n">
        <x:f>IF(COUNT(K278,T278,AC278)=0,"",AVERAGE(K278,T278,AC278))</x:f>
        <x:v>149.5</x:v>
      </x:c>
      <x:c r="AN278" s="112" t="n">
        <x:f>IF(COUNT(L278,U278,AD278)=0,"",AVERAGE(L278,U278,AD278))</x:f>
        <x:v>1</x:v>
      </x:c>
      <x:c r="AO278" s="112" t="n">
        <x:f>IF(COUNT(M278,V278,AE278)=0,"",AVERAGE(M278,V278,AE278))</x:f>
        <x:v>0</x:v>
      </x:c>
    </x:row>
    <x:row r="279">
      <x:c r="A279" s="107" t="str">
        <x:v>Nate Boerkircher</x:v>
      </x:c>
      <x:c r="B279" s="108" t="str">
        <x:v>TE</x:v>
      </x:c>
      <x:c r="C279" s="108" t="str">
        <x:v>JAX</x:v>
      </x:c>
      <x:c r="D279" s="109" t="n">
        <x:v>7</x:v>
      </x:c>
      <x:c r="E279" s="109" t="n">
        <x:f>IFERROR(VLOOKUP($A279,'Mike FLEX'!$A$6:$N$278,5,FALSE),"")</x:f>
        <x:v>260</x:v>
      </x:c>
      <x:c r="F279" s="110" t="n">
        <x:f>IFERROR(VLOOKUP($A279,'Mike FLEX'!$A$6:$N$278,6,FALSE),"")</x:f>
        <x:v>1.4</x:v>
      </x:c>
      <x:c r="G279" s="111" t="n">
        <x:f>IFERROR(VLOOKUP($A279,'Mike FLEX'!$A$6:$N$278,7,FALSE),"")</x:f>
        <x:v>0</x:v>
      </x:c>
      <x:c r="H279" s="111" t="n">
        <x:f>IFERROR(VLOOKUP($A279,'Mike FLEX'!$A$6:$N$278,8,FALSE),"")</x:f>
        <x:v>0</x:v>
      </x:c>
      <x:c r="I279" s="111" t="n">
        <x:f>IFERROR(VLOOKUP($A279,'Mike FLEX'!$A$6:$N$278,9,FALSE),"")</x:f>
        <x:v>0</x:v>
      </x:c>
      <x:c r="J279" s="111" t="n">
        <x:f>IFERROR(VLOOKUP($A279,'Mike FLEX'!$A$6:$N$278,10,FALSE),"")</x:f>
        <x:v>10</x:v>
      </x:c>
      <x:c r="K279" s="111" t="n">
        <x:f>IFERROR(VLOOKUP($A279,'Mike FLEX'!$A$6:$N$278,11,FALSE),"")</x:f>
        <x:v>99</x:v>
      </x:c>
      <x:c r="L279" s="111" t="n">
        <x:f>IFERROR(VLOOKUP($A279,'Mike FLEX'!$A$6:$N$278,12,FALSE),"")</x:f>
        <x:v>1</x:v>
      </x:c>
      <x:c r="M279" s="111" t="n">
        <x:f>IFERROR(VLOOKUP($A279,'Mike FLEX'!$A$6:$N$278,13,FALSE),"")</x:f>
        <x:v>0</x:v>
      </x:c>
      <x:c r="N279" s="109" t="str">
        <x:f>IFERROR(VLOOKUP($A279,'Andy FLEX'!$A$6:$N$278,5,FALSE),"")</x:f>
      </x:c>
      <x:c r="O279" s="110" t="str">
        <x:f>IFERROR(VLOOKUP($A279,'Andy FLEX'!$A$6:$N$278,6,FALSE),"")</x:f>
      </x:c>
      <x:c r="P279" s="111" t="str">
        <x:f>IFERROR(VLOOKUP($A279,'Andy FLEX'!$A$6:$N$278,7,FALSE),"")</x:f>
      </x:c>
      <x:c r="Q279" s="111" t="str">
        <x:f>IFERROR(VLOOKUP($A279,'Andy FLEX'!$A$6:$N$278,8,FALSE),"")</x:f>
      </x:c>
      <x:c r="R279" s="111" t="str">
        <x:f>IFERROR(VLOOKUP($A279,'Andy FLEX'!$A$6:$N$278,9,FALSE),"")</x:f>
      </x:c>
      <x:c r="S279" s="111" t="str">
        <x:f>IFERROR(VLOOKUP($A279,'Andy FLEX'!$A$6:$N$278,10,FALSE),"")</x:f>
      </x:c>
      <x:c r="T279" s="111" t="str">
        <x:f>IFERROR(VLOOKUP($A279,'Andy FLEX'!$A$6:$N$278,11,FALSE),"")</x:f>
      </x:c>
      <x:c r="U279" s="111" t="str">
        <x:f>IFERROR(VLOOKUP($A279,'Andy FLEX'!$A$6:$N$278,12,FALSE),"")</x:f>
      </x:c>
      <x:c r="V279" s="111" t="str">
        <x:f>IFERROR(VLOOKUP($A279,'Andy FLEX'!$A$6:$N$278,13,FALSE),"")</x:f>
      </x:c>
      <x:c r="W279" s="109" t="str">
        <x:f>IFERROR(VLOOKUP($A279,'Jason FLEX'!$A$6:$N$268,5,FALSE),"")</x:f>
      </x:c>
      <x:c r="X279" s="110" t="str">
        <x:f>IFERROR(VLOOKUP($A279,'Jason FLEX'!$A$6:$N$268,6,FALSE),"")</x:f>
      </x:c>
      <x:c r="Y279" s="111" t="str">
        <x:f>IFERROR(VLOOKUP($A279,'Jason FLEX'!$A$6:$N$268,7,FALSE),"")</x:f>
      </x:c>
      <x:c r="Z279" s="111" t="str">
        <x:f>IFERROR(VLOOKUP($A279,'Jason FLEX'!$A$6:$N$268,8,FALSE),"")</x:f>
      </x:c>
      <x:c r="AA279" s="111" t="str">
        <x:f>IFERROR(VLOOKUP($A279,'Jason FLEX'!$A$6:$N$268,9,FALSE),"")</x:f>
      </x:c>
      <x:c r="AB279" s="111" t="str">
        <x:f>IFERROR(VLOOKUP($A279,'Jason FLEX'!$A$6:$N$268,10,FALSE),"")</x:f>
      </x:c>
      <x:c r="AC279" s="111" t="str">
        <x:f>IFERROR(VLOOKUP($A279,'Jason FLEX'!$A$6:$N$268,11,FALSE),"")</x:f>
      </x:c>
      <x:c r="AD279" s="111" t="str">
        <x:f>IFERROR(VLOOKUP($A279,'Jason FLEX'!$A$6:$N$268,12,FALSE),"")</x:f>
      </x:c>
      <x:c r="AE279" s="111" t="str">
        <x:f>IFERROR(VLOOKUP($A279,'Jason FLEX'!$A$6:$N$268,13,FALSE),"")</x:f>
      </x:c>
      <x:c r="AF279" s="110" t="n">
        <x:f>IF(COUNT(E279,N279,W279)=0,"",AVERAGE(E279,N279,W279))</x:f>
        <x:v>260</x:v>
      </x:c>
      <x:c r="AG279" s="110" t="n">
        <x:f>IF(COUNT(E279,N279,W279)=0,"",MAX(E279,N279,W279)-MIN(E279,N279,W279))</x:f>
        <x:v>0</x:v>
      </x:c>
      <x:c r="AH279" s="110" t="n">
        <x:f>IF(COUNT(F279,O279,X279)=0,"",AVERAGE(F279,O279,X279))</x:f>
        <x:v>1.4</x:v>
      </x:c>
      <x:c r="AI279" s="112" t="n">
        <x:f>IF(COUNT(G279,P279,Y279)=0,"",AVERAGE(G279,P279,Y279))</x:f>
        <x:v>0</x:v>
      </x:c>
      <x:c r="AJ279" s="112" t="n">
        <x:f>IF(COUNT(H279,Q279,Z279)=0,"",AVERAGE(H279,Q279,Z279))</x:f>
        <x:v>0</x:v>
      </x:c>
      <x:c r="AK279" s="112" t="n">
        <x:f>IF(COUNT(I279,R279,AA279)=0,"",AVERAGE(I279,R279,AA279))</x:f>
        <x:v>0</x:v>
      </x:c>
      <x:c r="AL279" s="112" t="n">
        <x:f>IF(COUNT(J279,S279,AB279)=0,"",AVERAGE(J279,S279,AB279))</x:f>
        <x:v>10</x:v>
      </x:c>
      <x:c r="AM279" s="112" t="n">
        <x:f>IF(COUNT(K279,T279,AC279)=0,"",AVERAGE(K279,T279,AC279))</x:f>
        <x:v>99</x:v>
      </x:c>
      <x:c r="AN279" s="112" t="n">
        <x:f>IF(COUNT(L279,U279,AD279)=0,"",AVERAGE(L279,U279,AD279))</x:f>
        <x:v>1</x:v>
      </x:c>
      <x:c r="AO279" s="112" t="n">
        <x:f>IF(COUNT(M279,V279,AE279)=0,"",AVERAGE(M279,V279,AE279))</x:f>
        <x:v>0</x:v>
      </x:c>
    </x:row>
    <x:row r="280">
      <x:c r="A280" s="107" t="str">
        <x:v>Oscar Delp</x:v>
      </x:c>
      <x:c r="B280" s="108" t="str">
        <x:v>TE</x:v>
      </x:c>
      <x:c r="C280" s="108" t="str">
        <x:v>NO</x:v>
      </x:c>
      <x:c r="D280" s="109" t="n">
        <x:v>8</x:v>
      </x:c>
      <x:c r="E280" s="109" t="str">
        <x:f>IFERROR(VLOOKUP($A280,'Mike FLEX'!$A$6:$N$278,5,FALSE),"")</x:f>
      </x:c>
      <x:c r="F280" s="110" t="str">
        <x:f>IFERROR(VLOOKUP($A280,'Mike FLEX'!$A$6:$N$278,6,FALSE),"")</x:f>
      </x:c>
      <x:c r="G280" s="111" t="str">
        <x:f>IFERROR(VLOOKUP($A280,'Mike FLEX'!$A$6:$N$278,7,FALSE),"")</x:f>
      </x:c>
      <x:c r="H280" s="111" t="str">
        <x:f>IFERROR(VLOOKUP($A280,'Mike FLEX'!$A$6:$N$278,8,FALSE),"")</x:f>
      </x:c>
      <x:c r="I280" s="111" t="str">
        <x:f>IFERROR(VLOOKUP($A280,'Mike FLEX'!$A$6:$N$278,9,FALSE),"")</x:f>
      </x:c>
      <x:c r="J280" s="111" t="str">
        <x:f>IFERROR(VLOOKUP($A280,'Mike FLEX'!$A$6:$N$278,10,FALSE),"")</x:f>
      </x:c>
      <x:c r="K280" s="111" t="str">
        <x:f>IFERROR(VLOOKUP($A280,'Mike FLEX'!$A$6:$N$278,11,FALSE),"")</x:f>
      </x:c>
      <x:c r="L280" s="111" t="str">
        <x:f>IFERROR(VLOOKUP($A280,'Mike FLEX'!$A$6:$N$278,12,FALSE),"")</x:f>
      </x:c>
      <x:c r="M280" s="111" t="str">
        <x:f>IFERROR(VLOOKUP($A280,'Mike FLEX'!$A$6:$N$278,13,FALSE),"")</x:f>
      </x:c>
      <x:c r="N280" s="109" t="str">
        <x:f>IFERROR(VLOOKUP($A280,'Andy FLEX'!$A$6:$N$278,5,FALSE),"")</x:f>
      </x:c>
      <x:c r="O280" s="110" t="str">
        <x:f>IFERROR(VLOOKUP($A280,'Andy FLEX'!$A$6:$N$278,6,FALSE),"")</x:f>
      </x:c>
      <x:c r="P280" s="111" t="str">
        <x:f>IFERROR(VLOOKUP($A280,'Andy FLEX'!$A$6:$N$278,7,FALSE),"")</x:f>
      </x:c>
      <x:c r="Q280" s="111" t="str">
        <x:f>IFERROR(VLOOKUP($A280,'Andy FLEX'!$A$6:$N$278,8,FALSE),"")</x:f>
      </x:c>
      <x:c r="R280" s="111" t="str">
        <x:f>IFERROR(VLOOKUP($A280,'Andy FLEX'!$A$6:$N$278,9,FALSE),"")</x:f>
      </x:c>
      <x:c r="S280" s="111" t="str">
        <x:f>IFERROR(VLOOKUP($A280,'Andy FLEX'!$A$6:$N$278,10,FALSE),"")</x:f>
      </x:c>
      <x:c r="T280" s="111" t="str">
        <x:f>IFERROR(VLOOKUP($A280,'Andy FLEX'!$A$6:$N$278,11,FALSE),"")</x:f>
      </x:c>
      <x:c r="U280" s="111" t="str">
        <x:f>IFERROR(VLOOKUP($A280,'Andy FLEX'!$A$6:$N$278,12,FALSE),"")</x:f>
      </x:c>
      <x:c r="V280" s="111" t="str">
        <x:f>IFERROR(VLOOKUP($A280,'Andy FLEX'!$A$6:$N$278,13,FALSE),"")</x:f>
      </x:c>
      <x:c r="W280" s="109" t="n">
        <x:f>IFERROR(VLOOKUP($A280,'Jason FLEX'!$A$6:$N$268,5,FALSE),"")</x:f>
        <x:v>260</x:v>
      </x:c>
      <x:c r="X280" s="110" t="n">
        <x:f>IFERROR(VLOOKUP($A280,'Jason FLEX'!$A$6:$N$268,6,FALSE),"")</x:f>
        <x:v>0.8</x:v>
      </x:c>
      <x:c r="Y280" s="111" t="n">
        <x:f>IFERROR(VLOOKUP($A280,'Jason FLEX'!$A$6:$N$268,7,FALSE),"")</x:f>
        <x:v>0</x:v>
      </x:c>
      <x:c r="Z280" s="111" t="n">
        <x:f>IFERROR(VLOOKUP($A280,'Jason FLEX'!$A$6:$N$268,8,FALSE),"")</x:f>
        <x:v>0</x:v>
      </x:c>
      <x:c r="AA280" s="111" t="n">
        <x:f>IFERROR(VLOOKUP($A280,'Jason FLEX'!$A$6:$N$268,9,FALSE),"")</x:f>
        <x:v>0</x:v>
      </x:c>
      <x:c r="AB280" s="111" t="n">
        <x:f>IFERROR(VLOOKUP($A280,'Jason FLEX'!$A$6:$N$268,10,FALSE),"")</x:f>
        <x:v>6</x:v>
      </x:c>
      <x:c r="AC280" s="111" t="n">
        <x:f>IFERROR(VLOOKUP($A280,'Jason FLEX'!$A$6:$N$268,11,FALSE),"")</x:f>
        <x:v>54</x:v>
      </x:c>
      <x:c r="AD280" s="111" t="n">
        <x:f>IFERROR(VLOOKUP($A280,'Jason FLEX'!$A$6:$N$268,12,FALSE),"")</x:f>
        <x:v>0</x:v>
      </x:c>
      <x:c r="AE280" s="111" t="n">
        <x:f>IFERROR(VLOOKUP($A280,'Jason FLEX'!$A$6:$N$268,13,FALSE),"")</x:f>
        <x:v>0</x:v>
      </x:c>
      <x:c r="AF280" s="110" t="n">
        <x:f>IF(COUNT(E280,N280,W280)=0,"",AVERAGE(E280,N280,W280))</x:f>
        <x:v>260</x:v>
      </x:c>
      <x:c r="AG280" s="110" t="n">
        <x:f>IF(COUNT(E280,N280,W280)=0,"",MAX(E280,N280,W280)-MIN(E280,N280,W280))</x:f>
        <x:v>0</x:v>
      </x:c>
      <x:c r="AH280" s="110" t="n">
        <x:f>IF(COUNT(F280,O280,X280)=0,"",AVERAGE(F280,O280,X280))</x:f>
        <x:v>0.8</x:v>
      </x:c>
      <x:c r="AI280" s="112" t="n">
        <x:f>IF(COUNT(G280,P280,Y280)=0,"",AVERAGE(G280,P280,Y280))</x:f>
        <x:v>0</x:v>
      </x:c>
      <x:c r="AJ280" s="112" t="n">
        <x:f>IF(COUNT(H280,Q280,Z280)=0,"",AVERAGE(H280,Q280,Z280))</x:f>
        <x:v>0</x:v>
      </x:c>
      <x:c r="AK280" s="112" t="n">
        <x:f>IF(COUNT(I280,R280,AA280)=0,"",AVERAGE(I280,R280,AA280))</x:f>
        <x:v>0</x:v>
      </x:c>
      <x:c r="AL280" s="112" t="n">
        <x:f>IF(COUNT(J280,S280,AB280)=0,"",AVERAGE(J280,S280,AB280))</x:f>
        <x:v>6</x:v>
      </x:c>
      <x:c r="AM280" s="112" t="n">
        <x:f>IF(COUNT(K280,T280,AC280)=0,"",AVERAGE(K280,T280,AC280))</x:f>
        <x:v>54</x:v>
      </x:c>
      <x:c r="AN280" s="112" t="n">
        <x:f>IF(COUNT(L280,U280,AD280)=0,"",AVERAGE(L280,U280,AD280))</x:f>
        <x:v>0</x:v>
      </x:c>
      <x:c r="AO280" s="112" t="n">
        <x:f>IF(COUNT(M280,V280,AE280)=0,"",AVERAGE(M280,V280,AE280))</x:f>
        <x:v>0</x:v>
      </x:c>
    </x:row>
    <x:row r="281">
      <x:c r="A281" s="107" t="str">
        <x:v>Tahj Brooks</x:v>
      </x:c>
      <x:c r="B281" s="108" t="str">
        <x:v>RB</x:v>
      </x:c>
      <x:c r="C281" s="108" t="str">
        <x:v>CIN</x:v>
      </x:c>
      <x:c r="D281" s="109" t="n">
        <x:v>6</x:v>
      </x:c>
      <x:c r="E281" s="109" t="n">
        <x:f>IFERROR(VLOOKUP($A281,'Mike FLEX'!$A$6:$N$278,5,FALSE),"")</x:f>
        <x:v>262</x:v>
      </x:c>
      <x:c r="F281" s="110" t="n">
        <x:f>IFERROR(VLOOKUP($A281,'Mike FLEX'!$A$6:$N$278,6,FALSE),"")</x:f>
        <x:v>1.4</x:v>
      </x:c>
      <x:c r="G281" s="111" t="n">
        <x:f>IFERROR(VLOOKUP($A281,'Mike FLEX'!$A$6:$N$278,7,FALSE),"")</x:f>
        <x:v>29</x:v>
      </x:c>
      <x:c r="H281" s="111" t="n">
        <x:f>IFERROR(VLOOKUP($A281,'Mike FLEX'!$A$6:$N$278,8,FALSE),"")</x:f>
        <x:v>82</x:v>
      </x:c>
      <x:c r="I281" s="111" t="n">
        <x:f>IFERROR(VLOOKUP($A281,'Mike FLEX'!$A$6:$N$278,9,FALSE),"")</x:f>
        <x:v>1</x:v>
      </x:c>
      <x:c r="J281" s="111" t="n">
        <x:f>IFERROR(VLOOKUP($A281,'Mike FLEX'!$A$6:$N$278,10,FALSE),"")</x:f>
        <x:v>6</x:v>
      </x:c>
      <x:c r="K281" s="111" t="n">
        <x:f>IFERROR(VLOOKUP($A281,'Mike FLEX'!$A$6:$N$278,11,FALSE),"")</x:f>
        <x:v>45</x:v>
      </x:c>
      <x:c r="L281" s="111" t="n">
        <x:f>IFERROR(VLOOKUP($A281,'Mike FLEX'!$A$6:$N$278,12,FALSE),"")</x:f>
        <x:v>0</x:v>
      </x:c>
      <x:c r="M281" s="111" t="n">
        <x:f>IFERROR(VLOOKUP($A281,'Mike FLEX'!$A$6:$N$278,13,FALSE),"")</x:f>
        <x:v>0</x:v>
      </x:c>
      <x:c r="N281" s="109" t="n">
        <x:f>IFERROR(VLOOKUP($A281,'Andy FLEX'!$A$6:$N$278,5,FALSE),"")</x:f>
        <x:v>273</x:v>
      </x:c>
      <x:c r="O281" s="110" t="n">
        <x:f>IFERROR(VLOOKUP($A281,'Andy FLEX'!$A$6:$N$278,6,FALSE),"")</x:f>
        <x:v>1.2</x:v>
      </x:c>
      <x:c r="P281" s="111" t="n">
        <x:f>IFERROR(VLOOKUP($A281,'Andy FLEX'!$A$6:$N$278,7,FALSE),"")</x:f>
        <x:v>32</x:v>
      </x:c>
      <x:c r="Q281" s="111" t="n">
        <x:f>IFERROR(VLOOKUP($A281,'Andy FLEX'!$A$6:$N$278,8,FALSE),"")</x:f>
        <x:v>116</x:v>
      </x:c>
      <x:c r="R281" s="111" t="n">
        <x:f>IFERROR(VLOOKUP($A281,'Andy FLEX'!$A$6:$N$278,9,FALSE),"")</x:f>
        <x:v>0</x:v>
      </x:c>
      <x:c r="S281" s="111" t="n">
        <x:f>IFERROR(VLOOKUP($A281,'Andy FLEX'!$A$6:$N$278,10,FALSE),"")</x:f>
        <x:v>4</x:v>
      </x:c>
      <x:c r="T281" s="111" t="n">
        <x:f>IFERROR(VLOOKUP($A281,'Andy FLEX'!$A$6:$N$278,11,FALSE),"")</x:f>
        <x:v>35</x:v>
      </x:c>
      <x:c r="U281" s="111" t="n">
        <x:f>IFERROR(VLOOKUP($A281,'Andy FLEX'!$A$6:$N$278,12,FALSE),"")</x:f>
        <x:v>0</x:v>
      </x:c>
      <x:c r="V281" s="111" t="n">
        <x:f>IFERROR(VLOOKUP($A281,'Andy FLEX'!$A$6:$N$278,13,FALSE),"")</x:f>
        <x:v>0</x:v>
      </x:c>
      <x:c r="W281" s="109" t="n">
        <x:f>IFERROR(VLOOKUP($A281,'Jason FLEX'!$A$6:$N$268,5,FALSE),"")</x:f>
        <x:v>250</x:v>
      </x:c>
      <x:c r="X281" s="110" t="n">
        <x:f>IFERROR(VLOOKUP($A281,'Jason FLEX'!$A$6:$N$268,6,FALSE),"")</x:f>
        <x:v>2.2</x:v>
      </x:c>
      <x:c r="Y281" s="111" t="n">
        <x:f>IFERROR(VLOOKUP($A281,'Jason FLEX'!$A$6:$N$268,7,FALSE),"")</x:f>
        <x:v>50</x:v>
      </x:c>
      <x:c r="Z281" s="111" t="n">
        <x:f>IFERROR(VLOOKUP($A281,'Jason FLEX'!$A$6:$N$268,8,FALSE),"")</x:f>
        <x:v>195</x:v>
      </x:c>
      <x:c r="AA281" s="111" t="n">
        <x:f>IFERROR(VLOOKUP($A281,'Jason FLEX'!$A$6:$N$268,9,FALSE),"")</x:f>
        <x:v>1</x:v>
      </x:c>
      <x:c r="AB281" s="111" t="n">
        <x:f>IFERROR(VLOOKUP($A281,'Jason FLEX'!$A$6:$N$268,10,FALSE),"")</x:f>
        <x:v>7</x:v>
      </x:c>
      <x:c r="AC281" s="111" t="n">
        <x:f>IFERROR(VLOOKUP($A281,'Jason FLEX'!$A$6:$N$268,11,FALSE),"")</x:f>
        <x:v>45</x:v>
      </x:c>
      <x:c r="AD281" s="111" t="n">
        <x:f>IFERROR(VLOOKUP($A281,'Jason FLEX'!$A$6:$N$268,12,FALSE),"")</x:f>
        <x:v>0</x:v>
      </x:c>
      <x:c r="AE281" s="111" t="n">
        <x:f>IFERROR(VLOOKUP($A281,'Jason FLEX'!$A$6:$N$268,13,FALSE),"")</x:f>
        <x:v>0</x:v>
      </x:c>
      <x:c r="AF281" s="110" t="n">
        <x:f>IF(COUNT(E281,N281,W281)=0,"",AVERAGE(E281,N281,W281))</x:f>
        <x:v>261.6666666666667</x:v>
      </x:c>
      <x:c r="AG281" s="110" t="n">
        <x:f>IF(COUNT(E281,N281,W281)=0,"",MAX(E281,N281,W281)-MIN(E281,N281,W281))</x:f>
        <x:v>23</x:v>
      </x:c>
      <x:c r="AH281" s="110" t="n">
        <x:f>IF(COUNT(F281,O281,X281)=0,"",AVERAGE(F281,O281,X281))</x:f>
        <x:v>1.5999999999999999</x:v>
      </x:c>
      <x:c r="AI281" s="112" t="n">
        <x:f>IF(COUNT(G281,P281,Y281)=0,"",AVERAGE(G281,P281,Y281))</x:f>
        <x:v>37</x:v>
      </x:c>
      <x:c r="AJ281" s="112" t="n">
        <x:f>IF(COUNT(H281,Q281,Z281)=0,"",AVERAGE(H281,Q281,Z281))</x:f>
        <x:v>131</x:v>
      </x:c>
      <x:c r="AK281" s="112" t="n">
        <x:f>IF(COUNT(I281,R281,AA281)=0,"",AVERAGE(I281,R281,AA281))</x:f>
        <x:v>0.6666666666666666</x:v>
      </x:c>
      <x:c r="AL281" s="112" t="n">
        <x:f>IF(COUNT(J281,S281,AB281)=0,"",AVERAGE(J281,S281,AB281))</x:f>
        <x:v>5.666666666666667</x:v>
      </x:c>
      <x:c r="AM281" s="112" t="n">
        <x:f>IF(COUNT(K281,T281,AC281)=0,"",AVERAGE(K281,T281,AC281))</x:f>
        <x:v>41.666666666666664</x:v>
      </x:c>
      <x:c r="AN281" s="112" t="n">
        <x:f>IF(COUNT(L281,U281,AD281)=0,"",AVERAGE(L281,U281,AD281))</x:f>
        <x:v>0</x:v>
      </x:c>
      <x:c r="AO281" s="112" t="n">
        <x:f>IF(COUNT(M281,V281,AE281)=0,"",AVERAGE(M281,V281,AE281))</x:f>
        <x:v>0</x:v>
      </x:c>
    </x:row>
    <x:row r="282">
      <x:c r="A282" s="107" t="str">
        <x:v>Jaydon Blue</x:v>
      </x:c>
      <x:c r="B282" s="108" t="str">
        <x:v>RB</x:v>
      </x:c>
      <x:c r="C282" s="108" t="str">
        <x:v>FA</x:v>
      </x:c>
      <x:c r="D282" s="109"/>
      <x:c r="E282" s="109" t="n">
        <x:f>IFERROR(VLOOKUP($A282,'Mike FLEX'!$A$6:$N$278,5,FALSE),"")</x:f>
        <x:v>268</x:v>
      </x:c>
      <x:c r="F282" s="110" t="n">
        <x:f>IFERROR(VLOOKUP($A282,'Mike FLEX'!$A$6:$N$278,6,FALSE),"")</x:f>
        <x:v>0.9</x:v>
      </x:c>
      <x:c r="G282" s="111" t="n">
        <x:f>IFERROR(VLOOKUP($A282,'Mike FLEX'!$A$6:$N$278,7,FALSE),"")</x:f>
        <x:v>35</x:v>
      </x:c>
      <x:c r="H282" s="111" t="n">
        <x:f>IFERROR(VLOOKUP($A282,'Mike FLEX'!$A$6:$N$278,8,FALSE),"")</x:f>
        <x:v>119</x:v>
      </x:c>
      <x:c r="I282" s="111" t="n">
        <x:f>IFERROR(VLOOKUP($A282,'Mike FLEX'!$A$6:$N$278,9,FALSE),"")</x:f>
        <x:v>1</x:v>
      </x:c>
      <x:c r="J282" s="111" t="n">
        <x:f>IFERROR(VLOOKUP($A282,'Mike FLEX'!$A$6:$N$278,10,FALSE),"")</x:f>
        <x:v>0</x:v>
      </x:c>
      <x:c r="K282" s="111" t="n">
        <x:f>IFERROR(VLOOKUP($A282,'Mike FLEX'!$A$6:$N$278,11,FALSE),"")</x:f>
        <x:v>0</x:v>
      </x:c>
      <x:c r="L282" s="111" t="n">
        <x:f>IFERROR(VLOOKUP($A282,'Mike FLEX'!$A$6:$N$278,12,FALSE),"")</x:f>
        <x:v>0</x:v>
      </x:c>
      <x:c r="M282" s="111" t="n">
        <x:f>IFERROR(VLOOKUP($A282,'Mike FLEX'!$A$6:$N$278,13,FALSE),"")</x:f>
        <x:v>1</x:v>
      </x:c>
      <x:c r="N282" s="109" t="n">
        <x:f>IFERROR(VLOOKUP($A282,'Andy FLEX'!$A$6:$N$278,5,FALSE),"")</x:f>
        <x:v>256</x:v>
      </x:c>
      <x:c r="O282" s="110" t="n">
        <x:f>IFERROR(VLOOKUP($A282,'Andy FLEX'!$A$6:$N$278,6,FALSE),"")</x:f>
        <x:v>2.9</x:v>
      </x:c>
      <x:c r="P282" s="111" t="n">
        <x:f>IFERROR(VLOOKUP($A282,'Andy FLEX'!$A$6:$N$278,7,FALSE),"")</x:f>
        <x:v>43</x:v>
      </x:c>
      <x:c r="Q282" s="111" t="n">
        <x:f>IFERROR(VLOOKUP($A282,'Andy FLEX'!$A$6:$N$278,8,FALSE),"")</x:f>
        <x:v>178</x:v>
      </x:c>
      <x:c r="R282" s="111" t="n">
        <x:f>IFERROR(VLOOKUP($A282,'Andy FLEX'!$A$6:$N$278,9,FALSE),"")</x:f>
        <x:v>2</x:v>
      </x:c>
      <x:c r="S282" s="111" t="n">
        <x:f>IFERROR(VLOOKUP($A282,'Andy FLEX'!$A$6:$N$278,10,FALSE),"")</x:f>
        <x:v>13</x:v>
      </x:c>
      <x:c r="T282" s="111" t="n">
        <x:f>IFERROR(VLOOKUP($A282,'Andy FLEX'!$A$6:$N$278,11,FALSE),"")</x:f>
        <x:v>88</x:v>
      </x:c>
      <x:c r="U282" s="111" t="n">
        <x:f>IFERROR(VLOOKUP($A282,'Andy FLEX'!$A$6:$N$278,12,FALSE),"")</x:f>
        <x:v>0</x:v>
      </x:c>
      <x:c r="V282" s="111" t="n">
        <x:f>IFERROR(VLOOKUP($A282,'Andy FLEX'!$A$6:$N$278,13,FALSE),"")</x:f>
        <x:v>1</x:v>
      </x:c>
      <x:c r="W282" s="109" t="str">
        <x:f>IFERROR(VLOOKUP($A282,'Jason FLEX'!$A$6:$N$268,5,FALSE),"")</x:f>
      </x:c>
      <x:c r="X282" s="110" t="str">
        <x:f>IFERROR(VLOOKUP($A282,'Jason FLEX'!$A$6:$N$268,6,FALSE),"")</x:f>
      </x:c>
      <x:c r="Y282" s="111" t="str">
        <x:f>IFERROR(VLOOKUP($A282,'Jason FLEX'!$A$6:$N$268,7,FALSE),"")</x:f>
      </x:c>
      <x:c r="Z282" s="111" t="str">
        <x:f>IFERROR(VLOOKUP($A282,'Jason FLEX'!$A$6:$N$268,8,FALSE),"")</x:f>
      </x:c>
      <x:c r="AA282" s="111" t="str">
        <x:f>IFERROR(VLOOKUP($A282,'Jason FLEX'!$A$6:$N$268,9,FALSE),"")</x:f>
      </x:c>
      <x:c r="AB282" s="111" t="str">
        <x:f>IFERROR(VLOOKUP($A282,'Jason FLEX'!$A$6:$N$268,10,FALSE),"")</x:f>
      </x:c>
      <x:c r="AC282" s="111" t="str">
        <x:f>IFERROR(VLOOKUP($A282,'Jason FLEX'!$A$6:$N$268,11,FALSE),"")</x:f>
      </x:c>
      <x:c r="AD282" s="111" t="str">
        <x:f>IFERROR(VLOOKUP($A282,'Jason FLEX'!$A$6:$N$268,12,FALSE),"")</x:f>
      </x:c>
      <x:c r="AE282" s="111" t="str">
        <x:f>IFERROR(VLOOKUP($A282,'Jason FLEX'!$A$6:$N$268,13,FALSE),"")</x:f>
      </x:c>
      <x:c r="AF282" s="110" t="n">
        <x:f>IF(COUNT(E282,N282,W282)=0,"",AVERAGE(E282,N282,W282))</x:f>
        <x:v>262</x:v>
      </x:c>
      <x:c r="AG282" s="110" t="n">
        <x:f>IF(COUNT(E282,N282,W282)=0,"",MAX(E282,N282,W282)-MIN(E282,N282,W282))</x:f>
        <x:v>12</x:v>
      </x:c>
      <x:c r="AH282" s="110" t="n">
        <x:f>IF(COUNT(F282,O282,X282)=0,"",AVERAGE(F282,O282,X282))</x:f>
        <x:v>1.9</x:v>
      </x:c>
      <x:c r="AI282" s="112" t="n">
        <x:f>IF(COUNT(G282,P282,Y282)=0,"",AVERAGE(G282,P282,Y282))</x:f>
        <x:v>39</x:v>
      </x:c>
      <x:c r="AJ282" s="112" t="n">
        <x:f>IF(COUNT(H282,Q282,Z282)=0,"",AVERAGE(H282,Q282,Z282))</x:f>
        <x:v>148.5</x:v>
      </x:c>
      <x:c r="AK282" s="112" t="n">
        <x:f>IF(COUNT(I282,R282,AA282)=0,"",AVERAGE(I282,R282,AA282))</x:f>
        <x:v>1.5</x:v>
      </x:c>
      <x:c r="AL282" s="112" t="n">
        <x:f>IF(COUNT(J282,S282,AB282)=0,"",AVERAGE(J282,S282,AB282))</x:f>
        <x:v>6.5</x:v>
      </x:c>
      <x:c r="AM282" s="112" t="n">
        <x:f>IF(COUNT(K282,T282,AC282)=0,"",AVERAGE(K282,T282,AC282))</x:f>
        <x:v>44</x:v>
      </x:c>
      <x:c r="AN282" s="112" t="n">
        <x:f>IF(COUNT(L282,U282,AD282)=0,"",AVERAGE(L282,U282,AD282))</x:f>
        <x:v>0</x:v>
      </x:c>
      <x:c r="AO282" s="112" t="n">
        <x:f>IF(COUNT(M282,V282,AE282)=0,"",AVERAGE(M282,V282,AE282))</x:f>
        <x:v>1</x:v>
      </x:c>
    </x:row>
    <x:row r="283">
      <x:c r="A283" s="113" t="str">
        <x:v>Audric Estimé</x:v>
      </x:c>
      <x:c r="B283" s="114" t="str">
        <x:v>RB</x:v>
      </x:c>
      <x:c r="C283" s="114" t="str">
        <x:v>NO</x:v>
      </x:c>
      <x:c r="D283" s="115" t="n">
        <x:v>8</x:v>
      </x:c>
      <x:c r="E283" s="115" t="n">
        <x:f>IFERROR(VLOOKUP($A283,'Mike FLEX'!$A$6:$N$278,5,FALSE),"")</x:f>
        <x:v>272</x:v>
      </x:c>
      <x:c r="F283" s="116" t="n">
        <x:f>IFERROR(VLOOKUP($A283,'Mike FLEX'!$A$6:$N$278,6,FALSE),"")</x:f>
        <x:v>0.3</x:v>
      </x:c>
      <x:c r="G283" s="117" t="n">
        <x:f>IFERROR(VLOOKUP($A283,'Mike FLEX'!$A$6:$N$278,7,FALSE),"")</x:f>
        <x:v>15</x:v>
      </x:c>
      <x:c r="H283" s="117" t="n">
        <x:f>IFERROR(VLOOKUP($A283,'Mike FLEX'!$A$6:$N$278,8,FALSE),"")</x:f>
        <x:v>63</x:v>
      </x:c>
      <x:c r="I283" s="117" t="n">
        <x:f>IFERROR(VLOOKUP($A283,'Mike FLEX'!$A$6:$N$278,9,FALSE),"")</x:f>
        <x:v>0</x:v>
      </x:c>
      <x:c r="J283" s="117" t="n">
        <x:f>IFERROR(VLOOKUP($A283,'Mike FLEX'!$A$6:$N$278,10,FALSE),"")</x:f>
        <x:v>0</x:v>
      </x:c>
      <x:c r="K283" s="117" t="n">
        <x:f>IFERROR(VLOOKUP($A283,'Mike FLEX'!$A$6:$N$278,11,FALSE),"")</x:f>
        <x:v>0</x:v>
      </x:c>
      <x:c r="L283" s="117" t="n">
        <x:f>IFERROR(VLOOKUP($A283,'Mike FLEX'!$A$6:$N$278,12,FALSE),"")</x:f>
        <x:v>0</x:v>
      </x:c>
      <x:c r="M283" s="117" t="n">
        <x:f>IFERROR(VLOOKUP($A283,'Mike FLEX'!$A$6:$N$278,13,FALSE),"")</x:f>
        <x:v>2</x:v>
      </x:c>
      <x:c r="N283" s="115" t="str">
        <x:f>IFERROR(VLOOKUP($A283,'Andy FLEX'!$A$6:$N$278,5,FALSE),"")</x:f>
      </x:c>
      <x:c r="O283" s="116" t="str">
        <x:f>IFERROR(VLOOKUP($A283,'Andy FLEX'!$A$6:$N$278,6,FALSE),"")</x:f>
      </x:c>
      <x:c r="P283" s="117" t="str">
        <x:f>IFERROR(VLOOKUP($A283,'Andy FLEX'!$A$6:$N$278,7,FALSE),"")</x:f>
      </x:c>
      <x:c r="Q283" s="117" t="str">
        <x:f>IFERROR(VLOOKUP($A283,'Andy FLEX'!$A$6:$N$278,8,FALSE),"")</x:f>
      </x:c>
      <x:c r="R283" s="117" t="str">
        <x:f>IFERROR(VLOOKUP($A283,'Andy FLEX'!$A$6:$N$278,9,FALSE),"")</x:f>
      </x:c>
      <x:c r="S283" s="117" t="str">
        <x:f>IFERROR(VLOOKUP($A283,'Andy FLEX'!$A$6:$N$278,10,FALSE),"")</x:f>
      </x:c>
      <x:c r="T283" s="117" t="str">
        <x:f>IFERROR(VLOOKUP($A283,'Andy FLEX'!$A$6:$N$278,11,FALSE),"")</x:f>
      </x:c>
      <x:c r="U283" s="117" t="str">
        <x:f>IFERROR(VLOOKUP($A283,'Andy FLEX'!$A$6:$N$278,12,FALSE),"")</x:f>
      </x:c>
      <x:c r="V283" s="117" t="str">
        <x:f>IFERROR(VLOOKUP($A283,'Andy FLEX'!$A$6:$N$278,13,FALSE),"")</x:f>
      </x:c>
      <x:c r="W283" s="115" t="str">
        <x:f>IFERROR(VLOOKUP($A283,'Jason FLEX'!$A$6:$N$268,5,FALSE),"")</x:f>
      </x:c>
      <x:c r="X283" s="116" t="str">
        <x:f>IFERROR(VLOOKUP($A283,'Jason FLEX'!$A$6:$N$268,6,FALSE),"")</x:f>
      </x:c>
      <x:c r="Y283" s="117" t="str">
        <x:f>IFERROR(VLOOKUP($A283,'Jason FLEX'!$A$6:$N$268,7,FALSE),"")</x:f>
      </x:c>
      <x:c r="Z283" s="117" t="str">
        <x:f>IFERROR(VLOOKUP($A283,'Jason FLEX'!$A$6:$N$268,8,FALSE),"")</x:f>
      </x:c>
      <x:c r="AA283" s="117" t="str">
        <x:f>IFERROR(VLOOKUP($A283,'Jason FLEX'!$A$6:$N$268,9,FALSE),"")</x:f>
      </x:c>
      <x:c r="AB283" s="117" t="str">
        <x:f>IFERROR(VLOOKUP($A283,'Jason FLEX'!$A$6:$N$268,10,FALSE),"")</x:f>
      </x:c>
      <x:c r="AC283" s="117" t="str">
        <x:f>IFERROR(VLOOKUP($A283,'Jason FLEX'!$A$6:$N$268,11,FALSE),"")</x:f>
      </x:c>
      <x:c r="AD283" s="117" t="str">
        <x:f>IFERROR(VLOOKUP($A283,'Jason FLEX'!$A$6:$N$268,12,FALSE),"")</x:f>
      </x:c>
      <x:c r="AE283" s="117" t="str">
        <x:f>IFERROR(VLOOKUP($A283,'Jason FLEX'!$A$6:$N$268,13,FALSE),"")</x:f>
      </x:c>
      <x:c r="AF283" s="116" t="n">
        <x:f>IF(COUNT(E283,N283,W283)=0,"",AVERAGE(E283,N283,W283))</x:f>
        <x:v>272</x:v>
      </x:c>
      <x:c r="AG283" s="116" t="n">
        <x:f>IF(COUNT(E283,N283,W283)=0,"",MAX(E283,N283,W283)-MIN(E283,N283,W283))</x:f>
        <x:v>0</x:v>
      </x:c>
      <x:c r="AH283" s="116" t="n">
        <x:f>IF(COUNT(F283,O283,X283)=0,"",AVERAGE(F283,O283,X283))</x:f>
        <x:v>0.3</x:v>
      </x:c>
      <x:c r="AI283" s="118" t="n">
        <x:f>IF(COUNT(G283,P283,Y283)=0,"",AVERAGE(G283,P283,Y283))</x:f>
        <x:v>15</x:v>
      </x:c>
      <x:c r="AJ283" s="118" t="n">
        <x:f>IF(COUNT(H283,Q283,Z283)=0,"",AVERAGE(H283,Q283,Z283))</x:f>
        <x:v>63</x:v>
      </x:c>
      <x:c r="AK283" s="118" t="n">
        <x:f>IF(COUNT(I283,R283,AA283)=0,"",AVERAGE(I283,R283,AA283))</x:f>
        <x:v>0</x:v>
      </x:c>
      <x:c r="AL283" s="118" t="n">
        <x:f>IF(COUNT(J283,S283,AB283)=0,"",AVERAGE(J283,S283,AB283))</x:f>
        <x:v>0</x:v>
      </x:c>
      <x:c r="AM283" s="118" t="n">
        <x:f>IF(COUNT(K283,T283,AC283)=0,"",AVERAGE(K283,T283,AC283))</x:f>
        <x:v>0</x:v>
      </x:c>
      <x:c r="AN283" s="118" t="n">
        <x:f>IF(COUNT(L283,U283,AD283)=0,"",AVERAGE(L283,U283,AD283))</x:f>
        <x:v>0</x:v>
      </x:c>
      <x:c r="AO283" s="118" t="n">
        <x:f>IF(COUNT(M283,V283,AE283)=0,"",AVERAGE(M283,V283,AE283))</x:f>
        <x:v>2</x:v>
      </x:c>
    </x:row>
  </x:sheetData>
  <x:mergeCells>
    <x:mergeCell ref="A1:AO1"/>
    <x:mergeCell ref="A2:AO2"/>
    <x:mergeCell ref="A4:D4"/>
    <x:mergeCell ref="E4:M4"/>
    <x:mergeCell ref="N4:V4"/>
    <x:mergeCell ref="W4:AE4"/>
    <x:mergeCell ref="AF4:AO4"/>
  </x:mergeCells>
  <x:pageMargins left="0.7" right="0.7" top="0.75" bottom="0.75" header="0.3" footer="0.3"/>
  <x:tableParts count="1">
    <x:tablePart xmlns:r="http://schemas.openxmlformats.org/officeDocument/2006/relationships" r:id="R99403d0d5ec548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46" hidden="0" customWidth="1"/>
  </x:cols>
  <x:sheetData>
    <x:row r="1" ht="32" customHeight="1">
      <x:c r="A1" s="3" t="str">
        <x:v>Mike's 2026 QB Stat Projections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Scoring profile: The Fear Boners  |  35 players  |  Source captured 2026-08-31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5" t="str">
        <x:v>Player</x:v>
      </x:c>
      <x:c r="B4" s="16"/>
      <x:c r="C4" s="17"/>
      <x:c r="D4" s="24" t="str">
        <x:v>Fantasy</x:v>
      </x:c>
      <x:c r="E4" s="25"/>
      <x:c r="F4" s="32" t="str">
        <x:v>Passing</x:v>
      </x:c>
      <x:c r="G4" s="33"/>
      <x:c r="H4" s="40" t="str">
        <x:v>Rushing</x:v>
      </x:c>
      <x:c r="I4" s="41"/>
      <x:c r="J4" s="48" t="str">
        <x:v>Turnovers</x:v>
      </x:c>
      <x:c r="K4" s="49"/>
      <x:c r="L4" s="54" t="str">
        <x:v>Source</x:v>
      </x:c>
    </x:row>
    <x:row r="5" ht="30" customHeight="1">
      <x:c r="A5" s="65" t="str">
        <x:v>Player</x:v>
      </x:c>
      <x:c r="B5" s="66" t="str">
        <x:v>Team</x:v>
      </x:c>
      <x:c r="C5" s="66" t="str">
        <x:v>Bye</x:v>
      </x:c>
      <x:c r="D5" s="66" t="str">
        <x:v>Rank</x:v>
      </x:c>
      <x:c r="E5" s="66" t="str">
        <x:v>PPG</x:v>
      </x:c>
      <x:c r="F5" s="66" t="str">
        <x:v>Pass Yds</x:v>
      </x:c>
      <x:c r="G5" s="66" t="str">
        <x:v>Pass TD</x:v>
      </x:c>
      <x:c r="H5" s="66" t="str">
        <x:v>Rush Yds</x:v>
      </x:c>
      <x:c r="I5" s="66" t="str">
        <x:v>Rush TD</x:v>
      </x:c>
      <x:c r="J5" s="66" t="str">
        <x:v>INT</x:v>
      </x:c>
      <x:c r="K5" s="66" t="str">
        <x:v>FUM</x:v>
      </x:c>
      <x:c r="L5" s="67" t="str">
        <x:v>Source URL</x:v>
      </x:c>
    </x:row>
    <x:row r="6">
      <x:c r="A6" s="70" t="str">
        <x:v>Josh Allen</x:v>
      </x:c>
      <x:c r="B6" s="69" t="str">
        <x:v>BUF</x:v>
      </x:c>
      <x:c r="C6" s="74" t="n">
        <x:v>7</x:v>
      </x:c>
      <x:c r="D6" s="74" t="n">
        <x:v>1</x:v>
      </x:c>
      <x:c r="E6" s="75" t="n">
        <x:v>19.4</x:v>
      </x:c>
      <x:c r="F6" s="76" t="n">
        <x:v>3800</x:v>
      </x:c>
      <x:c r="G6" s="76" t="n">
        <x:v>28</x:v>
      </x:c>
      <x:c r="H6" s="76" t="n">
        <x:v>568</x:v>
      </x:c>
      <x:c r="I6" s="76" t="n">
        <x:v>9</x:v>
      </x:c>
      <x:c r="J6" s="76" t="n">
        <x:v>11</x:v>
      </x:c>
      <x:c r="K6" s="76" t="n">
        <x:v>7</x:v>
      </x:c>
      <x:c r="L6" s="73" t="str">
        <x:v>https://www.thefantasyfootballers.com/2026-ultimate-draft-kit/udk-mikes-projections/?position=QB</x:v>
      </x:c>
    </x:row>
    <x:row r="7">
      <x:c r="A7" s="70" t="str">
        <x:v>Lamar Jackson</x:v>
      </x:c>
      <x:c r="B7" s="69" t="str">
        <x:v>BAL</x:v>
      </x:c>
      <x:c r="C7" s="74" t="n">
        <x:v>13</x:v>
      </x:c>
      <x:c r="D7" s="74" t="n">
        <x:v>2</x:v>
      </x:c>
      <x:c r="E7" s="75" t="n">
        <x:v>19.1</x:v>
      </x:c>
      <x:c r="F7" s="76" t="n">
        <x:v>3648</x:v>
      </x:c>
      <x:c r="G7" s="76" t="n">
        <x:v>29</x:v>
      </x:c>
      <x:c r="H7" s="76" t="n">
        <x:v>614</x:v>
      </x:c>
      <x:c r="I7" s="76" t="n">
        <x:v>6</x:v>
      </x:c>
      <x:c r="J7" s="76" t="n">
        <x:v>8</x:v>
      </x:c>
      <x:c r="K7" s="76" t="n">
        <x:v>7</x:v>
      </x:c>
      <x:c r="L7" s="73" t="str">
        <x:v>https://www.thefantasyfootballers.com/2026-ultimate-draft-kit/udk-mikes-projections/?position=QB</x:v>
      </x:c>
    </x:row>
    <x:row r="8">
      <x:c r="A8" s="70" t="str">
        <x:v>Jayden Daniels</x:v>
      </x:c>
      <x:c r="B8" s="69" t="str">
        <x:v>WAS</x:v>
      </x:c>
      <x:c r="C8" s="74" t="n">
        <x:v>7</x:v>
      </x:c>
      <x:c r="D8" s="74" t="n">
        <x:v>3</x:v>
      </x:c>
      <x:c r="E8" s="75" t="n">
        <x:v>18.4</x:v>
      </x:c>
      <x:c r="F8" s="76" t="n">
        <x:v>3594</x:v>
      </x:c>
      <x:c r="G8" s="76" t="n">
        <x:v>26</x:v>
      </x:c>
      <x:c r="H8" s="76" t="n">
        <x:v>670</x:v>
      </x:c>
      <x:c r="I8" s="76" t="n">
        <x:v>6</x:v>
      </x:c>
      <x:c r="J8" s="76" t="n">
        <x:v>10</x:v>
      </x:c>
      <x:c r="K8" s="76" t="n">
        <x:v>4</x:v>
      </x:c>
      <x:c r="L8" s="73" t="str">
        <x:v>https://www.thefantasyfootballers.com/2026-ultimate-draft-kit/udk-mikes-projections/?position=QB</x:v>
      </x:c>
    </x:row>
    <x:row r="9">
      <x:c r="A9" s="70" t="str">
        <x:v>Jalen Hurts</x:v>
      </x:c>
      <x:c r="B9" s="69" t="str">
        <x:v>PHI</x:v>
      </x:c>
      <x:c r="C9" s="74" t="n">
        <x:v>10</x:v>
      </x:c>
      <x:c r="D9" s="74" t="n">
        <x:v>4</x:v>
      </x:c>
      <x:c r="E9" s="75" t="n">
        <x:v>18.4</x:v>
      </x:c>
      <x:c r="F9" s="76" t="n">
        <x:v>3380</x:v>
      </x:c>
      <x:c r="G9" s="76" t="n">
        <x:v>27</x:v>
      </x:c>
      <x:c r="H9" s="76" t="n">
        <x:v>474</x:v>
      </x:c>
      <x:c r="I9" s="76" t="n">
        <x:v>11</x:v>
      </x:c>
      <x:c r="J9" s="76" t="n">
        <x:v>9</x:v>
      </x:c>
      <x:c r="K9" s="76" t="n">
        <x:v>8</x:v>
      </x:c>
      <x:c r="L9" s="73" t="str">
        <x:v>https://www.thefantasyfootballers.com/2026-ultimate-draft-kit/udk-mikes-projections/?position=QB</x:v>
      </x:c>
    </x:row>
    <x:row r="10">
      <x:c r="A10" s="70" t="str">
        <x:v>Joe Burrow</x:v>
      </x:c>
      <x:c r="B10" s="69" t="str">
        <x:v>CIN</x:v>
      </x:c>
      <x:c r="C10" s="74" t="n">
        <x:v>6</x:v>
      </x:c>
      <x:c r="D10" s="74" t="n">
        <x:v>5</x:v>
      </x:c>
      <x:c r="E10" s="75" t="n">
        <x:v>18.3</x:v>
      </x:c>
      <x:c r="F10" s="76" t="n">
        <x:v>4200</x:v>
      </x:c>
      <x:c r="G10" s="76" t="n">
        <x:v>39</x:v>
      </x:c>
      <x:c r="H10" s="76" t="n">
        <x:v>146</x:v>
      </x:c>
      <x:c r="I10" s="76" t="n">
        <x:v>2</x:v>
      </x:c>
      <x:c r="J10" s="76" t="n">
        <x:v>11</x:v>
      </x:c>
      <x:c r="K10" s="76" t="n">
        <x:v>3</x:v>
      </x:c>
      <x:c r="L10" s="73" t="str">
        <x:v>https://www.thefantasyfootballers.com/2026-ultimate-draft-kit/udk-mikes-projections/?position=QB</x:v>
      </x:c>
    </x:row>
    <x:row r="11">
      <x:c r="A11" s="70" t="str">
        <x:v>Drake Maye</x:v>
      </x:c>
      <x:c r="B11" s="69" t="str">
        <x:v>NE</x:v>
      </x:c>
      <x:c r="C11" s="74" t="n">
        <x:v>11</x:v>
      </x:c>
      <x:c r="D11" s="74" t="n">
        <x:v>6</x:v>
      </x:c>
      <x:c r="E11" s="75" t="n">
        <x:v>18.1</x:v>
      </x:c>
      <x:c r="F11" s="76" t="n">
        <x:v>3831</x:v>
      </x:c>
      <x:c r="G11" s="76" t="n">
        <x:v>30</x:v>
      </x:c>
      <x:c r="H11" s="76" t="n">
        <x:v>508</x:v>
      </x:c>
      <x:c r="I11" s="76" t="n">
        <x:v>5</x:v>
      </x:c>
      <x:c r="J11" s="76" t="n">
        <x:v>10</x:v>
      </x:c>
      <x:c r="K11" s="76" t="n">
        <x:v>8</x:v>
      </x:c>
      <x:c r="L11" s="73" t="str">
        <x:v>https://www.thefantasyfootballers.com/2026-ultimate-draft-kit/udk-mikes-projections/?position=QB</x:v>
      </x:c>
    </x:row>
    <x:row r="12">
      <x:c r="A12" s="70" t="str">
        <x:v>Jaxson Dart</x:v>
      </x:c>
      <x:c r="B12" s="69" t="str">
        <x:v>NYG</x:v>
      </x:c>
      <x:c r="C12" s="74" t="n">
        <x:v>8</x:v>
      </x:c>
      <x:c r="D12" s="74" t="n">
        <x:v>7</x:v>
      </x:c>
      <x:c r="E12" s="75" t="n">
        <x:v>17.9</x:v>
      </x:c>
      <x:c r="F12" s="76" t="n">
        <x:v>3362</x:v>
      </x:c>
      <x:c r="G12" s="76" t="n">
        <x:v>23</x:v>
      </x:c>
      <x:c r="H12" s="76" t="n">
        <x:v>603</x:v>
      </x:c>
      <x:c r="I12" s="76" t="n">
        <x:v>8</x:v>
      </x:c>
      <x:c r="J12" s="76" t="n">
        <x:v>7</x:v>
      </x:c>
      <x:c r="K12" s="76" t="n">
        <x:v>5</x:v>
      </x:c>
      <x:c r="L12" s="73" t="str">
        <x:v>https://www.thefantasyfootballers.com/2026-ultimate-draft-kit/udk-mikes-projections/?position=QB</x:v>
      </x:c>
    </x:row>
    <x:row r="13">
      <x:c r="A13" s="70" t="str">
        <x:v>Caleb Williams</x:v>
      </x:c>
      <x:c r="B13" s="69" t="str">
        <x:v>CHI</x:v>
      </x:c>
      <x:c r="C13" s="74" t="n">
        <x:v>10</x:v>
      </x:c>
      <x:c r="D13" s="74" t="n">
        <x:v>8</x:v>
      </x:c>
      <x:c r="E13" s="75" t="n">
        <x:v>17.7</x:v>
      </x:c>
      <x:c r="F13" s="76" t="n">
        <x:v>3856</x:v>
      </x:c>
      <x:c r="G13" s="76" t="n">
        <x:v>28</x:v>
      </x:c>
      <x:c r="H13" s="76" t="n">
        <x:v>445</x:v>
      </x:c>
      <x:c r="I13" s="76" t="n">
        <x:v>5</x:v>
      </x:c>
      <x:c r="J13" s="76" t="n">
        <x:v>7</x:v>
      </x:c>
      <x:c r="K13" s="76" t="n">
        <x:v>8</x:v>
      </x:c>
      <x:c r="L13" s="73" t="str">
        <x:v>https://www.thefantasyfootballers.com/2026-ultimate-draft-kit/udk-mikes-projections/?position=QB</x:v>
      </x:c>
    </x:row>
    <x:row r="14">
      <x:c r="A14" s="70" t="str">
        <x:v>Trevor Lawrence</x:v>
      </x:c>
      <x:c r="B14" s="69" t="str">
        <x:v>JAX</x:v>
      </x:c>
      <x:c r="C14" s="74" t="n">
        <x:v>7</x:v>
      </x:c>
      <x:c r="D14" s="74" t="n">
        <x:v>9</x:v>
      </x:c>
      <x:c r="E14" s="75" t="n">
        <x:v>17.7</x:v>
      </x:c>
      <x:c r="F14" s="76" t="n">
        <x:v>3876</x:v>
      </x:c>
      <x:c r="G14" s="76" t="n">
        <x:v>29</x:v>
      </x:c>
      <x:c r="H14" s="76" t="n">
        <x:v>365</x:v>
      </x:c>
      <x:c r="I14" s="76" t="n">
        <x:v>7</x:v>
      </x:c>
      <x:c r="J14" s="76" t="n">
        <x:v>13</x:v>
      </x:c>
      <x:c r="K14" s="76" t="n">
        <x:v>5</x:v>
      </x:c>
      <x:c r="L14" s="73" t="str">
        <x:v>https://www.thefantasyfootballers.com/2026-ultimate-draft-kit/udk-mikes-projections/?position=QB</x:v>
      </x:c>
    </x:row>
    <x:row r="15">
      <x:c r="A15" s="70" t="str">
        <x:v>Justin Herbert</x:v>
      </x:c>
      <x:c r="B15" s="69" t="str">
        <x:v>LAC</x:v>
      </x:c>
      <x:c r="C15" s="74" t="n">
        <x:v>7</x:v>
      </x:c>
      <x:c r="D15" s="74" t="n">
        <x:v>10</x:v>
      </x:c>
      <x:c r="E15" s="75" t="n">
        <x:v>17.5</x:v>
      </x:c>
      <x:c r="F15" s="76" t="n">
        <x:v>4146</x:v>
      </x:c>
      <x:c r="G15" s="76" t="n">
        <x:v>28</x:v>
      </x:c>
      <x:c r="H15" s="76" t="n">
        <x:v>383</x:v>
      </x:c>
      <x:c r="I15" s="76" t="n">
        <x:v>4</x:v>
      </x:c>
      <x:c r="J15" s="76" t="n">
        <x:v>10</x:v>
      </x:c>
      <x:c r="K15" s="76" t="n">
        <x:v>6</x:v>
      </x:c>
      <x:c r="L15" s="73" t="str">
        <x:v>https://www.thefantasyfootballers.com/2026-ultimate-draft-kit/udk-mikes-projections/?position=QB</x:v>
      </x:c>
    </x:row>
    <x:row r="16">
      <x:c r="A16" s="70" t="str">
        <x:v>Dak Prescott</x:v>
      </x:c>
      <x:c r="B16" s="69" t="str">
        <x:v>DAL</x:v>
      </x:c>
      <x:c r="C16" s="74" t="n">
        <x:v>14</x:v>
      </x:c>
      <x:c r="D16" s="74" t="n">
        <x:v>11</x:v>
      </x:c>
      <x:c r="E16" s="75" t="n">
        <x:v>17.4</x:v>
      </x:c>
      <x:c r="F16" s="76" t="n">
        <x:v>4350</x:v>
      </x:c>
      <x:c r="G16" s="76" t="n">
        <x:v>34</x:v>
      </x:c>
      <x:c r="H16" s="76" t="n">
        <x:v>186</x:v>
      </x:c>
      <x:c r="I16" s="76" t="n">
        <x:v>3</x:v>
      </x:c>
      <x:c r="J16" s="76" t="n">
        <x:v>13</x:v>
      </x:c>
      <x:c r="K16" s="76" t="n">
        <x:v>5</x:v>
      </x:c>
      <x:c r="L16" s="73" t="str">
        <x:v>https://www.thefantasyfootballers.com/2026-ultimate-draft-kit/udk-mikes-projections/?position=QB</x:v>
      </x:c>
    </x:row>
    <x:row r="17">
      <x:c r="A17" s="70" t="str">
        <x:v>Tyler Shough</x:v>
      </x:c>
      <x:c r="B17" s="69" t="str">
        <x:v>NO</x:v>
      </x:c>
      <x:c r="C17" s="74" t="n">
        <x:v>8</x:v>
      </x:c>
      <x:c r="D17" s="74" t="n">
        <x:v>12</x:v>
      </x:c>
      <x:c r="E17" s="75" t="n">
        <x:v>17.2</x:v>
      </x:c>
      <x:c r="F17" s="76" t="n">
        <x:v>4221</x:v>
      </x:c>
      <x:c r="G17" s="76" t="n">
        <x:v>29</x:v>
      </x:c>
      <x:c r="H17" s="76" t="n">
        <x:v>252</x:v>
      </x:c>
      <x:c r="I17" s="76" t="n">
        <x:v>3</x:v>
      </x:c>
      <x:c r="J17" s="76" t="n">
        <x:v>10</x:v>
      </x:c>
      <x:c r="K17" s="76" t="n">
        <x:v>3</x:v>
      </x:c>
      <x:c r="L17" s="73" t="str">
        <x:v>https://www.thefantasyfootballers.com/2026-ultimate-draft-kit/udk-mikes-projections/?position=QB</x:v>
      </x:c>
    </x:row>
    <x:row r="18">
      <x:c r="A18" s="70" t="str">
        <x:v>Bo Nix</x:v>
      </x:c>
      <x:c r="B18" s="69" t="str">
        <x:v>DEN</x:v>
      </x:c>
      <x:c r="C18" s="74" t="n">
        <x:v>10</x:v>
      </x:c>
      <x:c r="D18" s="74" t="n">
        <x:v>13</x:v>
      </x:c>
      <x:c r="E18" s="75" t="n">
        <x:v>16.9</x:v>
      </x:c>
      <x:c r="F18" s="76" t="n">
        <x:v>3891</x:v>
      </x:c>
      <x:c r="G18" s="76" t="n">
        <x:v>29</x:v>
      </x:c>
      <x:c r="H18" s="76" t="n">
        <x:v>375</x:v>
      </x:c>
      <x:c r="I18" s="76" t="n">
        <x:v>4</x:v>
      </x:c>
      <x:c r="J18" s="76" t="n">
        <x:v>12</x:v>
      </x:c>
      <x:c r="K18" s="76" t="n">
        <x:v>4</x:v>
      </x:c>
      <x:c r="L18" s="73" t="str">
        <x:v>https://www.thefantasyfootballers.com/2026-ultimate-draft-kit/udk-mikes-projections/?position=QB</x:v>
      </x:c>
    </x:row>
    <x:row r="19">
      <x:c r="A19" s="70" t="str">
        <x:v>Matthew Stafford</x:v>
      </x:c>
      <x:c r="B19" s="69" t="str">
        <x:v>LAR</x:v>
      </x:c>
      <x:c r="C19" s="74" t="n">
        <x:v>11</x:v>
      </x:c>
      <x:c r="D19" s="74" t="n">
        <x:v>14</x:v>
      </x:c>
      <x:c r="E19" s="75" t="n">
        <x:v>16.8</x:v>
      </x:c>
      <x:c r="F19" s="76" t="n">
        <x:v>4300</x:v>
      </x:c>
      <x:c r="G19" s="76" t="n">
        <x:v>37</x:v>
      </x:c>
      <x:c r="H19" s="76" t="n">
        <x:v>26</x:v>
      </x:c>
      <x:c r="I19" s="76" t="n">
        <x:v>0</x:v>
      </x:c>
      <x:c r="J19" s="76" t="n">
        <x:v>10</x:v>
      </x:c>
      <x:c r="K19" s="76" t="n">
        <x:v>4</x:v>
      </x:c>
      <x:c r="L19" s="73" t="str">
        <x:v>https://www.thefantasyfootballers.com/2026-ultimate-draft-kit/udk-mikes-projections/?position=QB</x:v>
      </x:c>
    </x:row>
    <x:row r="20">
      <x:c r="A20" s="70" t="str">
        <x:v>Jordan Love</x:v>
      </x:c>
      <x:c r="B20" s="69" t="str">
        <x:v>GB</x:v>
      </x:c>
      <x:c r="C20" s="74" t="n">
        <x:v>11</x:v>
      </x:c>
      <x:c r="D20" s="74" t="n">
        <x:v>15</x:v>
      </x:c>
      <x:c r="E20" s="75" t="n">
        <x:v>16.8</x:v>
      </x:c>
      <x:c r="F20" s="76" t="n">
        <x:v>4104</x:v>
      </x:c>
      <x:c r="G20" s="76" t="n">
        <x:v>31</x:v>
      </x:c>
      <x:c r="H20" s="76" t="n">
        <x:v>227</x:v>
      </x:c>
      <x:c r="I20" s="76" t="n">
        <x:v>2</x:v>
      </x:c>
      <x:c r="J20" s="76" t="n">
        <x:v>10</x:v>
      </x:c>
      <x:c r="K20" s="76" t="n">
        <x:v>5</x:v>
      </x:c>
      <x:c r="L20" s="73" t="str">
        <x:v>https://www.thefantasyfootballers.com/2026-ultimate-draft-kit/udk-mikes-projections/?position=QB</x:v>
      </x:c>
    </x:row>
    <x:row r="21">
      <x:c r="A21" s="70" t="str">
        <x:v>Kyler Murray</x:v>
      </x:c>
      <x:c r="B21" s="69" t="str">
        <x:v>MIN</x:v>
      </x:c>
      <x:c r="C21" s="74" t="n">
        <x:v>6</x:v>
      </x:c>
      <x:c r="D21" s="74" t="n">
        <x:v>16</x:v>
      </x:c>
      <x:c r="E21" s="75" t="n">
        <x:v>16.7</x:v>
      </x:c>
      <x:c r="F21" s="76" t="n">
        <x:v>3400</x:v>
      </x:c>
      <x:c r="G21" s="76" t="n">
        <x:v>24</x:v>
      </x:c>
      <x:c r="H21" s="76" t="n">
        <x:v>574</x:v>
      </x:c>
      <x:c r="I21" s="76" t="n">
        <x:v>6</x:v>
      </x:c>
      <x:c r="J21" s="76" t="n">
        <x:v>10</x:v>
      </x:c>
      <x:c r="K21" s="76" t="n">
        <x:v>5</x:v>
      </x:c>
      <x:c r="L21" s="73" t="str">
        <x:v>https://www.thefantasyfootballers.com/2026-ultimate-draft-kit/udk-mikes-projections/?position=QB</x:v>
      </x:c>
    </x:row>
    <x:row r="22">
      <x:c r="A22" s="70" t="str">
        <x:v>Jared Goff</x:v>
      </x:c>
      <x:c r="B22" s="69" t="str">
        <x:v>DET</x:v>
      </x:c>
      <x:c r="C22" s="74" t="n">
        <x:v>6</x:v>
      </x:c>
      <x:c r="D22" s="74" t="n">
        <x:v>17</x:v>
      </x:c>
      <x:c r="E22" s="75" t="n">
        <x:v>16.6</x:v>
      </x:c>
      <x:c r="F22" s="76" t="n">
        <x:v>4312</x:v>
      </x:c>
      <x:c r="G22" s="76" t="n">
        <x:v>36</x:v>
      </x:c>
      <x:c r="H22" s="76" t="n">
        <x:v>47</x:v>
      </x:c>
      <x:c r="I22" s="76" t="n">
        <x:v>1</x:v>
      </x:c>
      <x:c r="J22" s="76" t="n">
        <x:v>10</x:v>
      </x:c>
      <x:c r="K22" s="76" t="n">
        <x:v>6</x:v>
      </x:c>
      <x:c r="L22" s="73" t="str">
        <x:v>https://www.thefantasyfootballers.com/2026-ultimate-draft-kit/udk-mikes-projections/?position=QB</x:v>
      </x:c>
    </x:row>
    <x:row r="23">
      <x:c r="A23" s="70" t="str">
        <x:v>Brock Purdy</x:v>
      </x:c>
      <x:c r="B23" s="69" t="str">
        <x:v>SF</x:v>
      </x:c>
      <x:c r="C23" s="74" t="n">
        <x:v>8</x:v>
      </x:c>
      <x:c r="D23" s="74" t="n">
        <x:v>18</x:v>
      </x:c>
      <x:c r="E23" s="75" t="n">
        <x:v>16.6</x:v>
      </x:c>
      <x:c r="F23" s="76" t="n">
        <x:v>4152</x:v>
      </x:c>
      <x:c r="G23" s="76" t="n">
        <x:v>32</x:v>
      </x:c>
      <x:c r="H23" s="76" t="n">
        <x:v>258</x:v>
      </x:c>
      <x:c r="I23" s="76" t="n">
        <x:v>4</x:v>
      </x:c>
      <x:c r="J23" s="76" t="n">
        <x:v>17</x:v>
      </x:c>
      <x:c r="K23" s="76" t="n">
        <x:v>4</x:v>
      </x:c>
      <x:c r="L23" s="73" t="str">
        <x:v>https://www.thefantasyfootballers.com/2026-ultimate-draft-kit/udk-mikes-projections/?position=QB</x:v>
      </x:c>
    </x:row>
    <x:row r="24">
      <x:c r="A24" s="70" t="str">
        <x:v>Baker Mayfield</x:v>
      </x:c>
      <x:c r="B24" s="69" t="str">
        <x:v>TB</x:v>
      </x:c>
      <x:c r="C24" s="74" t="n">
        <x:v>10</x:v>
      </x:c>
      <x:c r="D24" s="74" t="n">
        <x:v>19</x:v>
      </x:c>
      <x:c r="E24" s="75" t="n">
        <x:v>16.4</x:v>
      </x:c>
      <x:c r="F24" s="76" t="n">
        <x:v>3938</x:v>
      </x:c>
      <x:c r="G24" s="76" t="n">
        <x:v>32</x:v>
      </x:c>
      <x:c r="H24" s="76" t="n">
        <x:v>325</x:v>
      </x:c>
      <x:c r="I24" s="76" t="n">
        <x:v>3</x:v>
      </x:c>
      <x:c r="J24" s="76" t="n">
        <x:v>13</x:v>
      </x:c>
      <x:c r="K24" s="76" t="n">
        <x:v>9</x:v>
      </x:c>
      <x:c r="L24" s="73" t="str">
        <x:v>https://www.thefantasyfootballers.com/2026-ultimate-draft-kit/udk-mikes-projections/?position=QB</x:v>
      </x:c>
    </x:row>
    <x:row r="25">
      <x:c r="A25" s="70" t="str">
        <x:v>Patrick Mahomes</x:v>
      </x:c>
      <x:c r="B25" s="69" t="str">
        <x:v>KC</x:v>
      </x:c>
      <x:c r="C25" s="74" t="n">
        <x:v>5</x:v>
      </x:c>
      <x:c r="D25" s="74" t="n">
        <x:v>20</x:v>
      </x:c>
      <x:c r="E25" s="75" t="n">
        <x:v>15.8</x:v>
      </x:c>
      <x:c r="F25" s="76" t="n">
        <x:v>4050</x:v>
      </x:c>
      <x:c r="G25" s="76" t="n">
        <x:v>29</x:v>
      </x:c>
      <x:c r="H25" s="76" t="n">
        <x:v>227</x:v>
      </x:c>
      <x:c r="I25" s="76" t="n">
        <x:v>2</x:v>
      </x:c>
      <x:c r="J25" s="76" t="n">
        <x:v>13</x:v>
      </x:c>
      <x:c r="K25" s="76" t="n">
        <x:v>3</x:v>
      </x:c>
      <x:c r="L25" s="73" t="str">
        <x:v>https://www.thefantasyfootballers.com/2026-ultimate-draft-kit/udk-mikes-projections/?position=QB</x:v>
      </x:c>
    </x:row>
    <x:row r="26">
      <x:c r="A26" s="70" t="str">
        <x:v>Sam Darnold</x:v>
      </x:c>
      <x:c r="B26" s="69" t="str">
        <x:v>SEA</x:v>
      </x:c>
      <x:c r="C26" s="74" t="n">
        <x:v>11</x:v>
      </x:c>
      <x:c r="D26" s="74" t="n">
        <x:v>21</x:v>
      </x:c>
      <x:c r="E26" s="75" t="n">
        <x:v>15.2</x:v>
      </x:c>
      <x:c r="F26" s="76" t="n">
        <x:v>4052</x:v>
      </x:c>
      <x:c r="G26" s="76" t="n">
        <x:v>34</x:v>
      </x:c>
      <x:c r="H26" s="76" t="n">
        <x:v>129</x:v>
      </x:c>
      <x:c r="I26" s="76" t="n">
        <x:v>2</x:v>
      </x:c>
      <x:c r="J26" s="76" t="n">
        <x:v>15</x:v>
      </x:c>
      <x:c r="K26" s="76" t="n">
        <x:v>8</x:v>
      </x:c>
      <x:c r="L26" s="73" t="str">
        <x:v>https://www.thefantasyfootballers.com/2026-ultimate-draft-kit/udk-mikes-projections/?position=QB</x:v>
      </x:c>
    </x:row>
    <x:row r="27">
      <x:c r="A27" s="70" t="str">
        <x:v>Malik Willis</x:v>
      </x:c>
      <x:c r="B27" s="69" t="str">
        <x:v>MIA</x:v>
      </x:c>
      <x:c r="C27" s="74" t="n">
        <x:v>6</x:v>
      </x:c>
      <x:c r="D27" s="74" t="n">
        <x:v>22</x:v>
      </x:c>
      <x:c r="E27" s="75" t="n">
        <x:v>15.1</x:v>
      </x:c>
      <x:c r="F27" s="76" t="n">
        <x:v>3350</x:v>
      </x:c>
      <x:c r="G27" s="76" t="n">
        <x:v>23</x:v>
      </x:c>
      <x:c r="H27" s="76" t="n">
        <x:v>416</x:v>
      </x:c>
      <x:c r="I27" s="76" t="n">
        <x:v>4</x:v>
      </x:c>
      <x:c r="J27" s="76" t="n">
        <x:v>12</x:v>
      </x:c>
      <x:c r="K27" s="76" t="n">
        <x:v>0</x:v>
      </x:c>
      <x:c r="L27" s="73" t="str">
        <x:v>https://www.thefantasyfootballers.com/2026-ultimate-draft-kit/udk-mikes-projections/?position=QB</x:v>
      </x:c>
    </x:row>
    <x:row r="28">
      <x:c r="A28" s="70" t="str">
        <x:v>C.J. Stroud</x:v>
      </x:c>
      <x:c r="B28" s="69" t="str">
        <x:v>HOU</x:v>
      </x:c>
      <x:c r="C28" s="74" t="n">
        <x:v>8</x:v>
      </x:c>
      <x:c r="D28" s="74" t="n">
        <x:v>23</x:v>
      </x:c>
      <x:c r="E28" s="75" t="n">
        <x:v>14.8</x:v>
      </x:c>
      <x:c r="F28" s="76" t="n">
        <x:v>3700</x:v>
      </x:c>
      <x:c r="G28" s="76" t="n">
        <x:v>25</x:v>
      </x:c>
      <x:c r="H28" s="76" t="n">
        <x:v>241</x:v>
      </x:c>
      <x:c r="I28" s="76" t="n">
        <x:v>3</x:v>
      </x:c>
      <x:c r="J28" s="76" t="n">
        <x:v>11</x:v>
      </x:c>
      <x:c r="K28" s="76" t="n">
        <x:v>2</x:v>
      </x:c>
      <x:c r="L28" s="73" t="str">
        <x:v>https://www.thefantasyfootballers.com/2026-ultimate-draft-kit/udk-mikes-projections/?position=QB</x:v>
      </x:c>
    </x:row>
    <x:row r="29">
      <x:c r="A29" s="70" t="str">
        <x:v>Cam Ward</x:v>
      </x:c>
      <x:c r="B29" s="69" t="str">
        <x:v>TEN</x:v>
      </x:c>
      <x:c r="C29" s="74" t="n">
        <x:v>9</x:v>
      </x:c>
      <x:c r="D29" s="74" t="n">
        <x:v>24</x:v>
      </x:c>
      <x:c r="E29" s="75" t="n">
        <x:v>14.8</x:v>
      </x:c>
      <x:c r="F29" s="76" t="n">
        <x:v>3675</x:v>
      </x:c>
      <x:c r="G29" s="76" t="n">
        <x:v>27</x:v>
      </x:c>
      <x:c r="H29" s="76" t="n">
        <x:v>195</x:v>
      </x:c>
      <x:c r="I29" s="76" t="n">
        <x:v>2</x:v>
      </x:c>
      <x:c r="J29" s="76" t="n">
        <x:v>5</x:v>
      </x:c>
      <x:c r="K29" s="76" t="n">
        <x:v>10</x:v>
      </x:c>
      <x:c r="L29" s="73" t="str">
        <x:v>https://www.thefantasyfootballers.com/2026-ultimate-draft-kit/udk-mikes-projections/?position=QB</x:v>
      </x:c>
    </x:row>
    <x:row r="30">
      <x:c r="A30" s="70" t="str">
        <x:v>Jacoby Brissett</x:v>
      </x:c>
      <x:c r="B30" s="69" t="str">
        <x:v>ARI</x:v>
      </x:c>
      <x:c r="C30" s="74" t="n">
        <x:v>14</x:v>
      </x:c>
      <x:c r="D30" s="74" t="n">
        <x:v>25</x:v>
      </x:c>
      <x:c r="E30" s="75" t="n">
        <x:v>14.4</x:v>
      </x:c>
      <x:c r="F30" s="76" t="n">
        <x:v>3600</x:v>
      </x:c>
      <x:c r="G30" s="76" t="n">
        <x:v>24</x:v>
      </x:c>
      <x:c r="H30" s="76" t="n">
        <x:v>203</x:v>
      </x:c>
      <x:c r="I30" s="76" t="n">
        <x:v>3</x:v>
      </x:c>
      <x:c r="J30" s="76" t="n">
        <x:v>8</x:v>
      </x:c>
      <x:c r="K30" s="76" t="n">
        <x:v>4</x:v>
      </x:c>
      <x:c r="L30" s="73" t="str">
        <x:v>https://www.thefantasyfootballers.com/2026-ultimate-draft-kit/udk-mikes-projections/?position=QB</x:v>
      </x:c>
    </x:row>
    <x:row r="31">
      <x:c r="A31" s="70" t="str">
        <x:v>Daniel Jones</x:v>
      </x:c>
      <x:c r="B31" s="69" t="str">
        <x:v>IND</x:v>
      </x:c>
      <x:c r="C31" s="74" t="n">
        <x:v>13</x:v>
      </x:c>
      <x:c r="D31" s="74" t="n">
        <x:v>26</x:v>
      </x:c>
      <x:c r="E31" s="75" t="n">
        <x:v>14.3</x:v>
      </x:c>
      <x:c r="F31" s="76" t="n">
        <x:v>3900</x:v>
      </x:c>
      <x:c r="G31" s="76" t="n">
        <x:v>27</x:v>
      </x:c>
      <x:c r="H31" s="76" t="n">
        <x:v>147</x:v>
      </x:c>
      <x:c r="I31" s="76" t="n">
        <x:v>2</x:v>
      </x:c>
      <x:c r="J31" s="76" t="n">
        <x:v>11</x:v>
      </x:c>
      <x:c r="K31" s="76" t="n">
        <x:v>6</x:v>
      </x:c>
      <x:c r="L31" s="73" t="str">
        <x:v>https://www.thefantasyfootballers.com/2026-ultimate-draft-kit/udk-mikes-projections/?position=QB</x:v>
      </x:c>
    </x:row>
    <x:row r="32">
      <x:c r="A32" s="70" t="str">
        <x:v>Aaron Rodgers</x:v>
      </x:c>
      <x:c r="B32" s="69" t="str">
        <x:v>PIT</x:v>
      </x:c>
      <x:c r="C32" s="74" t="n">
        <x:v>9</x:v>
      </x:c>
      <x:c r="D32" s="74" t="n">
        <x:v>27</x:v>
      </x:c>
      <x:c r="E32" s="75" t="n">
        <x:v>12.8</x:v>
      </x:c>
      <x:c r="F32" s="76" t="n">
        <x:v>3400</x:v>
      </x:c>
      <x:c r="G32" s="76" t="n">
        <x:v>26</x:v>
      </x:c>
      <x:c r="H32" s="76" t="n">
        <x:v>82</x:v>
      </x:c>
      <x:c r="I32" s="76" t="n">
        <x:v>1</x:v>
      </x:c>
      <x:c r="J32" s="76" t="n">
        <x:v>9</x:v>
      </x:c>
      <x:c r="K32" s="76" t="n">
        <x:v>4</x:v>
      </x:c>
      <x:c r="L32" s="73" t="str">
        <x:v>https://www.thefantasyfootballers.com/2026-ultimate-draft-kit/udk-mikes-projections/?position=QB</x:v>
      </x:c>
    </x:row>
    <x:row r="33">
      <x:c r="A33" s="70" t="str">
        <x:v>Bryce Young</x:v>
      </x:c>
      <x:c r="B33" s="69" t="str">
        <x:v>CAR</x:v>
      </x:c>
      <x:c r="C33" s="74" t="n">
        <x:v>5</x:v>
      </x:c>
      <x:c r="D33" s="74" t="n">
        <x:v>28</x:v>
      </x:c>
      <x:c r="E33" s="75" t="n">
        <x:v>12.5</x:v>
      </x:c>
      <x:c r="F33" s="76" t="n">
        <x:v>3150</x:v>
      </x:c>
      <x:c r="G33" s="76" t="n">
        <x:v>25</x:v>
      </x:c>
      <x:c r="H33" s="76" t="n">
        <x:v>217</x:v>
      </x:c>
      <x:c r="I33" s="76" t="n">
        <x:v>2</x:v>
      </x:c>
      <x:c r="J33" s="76" t="n">
        <x:v>11</x:v>
      </x:c>
      <x:c r="K33" s="76" t="n">
        <x:v>7</x:v>
      </x:c>
      <x:c r="L33" s="73" t="str">
        <x:v>https://www.thefantasyfootballers.com/2026-ultimate-draft-kit/udk-mikes-projections/?position=QB</x:v>
      </x:c>
    </x:row>
    <x:row r="34">
      <x:c r="A34" s="70" t="str">
        <x:v>Tua Tagovailoa</x:v>
      </x:c>
      <x:c r="B34" s="69" t="str">
        <x:v>ATL</x:v>
      </x:c>
      <x:c r="C34" s="74" t="n">
        <x:v>11</x:v>
      </x:c>
      <x:c r="D34" s="74" t="n">
        <x:v>29</x:v>
      </x:c>
      <x:c r="E34" s="75" t="n">
        <x:v>12.4</x:v>
      </x:c>
      <x:c r="F34" s="76" t="n">
        <x:v>3764</x:v>
      </x:c>
      <x:c r="G34" s="76" t="n">
        <x:v>27</x:v>
      </x:c>
      <x:c r="H34" s="76" t="n">
        <x:v>68</x:v>
      </x:c>
      <x:c r="I34" s="76" t="n">
        <x:v>1</x:v>
      </x:c>
      <x:c r="J34" s="76" t="n">
        <x:v>18</x:v>
      </x:c>
      <x:c r="K34" s="76" t="n">
        <x:v>2</x:v>
      </x:c>
      <x:c r="L34" s="73" t="str">
        <x:v>https://www.thefantasyfootballers.com/2026-ultimate-draft-kit/udk-mikes-projections/?position=QB</x:v>
      </x:c>
    </x:row>
    <x:row r="35">
      <x:c r="A35" s="70" t="str">
        <x:v>Geno Smith</x:v>
      </x:c>
      <x:c r="B35" s="69" t="str">
        <x:v>NYJ</x:v>
      </x:c>
      <x:c r="C35" s="74" t="n">
        <x:v>13</x:v>
      </x:c>
      <x:c r="D35" s="74" t="n">
        <x:v>30</x:v>
      </x:c>
      <x:c r="E35" s="75" t="n">
        <x:v>11.7</x:v>
      </x:c>
      <x:c r="F35" s="76" t="n">
        <x:v>3360</x:v>
      </x:c>
      <x:c r="G35" s="76" t="n">
        <x:v>25</x:v>
      </x:c>
      <x:c r="H35" s="76" t="n">
        <x:v>191</x:v>
      </x:c>
      <x:c r="I35" s="76" t="n">
        <x:v>1</x:v>
      </x:c>
      <x:c r="J35" s="76" t="n">
        <x:v>16</x:v>
      </x:c>
      <x:c r="K35" s="76" t="n">
        <x:v>6</x:v>
      </x:c>
      <x:c r="L35" s="73" t="str">
        <x:v>https://www.thefantasyfootballers.com/2026-ultimate-draft-kit/udk-mikes-projections/?position=QB</x:v>
      </x:c>
    </x:row>
    <x:row r="36">
      <x:c r="A36" s="70" t="str">
        <x:v>Shedeur Sanders</x:v>
      </x:c>
      <x:c r="B36" s="69" t="str">
        <x:v>CLE</x:v>
      </x:c>
      <x:c r="C36" s="74" t="n">
        <x:v>11</x:v>
      </x:c>
      <x:c r="D36" s="74" t="n">
        <x:v>31</x:v>
      </x:c>
      <x:c r="E36" s="75" t="n">
        <x:v>8.4</x:v>
      </x:c>
      <x:c r="F36" s="76" t="n">
        <x:v>2468</x:v>
      </x:c>
      <x:c r="G36" s="76" t="n">
        <x:v>15</x:v>
      </x:c>
      <x:c r="H36" s="76" t="n">
        <x:v>274</x:v>
      </x:c>
      <x:c r="I36" s="76" t="n">
        <x:v>3</x:v>
      </x:c>
      <x:c r="J36" s="76" t="n">
        <x:v>18</x:v>
      </x:c>
      <x:c r="K36" s="76" t="n">
        <x:v>2</x:v>
      </x:c>
      <x:c r="L36" s="73" t="str">
        <x:v>https://www.thefantasyfootballers.com/2026-ultimate-draft-kit/udk-mikes-projections/?position=QB</x:v>
      </x:c>
    </x:row>
    <x:row r="37">
      <x:c r="A37" s="70" t="str">
        <x:v>Michael Penix Jr.</x:v>
      </x:c>
      <x:c r="B37" s="69" t="str">
        <x:v>ATL</x:v>
      </x:c>
      <x:c r="C37" s="74" t="n">
        <x:v>11</x:v>
      </x:c>
      <x:c r="D37" s="74" t="n">
        <x:v>32</x:v>
      </x:c>
      <x:c r="E37" s="75" t="n">
        <x:v>8.1</x:v>
      </x:c>
      <x:c r="F37" s="76" t="n">
        <x:v>2300</x:v>
      </x:c>
      <x:c r="G37" s="76" t="n">
        <x:v>13</x:v>
      </x:c>
      <x:c r="H37" s="76" t="n">
        <x:v>73</x:v>
      </x:c>
      <x:c r="I37" s="76" t="n">
        <x:v>1</x:v>
      </x:c>
      <x:c r="J37" s="76" t="n">
        <x:v>5</x:v>
      </x:c>
      <x:c r="K37" s="76" t="n">
        <x:v>2</x:v>
      </x:c>
      <x:c r="L37" s="73" t="str">
        <x:v>https://www.thefantasyfootballers.com/2026-ultimate-draft-kit/udk-mikes-projections/?position=QB</x:v>
      </x:c>
    </x:row>
    <x:row r="38">
      <x:c r="A38" s="70" t="str">
        <x:v>Fernando Mendoza</x:v>
      </x:c>
      <x:c r="B38" s="69" t="str">
        <x:v>LV</x:v>
      </x:c>
      <x:c r="C38" s="74" t="n">
        <x:v>13</x:v>
      </x:c>
      <x:c r="D38" s="74" t="n">
        <x:v>33</x:v>
      </x:c>
      <x:c r="E38" s="75" t="n">
        <x:v>6.2</x:v>
      </x:c>
      <x:c r="F38" s="76" t="n">
        <x:v>1900</x:v>
      </x:c>
      <x:c r="G38" s="76" t="n">
        <x:v>10</x:v>
      </x:c>
      <x:c r="H38" s="76" t="n">
        <x:v>87</x:v>
      </x:c>
      <x:c r="I38" s="76" t="n">
        <x:v>1</x:v>
      </x:c>
      <x:c r="J38" s="76" t="n">
        <x:v>8</x:v>
      </x:c>
      <x:c r="K38" s="76" t="n">
        <x:v>1</x:v>
      </x:c>
      <x:c r="L38" s="73" t="str">
        <x:v>https://www.thefantasyfootballers.com/2026-ultimate-draft-kit/udk-mikes-projections/?position=QB</x:v>
      </x:c>
    </x:row>
    <x:row r="39">
      <x:c r="A39" s="70" t="str">
        <x:v>Kirk Cousins</x:v>
      </x:c>
      <x:c r="B39" s="69" t="str">
        <x:v>LV</x:v>
      </x:c>
      <x:c r="C39" s="74" t="n">
        <x:v>13</x:v>
      </x:c>
      <x:c r="D39" s="74" t="n">
        <x:v>34</x:v>
      </x:c>
      <x:c r="E39" s="75" t="n">
        <x:v>5.2</x:v>
      </x:c>
      <x:c r="F39" s="76" t="n">
        <x:v>1750</x:v>
      </x:c>
      <x:c r="G39" s="76" t="n">
        <x:v>12</x:v>
      </x:c>
      <x:c r="H39" s="76" t="n">
        <x:v>11</x:v>
      </x:c>
      <x:c r="I39" s="76" t="n">
        <x:v>0</x:v>
      </x:c>
      <x:c r="J39" s="76" t="n">
        <x:v>6</x:v>
      </x:c>
      <x:c r="K39" s="76" t="n">
        <x:v>6</x:v>
      </x:c>
      <x:c r="L39" s="73" t="str">
        <x:v>https://www.thefantasyfootballers.com/2026-ultimate-draft-kit/udk-mikes-projections/?position=QB</x:v>
      </x:c>
    </x:row>
    <x:row r="40">
      <x:c r="A40" s="70" t="str">
        <x:v>Deshaun Watson</x:v>
      </x:c>
      <x:c r="B40" s="69" t="str">
        <x:v>CLE</x:v>
      </x:c>
      <x:c r="C40" s="74" t="n">
        <x:v>11</x:v>
      </x:c>
      <x:c r="D40" s="74" t="n">
        <x:v>35</x:v>
      </x:c>
      <x:c r="E40" s="75" t="n">
        <x:v>3.6</x:v>
      </x:c>
      <x:c r="F40" s="76" t="n">
        <x:v>1042</x:v>
      </x:c>
      <x:c r="G40" s="76" t="n">
        <x:v>6</x:v>
      </x:c>
      <x:c r="H40" s="76" t="n">
        <x:v>126</x:v>
      </x:c>
      <x:c r="I40" s="76" t="n">
        <x:v>1</x:v>
      </x:c>
      <x:c r="J40" s="76" t="n">
        <x:v>8</x:v>
      </x:c>
      <x:c r="K40" s="76" t="n">
        <x:v>1</x:v>
      </x:c>
      <x:c r="L40" s="73" t="str">
        <x:v>https://www.thefantasyfootballers.com/2026-ultimate-draft-kit/udk-mikes-projections/?position=QB</x:v>
      </x:c>
    </x:row>
  </x:sheetData>
  <x:mergeCells>
    <x:mergeCell ref="A1:L1"/>
    <x:mergeCell ref="A2:L2"/>
    <x:mergeCell ref="A4:C4"/>
    <x:mergeCell ref="D4:E4"/>
    <x:mergeCell ref="F4:G4"/>
    <x:mergeCell ref="H4:I4"/>
    <x:mergeCell ref="J4:K4"/>
  </x:mergeCells>
  <x:pageMargins left="0.7" right="0.7" top="0.75" bottom="0.75" header="0.3" footer="0.3"/>
  <x:tableParts count="1">
    <x:tablePart xmlns:r="http://schemas.openxmlformats.org/officeDocument/2006/relationships" r:id="Reda5c80b170440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46" hidden="0" customWidth="1"/>
  </x:cols>
  <x:sheetData>
    <x:row r="1" ht="32" customHeight="1">
      <x:c r="A1" s="3" t="str">
        <x:v>Andy's 2026 QB Stat Projections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Scoring profile: The Fear Boners  |  36 players  |  Source captured 2026-08-31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5" t="str">
        <x:v>Player</x:v>
      </x:c>
      <x:c r="B4" s="16"/>
      <x:c r="C4" s="17"/>
      <x:c r="D4" s="24" t="str">
        <x:v>Fantasy</x:v>
      </x:c>
      <x:c r="E4" s="25"/>
      <x:c r="F4" s="32" t="str">
        <x:v>Passing</x:v>
      </x:c>
      <x:c r="G4" s="33"/>
      <x:c r="H4" s="40" t="str">
        <x:v>Rushing</x:v>
      </x:c>
      <x:c r="I4" s="41"/>
      <x:c r="J4" s="48" t="str">
        <x:v>Turnovers</x:v>
      </x:c>
      <x:c r="K4" s="49"/>
      <x:c r="L4" s="54" t="str">
        <x:v>Source</x:v>
      </x:c>
    </x:row>
    <x:row r="5" ht="30" customHeight="1">
      <x:c r="A5" s="65" t="str">
        <x:v>Player</x:v>
      </x:c>
      <x:c r="B5" s="66" t="str">
        <x:v>Team</x:v>
      </x:c>
      <x:c r="C5" s="66" t="str">
        <x:v>Bye</x:v>
      </x:c>
      <x:c r="D5" s="66" t="str">
        <x:v>Rank</x:v>
      </x:c>
      <x:c r="E5" s="66" t="str">
        <x:v>PPG</x:v>
      </x:c>
      <x:c r="F5" s="66" t="str">
        <x:v>Pass Yds</x:v>
      </x:c>
      <x:c r="G5" s="66" t="str">
        <x:v>Pass TD</x:v>
      </x:c>
      <x:c r="H5" s="66" t="str">
        <x:v>Rush Yds</x:v>
      </x:c>
      <x:c r="I5" s="66" t="str">
        <x:v>Rush TD</x:v>
      </x:c>
      <x:c r="J5" s="66" t="str">
        <x:v>INT</x:v>
      </x:c>
      <x:c r="K5" s="66" t="str">
        <x:v>FUM</x:v>
      </x:c>
      <x:c r="L5" s="67" t="str">
        <x:v>Source URL</x:v>
      </x:c>
    </x:row>
    <x:row r="6">
      <x:c r="A6" s="70" t="str">
        <x:v>Josh Allen</x:v>
      </x:c>
      <x:c r="B6" s="69" t="str">
        <x:v>BUF</x:v>
      </x:c>
      <x:c r="C6" s="74" t="n">
        <x:v>7</x:v>
      </x:c>
      <x:c r="D6" s="74" t="n">
        <x:v>1</x:v>
      </x:c>
      <x:c r="E6" s="75" t="n">
        <x:v>21.7</x:v>
      </x:c>
      <x:c r="F6" s="76" t="n">
        <x:v>3850</x:v>
      </x:c>
      <x:c r="G6" s="76" t="n">
        <x:v>30</x:v>
      </x:c>
      <x:c r="H6" s="76" t="n">
        <x:v>600</x:v>
      </x:c>
      <x:c r="I6" s="76" t="n">
        <x:v>12</x:v>
      </x:c>
      <x:c r="J6" s="76" t="n">
        <x:v>10</x:v>
      </x:c>
      <x:c r="K6" s="76" t="n">
        <x:v>4</x:v>
      </x:c>
      <x:c r="L6" s="73" t="str">
        <x:v>https://www.thefantasyfootballers.com/2026-ultimate-draft-kit/udk-andys-projections/</x:v>
      </x:c>
    </x:row>
    <x:row r="7">
      <x:c r="A7" s="70" t="str">
        <x:v>Lamar Jackson</x:v>
      </x:c>
      <x:c r="B7" s="69" t="str">
        <x:v>BAL</x:v>
      </x:c>
      <x:c r="C7" s="74" t="n">
        <x:v>13</x:v>
      </x:c>
      <x:c r="D7" s="74" t="n">
        <x:v>2</x:v>
      </x:c>
      <x:c r="E7" s="75" t="n">
        <x:v>19.1</x:v>
      </x:c>
      <x:c r="F7" s="76" t="n">
        <x:v>3600</x:v>
      </x:c>
      <x:c r="G7" s="76" t="n">
        <x:v>27</x:v>
      </x:c>
      <x:c r="H7" s="76" t="n">
        <x:v>780</x:v>
      </x:c>
      <x:c r="I7" s="76" t="n">
        <x:v>5</x:v>
      </x:c>
      <x:c r="J7" s="76" t="n">
        <x:v>9</x:v>
      </x:c>
      <x:c r="K7" s="76" t="n">
        <x:v>4</x:v>
      </x:c>
      <x:c r="L7" s="73" t="str">
        <x:v>https://www.thefantasyfootballers.com/2026-ultimate-draft-kit/udk-andys-projections/</x:v>
      </x:c>
    </x:row>
    <x:row r="8">
      <x:c r="A8" s="70" t="str">
        <x:v>Jalen Hurts</x:v>
      </x:c>
      <x:c r="B8" s="69" t="str">
        <x:v>PHI</x:v>
      </x:c>
      <x:c r="C8" s="74" t="n">
        <x:v>10</x:v>
      </x:c>
      <x:c r="D8" s="74" t="n">
        <x:v>3</x:v>
      </x:c>
      <x:c r="E8" s="75" t="n">
        <x:v>18.4</x:v>
      </x:c>
      <x:c r="F8" s="76" t="n">
        <x:v>3399</x:v>
      </x:c>
      <x:c r="G8" s="76" t="n">
        <x:v>27</x:v>
      </x:c>
      <x:c r="H8" s="76" t="n">
        <x:v>446</x:v>
      </x:c>
      <x:c r="I8" s="76" t="n">
        <x:v>9</x:v>
      </x:c>
      <x:c r="J8" s="76" t="n">
        <x:v>6</x:v>
      </x:c>
      <x:c r="K8" s="76" t="n">
        <x:v>3</x:v>
      </x:c>
      <x:c r="L8" s="73" t="str">
        <x:v>https://www.thefantasyfootballers.com/2026-ultimate-draft-kit/udk-andys-projections/</x:v>
      </x:c>
    </x:row>
    <x:row r="9">
      <x:c r="A9" s="70" t="str">
        <x:v>Caleb Williams</x:v>
      </x:c>
      <x:c r="B9" s="69" t="str">
        <x:v>CHI</x:v>
      </x:c>
      <x:c r="C9" s="74" t="n">
        <x:v>10</x:v>
      </x:c>
      <x:c r="D9" s="74" t="n">
        <x:v>4</x:v>
      </x:c>
      <x:c r="E9" s="75" t="n">
        <x:v>18.1</x:v>
      </x:c>
      <x:c r="F9" s="76" t="n">
        <x:v>4078</x:v>
      </x:c>
      <x:c r="G9" s="76" t="n">
        <x:v>29</x:v>
      </x:c>
      <x:c r="H9" s="76" t="n">
        <x:v>407</x:v>
      </x:c>
      <x:c r="I9" s="76" t="n">
        <x:v>3</x:v>
      </x:c>
      <x:c r="J9" s="76" t="n">
        <x:v>8</x:v>
      </x:c>
      <x:c r="K9" s="76" t="n">
        <x:v>3</x:v>
      </x:c>
      <x:c r="L9" s="73" t="str">
        <x:v>https://www.thefantasyfootballers.com/2026-ultimate-draft-kit/udk-andys-projections/</x:v>
      </x:c>
    </x:row>
    <x:row r="10">
      <x:c r="A10" s="70" t="str">
        <x:v>Drake Maye</x:v>
      </x:c>
      <x:c r="B10" s="69" t="str">
        <x:v>NE</x:v>
      </x:c>
      <x:c r="C10" s="74" t="n">
        <x:v>11</x:v>
      </x:c>
      <x:c r="D10" s="74" t="n">
        <x:v>5</x:v>
      </x:c>
      <x:c r="E10" s="75" t="n">
        <x:v>18.1</x:v>
      </x:c>
      <x:c r="F10" s="76" t="n">
        <x:v>4305</x:v>
      </x:c>
      <x:c r="G10" s="76" t="n">
        <x:v>30</x:v>
      </x:c>
      <x:c r="H10" s="76" t="n">
        <x:v>335</x:v>
      </x:c>
      <x:c r="I10" s="76" t="n">
        <x:v>3</x:v>
      </x:c>
      <x:c r="J10" s="76" t="n">
        <x:v>8</x:v>
      </x:c>
      <x:c r="K10" s="76" t="n">
        <x:v>4</x:v>
      </x:c>
      <x:c r="L10" s="73" t="str">
        <x:v>https://www.thefantasyfootballers.com/2026-ultimate-draft-kit/udk-andys-projections/</x:v>
      </x:c>
    </x:row>
    <x:row r="11">
      <x:c r="A11" s="70" t="str">
        <x:v>Jayden Daniels</x:v>
      </x:c>
      <x:c r="B11" s="69" t="str">
        <x:v>WAS</x:v>
      </x:c>
      <x:c r="C11" s="74" t="n">
        <x:v>7</x:v>
      </x:c>
      <x:c r="D11" s="74" t="n">
        <x:v>6</x:v>
      </x:c>
      <x:c r="E11" s="75" t="n">
        <x:v>18.1</x:v>
      </x:c>
      <x:c r="F11" s="76" t="n">
        <x:v>4050</x:v>
      </x:c>
      <x:c r="G11" s="76" t="n">
        <x:v>26</x:v>
      </x:c>
      <x:c r="H11" s="76" t="n">
        <x:v>520</x:v>
      </x:c>
      <x:c r="I11" s="76" t="n">
        <x:v>5</x:v>
      </x:c>
      <x:c r="J11" s="76" t="n">
        <x:v>11</x:v>
      </x:c>
      <x:c r="K11" s="76" t="n">
        <x:v>4</x:v>
      </x:c>
      <x:c r="L11" s="73" t="str">
        <x:v>https://www.thefantasyfootballers.com/2026-ultimate-draft-kit/udk-andys-projections/</x:v>
      </x:c>
    </x:row>
    <x:row r="12">
      <x:c r="A12" s="70" t="str">
        <x:v>Joe Burrow</x:v>
      </x:c>
      <x:c r="B12" s="69" t="str">
        <x:v>CIN</x:v>
      </x:c>
      <x:c r="C12" s="74" t="n">
        <x:v>6</x:v>
      </x:c>
      <x:c r="D12" s="74" t="n">
        <x:v>7</x:v>
      </x:c>
      <x:c r="E12" s="75" t="n">
        <x:v>17.9</x:v>
      </x:c>
      <x:c r="F12" s="76" t="n">
        <x:v>4393</x:v>
      </x:c>
      <x:c r="G12" s="76" t="n">
        <x:v>36</x:v>
      </x:c>
      <x:c r="H12" s="76" t="n">
        <x:v>75</x:v>
      </x:c>
      <x:c r="I12" s="76" t="n">
        <x:v>1</x:v>
      </x:c>
      <x:c r="J12" s="76" t="n">
        <x:v>10</x:v>
      </x:c>
      <x:c r="K12" s="76" t="n">
        <x:v>0</x:v>
      </x:c>
      <x:c r="L12" s="73" t="str">
        <x:v>https://www.thefantasyfootballers.com/2026-ultimate-draft-kit/udk-andys-projections/</x:v>
      </x:c>
    </x:row>
    <x:row r="13">
      <x:c r="A13" s="70" t="str">
        <x:v>Trevor Lawrence</x:v>
      </x:c>
      <x:c r="B13" s="69" t="str">
        <x:v>JAX</x:v>
      </x:c>
      <x:c r="C13" s="74" t="n">
        <x:v>7</x:v>
      </x:c>
      <x:c r="D13" s="74" t="n">
        <x:v>8</x:v>
      </x:c>
      <x:c r="E13" s="75" t="n">
        <x:v>17.8</x:v>
      </x:c>
      <x:c r="F13" s="76" t="n">
        <x:v>3929</x:v>
      </x:c>
      <x:c r="G13" s="76" t="n">
        <x:v>29</x:v>
      </x:c>
      <x:c r="H13" s="76" t="n">
        <x:v>328</x:v>
      </x:c>
      <x:c r="I13" s="76" t="n">
        <x:v>7</x:v>
      </x:c>
      <x:c r="J13" s="76" t="n">
        <x:v>12</x:v>
      </x:c>
      <x:c r="K13" s="76" t="n">
        <x:v>4</x:v>
      </x:c>
      <x:c r="L13" s="73" t="str">
        <x:v>https://www.thefantasyfootballers.com/2026-ultimate-draft-kit/udk-andys-projections/</x:v>
      </x:c>
    </x:row>
    <x:row r="14">
      <x:c r="A14" s="70" t="str">
        <x:v>Jaxson Dart</x:v>
      </x:c>
      <x:c r="B14" s="69" t="str">
        <x:v>NYG</x:v>
      </x:c>
      <x:c r="C14" s="74" t="n">
        <x:v>8</x:v>
      </x:c>
      <x:c r="D14" s="74" t="n">
        <x:v>9</x:v>
      </x:c>
      <x:c r="E14" s="75" t="n">
        <x:v>17.7</x:v>
      </x:c>
      <x:c r="F14" s="76" t="n">
        <x:v>4131</x:v>
      </x:c>
      <x:c r="G14" s="76" t="n">
        <x:v>25</x:v>
      </x:c>
      <x:c r="H14" s="76" t="n">
        <x:v>451</x:v>
      </x:c>
      <x:c r="I14" s="76" t="n">
        <x:v>5</x:v>
      </x:c>
      <x:c r="J14" s="76" t="n">
        <x:v>11</x:v>
      </x:c>
      <x:c r="K14" s="76" t="n">
        <x:v>3</x:v>
      </x:c>
      <x:c r="L14" s="73" t="str">
        <x:v>https://www.thefantasyfootballers.com/2026-ultimate-draft-kit/udk-andys-projections/</x:v>
      </x:c>
    </x:row>
    <x:row r="15">
      <x:c r="A15" s="70" t="str">
        <x:v>Jared Goff</x:v>
      </x:c>
      <x:c r="B15" s="69" t="str">
        <x:v>DET</x:v>
      </x:c>
      <x:c r="C15" s="74" t="n">
        <x:v>6</x:v>
      </x:c>
      <x:c r="D15" s="74" t="n">
        <x:v>10</x:v>
      </x:c>
      <x:c r="E15" s="75" t="n">
        <x:v>17.7</x:v>
      </x:c>
      <x:c r="F15" s="76" t="n">
        <x:v>4550</x:v>
      </x:c>
      <x:c r="G15" s="76" t="n">
        <x:v>36</x:v>
      </x:c>
      <x:c r="H15" s="76" t="n">
        <x:v>40</x:v>
      </x:c>
      <x:c r="I15" s="76" t="n">
        <x:v>0</x:v>
      </x:c>
      <x:c r="J15" s="76" t="n">
        <x:v>9</x:v>
      </x:c>
      <x:c r="K15" s="76" t="n">
        <x:v>2</x:v>
      </x:c>
      <x:c r="L15" s="73" t="str">
        <x:v>https://www.thefantasyfootballers.com/2026-ultimate-draft-kit/udk-andys-projections/</x:v>
      </x:c>
    </x:row>
    <x:row r="16">
      <x:c r="A16" s="70" t="str">
        <x:v>Bo Nix</x:v>
      </x:c>
      <x:c r="B16" s="69" t="str">
        <x:v>DEN</x:v>
      </x:c>
      <x:c r="C16" s="74" t="n">
        <x:v>10</x:v>
      </x:c>
      <x:c r="D16" s="74" t="n">
        <x:v>11</x:v>
      </x:c>
      <x:c r="E16" s="75" t="n">
        <x:v>17.6</x:v>
      </x:c>
      <x:c r="F16" s="76" t="n">
        <x:v>4115</x:v>
      </x:c>
      <x:c r="G16" s="76" t="n">
        <x:v>27</x:v>
      </x:c>
      <x:c r="H16" s="76" t="n">
        <x:v>351</x:v>
      </x:c>
      <x:c r="I16" s="76" t="n">
        <x:v>5</x:v>
      </x:c>
      <x:c r="J16" s="76" t="n">
        <x:v>11</x:v>
      </x:c>
      <x:c r="K16" s="76" t="n">
        <x:v>4</x:v>
      </x:c>
      <x:c r="L16" s="73" t="str">
        <x:v>https://www.thefantasyfootballers.com/2026-ultimate-draft-kit/udk-andys-projections/</x:v>
      </x:c>
    </x:row>
    <x:row r="17">
      <x:c r="A17" s="70" t="str">
        <x:v>Malik Willis</x:v>
      </x:c>
      <x:c r="B17" s="69" t="str">
        <x:v>MIA</x:v>
      </x:c>
      <x:c r="C17" s="74" t="n">
        <x:v>6</x:v>
      </x:c>
      <x:c r="D17" s="74" t="n">
        <x:v>12</x:v>
      </x:c>
      <x:c r="E17" s="75" t="n">
        <x:v>17.4</x:v>
      </x:c>
      <x:c r="F17" s="76" t="n">
        <x:v>3753</x:v>
      </x:c>
      <x:c r="G17" s="76" t="n">
        <x:v>21</x:v>
      </x:c>
      <x:c r="H17" s="76" t="n">
        <x:v>705</x:v>
      </x:c>
      <x:c r="I17" s="76" t="n">
        <x:v>5</x:v>
      </x:c>
      <x:c r="J17" s="76" t="n">
        <x:v>11</x:v>
      </x:c>
      <x:c r="K17" s="76" t="n">
        <x:v>5</x:v>
      </x:c>
      <x:c r="L17" s="73" t="str">
        <x:v>https://www.thefantasyfootballers.com/2026-ultimate-draft-kit/udk-andys-projections/</x:v>
      </x:c>
    </x:row>
    <x:row r="18">
      <x:c r="A18" s="70" t="str">
        <x:v>Dak Prescott</x:v>
      </x:c>
      <x:c r="B18" s="69" t="str">
        <x:v>DAL</x:v>
      </x:c>
      <x:c r="C18" s="74" t="n">
        <x:v>14</x:v>
      </x:c>
      <x:c r="D18" s="74" t="n">
        <x:v>13</x:v>
      </x:c>
      <x:c r="E18" s="75" t="n">
        <x:v>17.1</x:v>
      </x:c>
      <x:c r="F18" s="76" t="n">
        <x:v>4450</x:v>
      </x:c>
      <x:c r="G18" s="76" t="n">
        <x:v>30</x:v>
      </x:c>
      <x:c r="H18" s="76" t="n">
        <x:v>160</x:v>
      </x:c>
      <x:c r="I18" s="76" t="n">
        <x:v>2</x:v>
      </x:c>
      <x:c r="J18" s="76" t="n">
        <x:v>10</x:v>
      </x:c>
      <x:c r="K18" s="76" t="n">
        <x:v>3</x:v>
      </x:c>
      <x:c r="L18" s="73" t="str">
        <x:v>https://www.thefantasyfootballers.com/2026-ultimate-draft-kit/udk-andys-projections/</x:v>
      </x:c>
    </x:row>
    <x:row r="19">
      <x:c r="A19" s="70" t="str">
        <x:v>Matthew Stafford</x:v>
      </x:c>
      <x:c r="B19" s="69" t="str">
        <x:v>LAR</x:v>
      </x:c>
      <x:c r="C19" s="74" t="n">
        <x:v>11</x:v>
      </x:c>
      <x:c r="D19" s="74" t="n">
        <x:v>14</x:v>
      </x:c>
      <x:c r="E19" s="75" t="n">
        <x:v>17</x:v>
      </x:c>
      <x:c r="F19" s="76" t="n">
        <x:v>4300</x:v>
      </x:c>
      <x:c r="G19" s="76" t="n">
        <x:v>37</x:v>
      </x:c>
      <x:c r="H19" s="76" t="n">
        <x:v>10</x:v>
      </x:c>
      <x:c r="I19" s="76" t="n">
        <x:v>0</x:v>
      </x:c>
      <x:c r="J19" s="76" t="n">
        <x:v>9</x:v>
      </x:c>
      <x:c r="K19" s="76" t="n">
        <x:v>2</x:v>
      </x:c>
      <x:c r="L19" s="73" t="str">
        <x:v>https://www.thefantasyfootballers.com/2026-ultimate-draft-kit/udk-andys-projections/</x:v>
      </x:c>
    </x:row>
    <x:row r="20">
      <x:c r="A20" s="70" t="str">
        <x:v>Kyler Murray</x:v>
      </x:c>
      <x:c r="B20" s="69" t="str">
        <x:v>MIN</x:v>
      </x:c>
      <x:c r="C20" s="74" t="n">
        <x:v>6</x:v>
      </x:c>
      <x:c r="D20" s="74" t="n">
        <x:v>15</x:v>
      </x:c>
      <x:c r="E20" s="75" t="n">
        <x:v>16.8</x:v>
      </x:c>
      <x:c r="F20" s="76" t="n">
        <x:v>3637</x:v>
      </x:c>
      <x:c r="G20" s="76" t="n">
        <x:v>27</x:v>
      </x:c>
      <x:c r="H20" s="76" t="n">
        <x:v>457</x:v>
      </x:c>
      <x:c r="I20" s="76" t="n">
        <x:v>5</x:v>
      </x:c>
      <x:c r="J20" s="76" t="n">
        <x:v>12</x:v>
      </x:c>
      <x:c r="K20" s="76" t="n">
        <x:v>4</x:v>
      </x:c>
      <x:c r="L20" s="73" t="str">
        <x:v>https://www.thefantasyfootballers.com/2026-ultimate-draft-kit/udk-andys-projections/</x:v>
      </x:c>
    </x:row>
    <x:row r="21">
      <x:c r="A21" s="70" t="str">
        <x:v>Brock Purdy</x:v>
      </x:c>
      <x:c r="B21" s="69" t="str">
        <x:v>SF</x:v>
      </x:c>
      <x:c r="C21" s="74" t="n">
        <x:v>8</x:v>
      </x:c>
      <x:c r="D21" s="74" t="n">
        <x:v>16</x:v>
      </x:c>
      <x:c r="E21" s="75" t="n">
        <x:v>16.8</x:v>
      </x:c>
      <x:c r="F21" s="76" t="n">
        <x:v>4333</x:v>
      </x:c>
      <x:c r="G21" s="76" t="n">
        <x:v>30</x:v>
      </x:c>
      <x:c r="H21" s="76" t="n">
        <x:v>215</x:v>
      </x:c>
      <x:c r="I21" s="76" t="n">
        <x:v>3</x:v>
      </x:c>
      <x:c r="J21" s="76" t="n">
        <x:v>13</x:v>
      </x:c>
      <x:c r="K21" s="76" t="n">
        <x:v>3</x:v>
      </x:c>
      <x:c r="L21" s="73" t="str">
        <x:v>https://www.thefantasyfootballers.com/2026-ultimate-draft-kit/udk-andys-projections/</x:v>
      </x:c>
    </x:row>
    <x:row r="22">
      <x:c r="A22" s="70" t="str">
        <x:v>Jordan Love</x:v>
      </x:c>
      <x:c r="B22" s="69" t="str">
        <x:v>GB</x:v>
      </x:c>
      <x:c r="C22" s="74" t="n">
        <x:v>11</x:v>
      </x:c>
      <x:c r="D22" s="74" t="n">
        <x:v>17</x:v>
      </x:c>
      <x:c r="E22" s="75" t="n">
        <x:v>16.8</x:v>
      </x:c>
      <x:c r="F22" s="76" t="n">
        <x:v>4317</x:v>
      </x:c>
      <x:c r="G22" s="76" t="n">
        <x:v>29</x:v>
      </x:c>
      <x:c r="H22" s="76" t="n">
        <x:v>234</x:v>
      </x:c>
      <x:c r="I22" s="76" t="n">
        <x:v>1</x:v>
      </x:c>
      <x:c r="J22" s="76" t="n">
        <x:v>9</x:v>
      </x:c>
      <x:c r="K22" s="76" t="n">
        <x:v>3</x:v>
      </x:c>
      <x:c r="L22" s="73" t="str">
        <x:v>https://www.thefantasyfootballers.com/2026-ultimate-draft-kit/udk-andys-projections/</x:v>
      </x:c>
    </x:row>
    <x:row r="23">
      <x:c r="A23" s="70" t="str">
        <x:v>Patrick Mahomes</x:v>
      </x:c>
      <x:c r="B23" s="69" t="str">
        <x:v>KC</x:v>
      </x:c>
      <x:c r="C23" s="74" t="n">
        <x:v>5</x:v>
      </x:c>
      <x:c r="D23" s="74" t="n">
        <x:v>18</x:v>
      </x:c>
      <x:c r="E23" s="75" t="n">
        <x:v>16.7</x:v>
      </x:c>
      <x:c r="F23" s="76" t="n">
        <x:v>3950</x:v>
      </x:c>
      <x:c r="G23" s="76" t="n">
        <x:v>28</x:v>
      </x:c>
      <x:c r="H23" s="76" t="n">
        <x:v>290</x:v>
      </x:c>
      <x:c r="I23" s="76" t="n">
        <x:v>4</x:v>
      </x:c>
      <x:c r="J23" s="76" t="n">
        <x:v>11</x:v>
      </x:c>
      <x:c r="K23" s="76" t="n">
        <x:v>3</x:v>
      </x:c>
      <x:c r="L23" s="73" t="str">
        <x:v>https://www.thefantasyfootballers.com/2026-ultimate-draft-kit/udk-andys-projections/</x:v>
      </x:c>
    </x:row>
    <x:row r="24">
      <x:c r="A24" s="70" t="str">
        <x:v>Tyler Shough</x:v>
      </x:c>
      <x:c r="B24" s="69" t="str">
        <x:v>NO</x:v>
      </x:c>
      <x:c r="C24" s="74" t="n">
        <x:v>8</x:v>
      </x:c>
      <x:c r="D24" s="74" t="n">
        <x:v>19</x:v>
      </x:c>
      <x:c r="E24" s="75" t="n">
        <x:v>16.7</x:v>
      </x:c>
      <x:c r="F24" s="76" t="n">
        <x:v>4245</x:v>
      </x:c>
      <x:c r="G24" s="76" t="n">
        <x:v>24</x:v>
      </x:c>
      <x:c r="H24" s="76" t="n">
        <x:v>342</x:v>
      </x:c>
      <x:c r="I24" s="76" t="n">
        <x:v>3</x:v>
      </x:c>
      <x:c r="J24" s="76" t="n">
        <x:v>10</x:v>
      </x:c>
      <x:c r="K24" s="76" t="n">
        <x:v>3</x:v>
      </x:c>
      <x:c r="L24" s="73" t="str">
        <x:v>https://www.thefantasyfootballers.com/2026-ultimate-draft-kit/udk-andys-projections/</x:v>
      </x:c>
    </x:row>
    <x:row r="25">
      <x:c r="A25" s="70" t="str">
        <x:v>Justin Herbert</x:v>
      </x:c>
      <x:c r="B25" s="69" t="str">
        <x:v>LAC</x:v>
      </x:c>
      <x:c r="C25" s="74" t="n">
        <x:v>7</x:v>
      </x:c>
      <x:c r="D25" s="74" t="n">
        <x:v>20</x:v>
      </x:c>
      <x:c r="E25" s="75" t="n">
        <x:v>16.5</x:v>
      </x:c>
      <x:c r="F25" s="76" t="n">
        <x:v>3950</x:v>
      </x:c>
      <x:c r="G25" s="76" t="n">
        <x:v>27</x:v>
      </x:c>
      <x:c r="H25" s="76" t="n">
        <x:v>440</x:v>
      </x:c>
      <x:c r="I25" s="76" t="n">
        <x:v>2</x:v>
      </x:c>
      <x:c r="J25" s="76" t="n">
        <x:v>12</x:v>
      </x:c>
      <x:c r="K25" s="76" t="n">
        <x:v>3</x:v>
      </x:c>
      <x:c r="L25" s="73" t="str">
        <x:v>https://www.thefantasyfootballers.com/2026-ultimate-draft-kit/udk-andys-projections/</x:v>
      </x:c>
    </x:row>
    <x:row r="26">
      <x:c r="A26" s="70" t="str">
        <x:v>Baker Mayfield</x:v>
      </x:c>
      <x:c r="B26" s="69" t="str">
        <x:v>TB</x:v>
      </x:c>
      <x:c r="C26" s="74" t="n">
        <x:v>10</x:v>
      </x:c>
      <x:c r="D26" s="74" t="n">
        <x:v>21</x:v>
      </x:c>
      <x:c r="E26" s="75" t="n">
        <x:v>16.2</x:v>
      </x:c>
      <x:c r="F26" s="76" t="n">
        <x:v>4233</x:v>
      </x:c>
      <x:c r="G26" s="76" t="n">
        <x:v>28</x:v>
      </x:c>
      <x:c r="H26" s="76" t="n">
        <x:v>320</x:v>
      </x:c>
      <x:c r="I26" s="76" t="n">
        <x:v>1</x:v>
      </x:c>
      <x:c r="J26" s="76" t="n">
        <x:v>12</x:v>
      </x:c>
      <x:c r="K26" s="76" t="n">
        <x:v>4</x:v>
      </x:c>
      <x:c r="L26" s="73" t="str">
        <x:v>https://www.thefantasyfootballers.com/2026-ultimate-draft-kit/udk-andys-projections/</x:v>
      </x:c>
    </x:row>
    <x:row r="27">
      <x:c r="A27" s="70" t="str">
        <x:v>C.J. Stroud</x:v>
      </x:c>
      <x:c r="B27" s="69" t="str">
        <x:v>HOU</x:v>
      </x:c>
      <x:c r="C27" s="74" t="n">
        <x:v>8</x:v>
      </x:c>
      <x:c r="D27" s="74" t="n">
        <x:v>22</x:v>
      </x:c>
      <x:c r="E27" s="75" t="n">
        <x:v>14.5</x:v>
      </x:c>
      <x:c r="F27" s="76" t="n">
        <x:v>3750</x:v>
      </x:c>
      <x:c r="G27" s="76" t="n">
        <x:v>24</x:v>
      </x:c>
      <x:c r="H27" s="76" t="n">
        <x:v>240</x:v>
      </x:c>
      <x:c r="I27" s="76" t="n">
        <x:v>2</x:v>
      </x:c>
      <x:c r="J27" s="76" t="n">
        <x:v>10</x:v>
      </x:c>
      <x:c r="K27" s="76" t="n">
        <x:v>3</x:v>
      </x:c>
      <x:c r="L27" s="73" t="str">
        <x:v>https://www.thefantasyfootballers.com/2026-ultimate-draft-kit/udk-andys-projections/</x:v>
      </x:c>
    </x:row>
    <x:row r="28">
      <x:c r="A28" s="70" t="str">
        <x:v>Cam Ward</x:v>
      </x:c>
      <x:c r="B28" s="69" t="str">
        <x:v>TEN</x:v>
      </x:c>
      <x:c r="C28" s="74" t="n">
        <x:v>9</x:v>
      </x:c>
      <x:c r="D28" s="74" t="n">
        <x:v>23</x:v>
      </x:c>
      <x:c r="E28" s="75" t="n">
        <x:v>14.1</x:v>
      </x:c>
      <x:c r="F28" s="76" t="n">
        <x:v>3691</x:v>
      </x:c>
      <x:c r="G28" s="76" t="n">
        <x:v>22</x:v>
      </x:c>
      <x:c r="H28" s="76" t="n">
        <x:v>179</x:v>
      </x:c>
      <x:c r="I28" s="76" t="n">
        <x:v>3</x:v>
      </x:c>
      <x:c r="J28" s="76" t="n">
        <x:v>8</x:v>
      </x:c>
      <x:c r="K28" s="76" t="n">
        <x:v>4</x:v>
      </x:c>
      <x:c r="L28" s="73" t="str">
        <x:v>https://www.thefantasyfootballers.com/2026-ultimate-draft-kit/udk-andys-projections/</x:v>
      </x:c>
    </x:row>
    <x:row r="29">
      <x:c r="A29" s="70" t="str">
        <x:v>Bryce Young</x:v>
      </x:c>
      <x:c r="B29" s="69" t="str">
        <x:v>CAR</x:v>
      </x:c>
      <x:c r="C29" s="74" t="n">
        <x:v>5</x:v>
      </x:c>
      <x:c r="D29" s="74" t="n">
        <x:v>24</x:v>
      </x:c>
      <x:c r="E29" s="75" t="n">
        <x:v>13.6</x:v>
      </x:c>
      <x:c r="F29" s="76" t="n">
        <x:v>3450</x:v>
      </x:c>
      <x:c r="G29" s="76" t="n">
        <x:v>26</x:v>
      </x:c>
      <x:c r="H29" s="76" t="n">
        <x:v>250</x:v>
      </x:c>
      <x:c r="I29" s="76" t="n">
        <x:v>2</x:v>
      </x:c>
      <x:c r="J29" s="76" t="n">
        <x:v>13</x:v>
      </x:c>
      <x:c r="K29" s="76" t="n">
        <x:v>5</x:v>
      </x:c>
      <x:c r="L29" s="73" t="str">
        <x:v>https://www.thefantasyfootballers.com/2026-ultimate-draft-kit/udk-andys-projections/</x:v>
      </x:c>
    </x:row>
    <x:row r="30">
      <x:c r="A30" s="70" t="str">
        <x:v>Jacoby Brissett</x:v>
      </x:c>
      <x:c r="B30" s="69" t="str">
        <x:v>ARI</x:v>
      </x:c>
      <x:c r="C30" s="74" t="n">
        <x:v>14</x:v>
      </x:c>
      <x:c r="D30" s="74" t="n">
        <x:v>25</x:v>
      </x:c>
      <x:c r="E30" s="75" t="n">
        <x:v>13.6</x:v>
      </x:c>
      <x:c r="F30" s="76" t="n">
        <x:v>3608</x:v>
      </x:c>
      <x:c r="G30" s="76" t="n">
        <x:v>25</x:v>
      </x:c>
      <x:c r="H30" s="76" t="n">
        <x:v>178</x:v>
      </x:c>
      <x:c r="I30" s="76" t="n">
        <x:v>1</x:v>
      </x:c>
      <x:c r="J30" s="76" t="n">
        <x:v>9</x:v>
      </x:c>
      <x:c r="K30" s="76" t="n">
        <x:v>4</x:v>
      </x:c>
      <x:c r="L30" s="73" t="str">
        <x:v>https://www.thefantasyfootballers.com/2026-ultimate-draft-kit/udk-andys-projections/</x:v>
      </x:c>
    </x:row>
    <x:row r="31">
      <x:c r="A31" s="70" t="str">
        <x:v>Sam Darnold</x:v>
      </x:c>
      <x:c r="B31" s="69" t="str">
        <x:v>SEA</x:v>
      </x:c>
      <x:c r="C31" s="74" t="n">
        <x:v>11</x:v>
      </x:c>
      <x:c r="D31" s="74" t="n">
        <x:v>26</x:v>
      </x:c>
      <x:c r="E31" s="75" t="n">
        <x:v>13.2</x:v>
      </x:c>
      <x:c r="F31" s="76" t="n">
        <x:v>4095</x:v>
      </x:c>
      <x:c r="G31" s="76" t="n">
        <x:v>26</x:v>
      </x:c>
      <x:c r="H31" s="76" t="n">
        <x:v>92</x:v>
      </x:c>
      <x:c r="I31" s="76" t="n">
        <x:v>0</x:v>
      </x:c>
      <x:c r="J31" s="76" t="n">
        <x:v>15</x:v>
      </x:c>
      <x:c r="K31" s="76" t="n">
        <x:v>4</x:v>
      </x:c>
      <x:c r="L31" s="73" t="str">
        <x:v>https://www.thefantasyfootballers.com/2026-ultimate-draft-kit/udk-andys-projections/</x:v>
      </x:c>
    </x:row>
    <x:row r="32">
      <x:c r="A32" s="70" t="str">
        <x:v>Aaron Rodgers</x:v>
      </x:c>
      <x:c r="B32" s="69" t="str">
        <x:v>PIT</x:v>
      </x:c>
      <x:c r="C32" s="74" t="n">
        <x:v>9</x:v>
      </x:c>
      <x:c r="D32" s="74" t="n">
        <x:v>27</x:v>
      </x:c>
      <x:c r="E32" s="75" t="n">
        <x:v>12.7</x:v>
      </x:c>
      <x:c r="F32" s="76" t="n">
        <x:v>3521</x:v>
      </x:c>
      <x:c r="G32" s="76" t="n">
        <x:v>24</x:v>
      </x:c>
      <x:c r="H32" s="76" t="n">
        <x:v>58</x:v>
      </x:c>
      <x:c r="I32" s="76" t="n">
        <x:v>1</x:v>
      </x:c>
      <x:c r="J32" s="76" t="n">
        <x:v>9</x:v>
      </x:c>
      <x:c r="K32" s="76" t="n">
        <x:v>3</x:v>
      </x:c>
      <x:c r="L32" s="73" t="str">
        <x:v>https://www.thefantasyfootballers.com/2026-ultimate-draft-kit/udk-andys-projections/</x:v>
      </x:c>
    </x:row>
    <x:row r="33">
      <x:c r="A33" s="70" t="str">
        <x:v>Geno Smith</x:v>
      </x:c>
      <x:c r="B33" s="69" t="str">
        <x:v>NYJ</x:v>
      </x:c>
      <x:c r="C33" s="74" t="n">
        <x:v>13</x:v>
      </x:c>
      <x:c r="D33" s="74" t="n">
        <x:v>28</x:v>
      </x:c>
      <x:c r="E33" s="75" t="n">
        <x:v>12.6</x:v>
      </x:c>
      <x:c r="F33" s="76" t="n">
        <x:v>3951</x:v>
      </x:c>
      <x:c r="G33" s="76" t="n">
        <x:v>23</x:v>
      </x:c>
      <x:c r="H33" s="76" t="n">
        <x:v>123</x:v>
      </x:c>
      <x:c r="I33" s="76" t="n">
        <x:v>0</x:v>
      </x:c>
      <x:c r="J33" s="76" t="n">
        <x:v>14</x:v>
      </x:c>
      <x:c r="K33" s="76" t="n">
        <x:v>4</x:v>
      </x:c>
      <x:c r="L33" s="73" t="str">
        <x:v>https://www.thefantasyfootballers.com/2026-ultimate-draft-kit/udk-andys-projections/</x:v>
      </x:c>
    </x:row>
    <x:row r="34">
      <x:c r="A34" s="70" t="str">
        <x:v>Daniel Jones</x:v>
      </x:c>
      <x:c r="B34" s="69" t="str">
        <x:v>IND</x:v>
      </x:c>
      <x:c r="C34" s="74" t="n">
        <x:v>13</x:v>
      </x:c>
      <x:c r="D34" s="74" t="n">
        <x:v>29</x:v>
      </x:c>
      <x:c r="E34" s="75" t="n">
        <x:v>12.5</x:v>
      </x:c>
      <x:c r="F34" s="76" t="n">
        <x:v>3100</x:v>
      </x:c>
      <x:c r="G34" s="76" t="n">
        <x:v>20</x:v>
      </x:c>
      <x:c r="H34" s="76" t="n">
        <x:v>195</x:v>
      </x:c>
      <x:c r="I34" s="76" t="n">
        <x:v>4</x:v>
      </x:c>
      <x:c r="J34" s="76" t="n">
        <x:v>9</x:v>
      </x:c>
      <x:c r="K34" s="76" t="n">
        <x:v>4</x:v>
      </x:c>
      <x:c r="L34" s="73" t="str">
        <x:v>https://www.thefantasyfootballers.com/2026-ultimate-draft-kit/udk-andys-projections/</x:v>
      </x:c>
    </x:row>
    <x:row r="35">
      <x:c r="A35" s="70" t="str">
        <x:v>Michael Penix Jr.</x:v>
      </x:c>
      <x:c r="B35" s="69" t="str">
        <x:v>ATL</x:v>
      </x:c>
      <x:c r="C35" s="74" t="n">
        <x:v>11</x:v>
      </x:c>
      <x:c r="D35" s="74" t="n">
        <x:v>30</x:v>
      </x:c>
      <x:c r="E35" s="75" t="n">
        <x:v>8.9</x:v>
      </x:c>
      <x:c r="F35" s="76" t="n">
        <x:v>2433</x:v>
      </x:c>
      <x:c r="G35" s="76" t="n">
        <x:v>13</x:v>
      </x:c>
      <x:c r="H35" s="76" t="n">
        <x:v>88</x:v>
      </x:c>
      <x:c r="I35" s="76" t="n">
        <x:v>2</x:v>
      </x:c>
      <x:c r="J35" s="76" t="n">
        <x:v>3</x:v>
      </x:c>
      <x:c r="K35" s="76" t="n">
        <x:v>3</x:v>
      </x:c>
      <x:c r="L35" s="73" t="str">
        <x:v>https://www.thefantasyfootballers.com/2026-ultimate-draft-kit/udk-andys-projections/</x:v>
      </x:c>
    </x:row>
    <x:row r="36">
      <x:c r="A36" s="70" t="str">
        <x:v>Fernando Mendoza</x:v>
      </x:c>
      <x:c r="B36" s="69" t="str">
        <x:v>LV</x:v>
      </x:c>
      <x:c r="C36" s="74" t="n">
        <x:v>13</x:v>
      </x:c>
      <x:c r="D36" s="74" t="n">
        <x:v>31</x:v>
      </x:c>
      <x:c r="E36" s="75" t="n">
        <x:v>6.8</x:v>
      </x:c>
      <x:c r="F36" s="76" t="n">
        <x:v>1700</x:v>
      </x:c>
      <x:c r="G36" s="76" t="n">
        <x:v>11</x:v>
      </x:c>
      <x:c r="H36" s="76" t="n">
        <x:v>150</x:v>
      </x:c>
      <x:c r="I36" s="76" t="n">
        <x:v>2</x:v>
      </x:c>
      <x:c r="J36" s="76" t="n">
        <x:v>8</x:v>
      </x:c>
      <x:c r="K36" s="76" t="n">
        <x:v>0</x:v>
      </x:c>
      <x:c r="L36" s="73" t="str">
        <x:v>https://www.thefantasyfootballers.com/2026-ultimate-draft-kit/udk-andys-projections/</x:v>
      </x:c>
    </x:row>
    <x:row r="37">
      <x:c r="A37" s="70" t="str">
        <x:v>Kirk Cousins</x:v>
      </x:c>
      <x:c r="B37" s="69" t="str">
        <x:v>LV</x:v>
      </x:c>
      <x:c r="C37" s="74" t="n">
        <x:v>13</x:v>
      </x:c>
      <x:c r="D37" s="74" t="n">
        <x:v>32</x:v>
      </x:c>
      <x:c r="E37" s="75" t="n">
        <x:v>6.5</x:v>
      </x:c>
      <x:c r="F37" s="76" t="n">
        <x:v>2050</x:v>
      </x:c>
      <x:c r="G37" s="76" t="n">
        <x:v>13</x:v>
      </x:c>
      <x:c r="H37" s="76" t="n">
        <x:v>45</x:v>
      </x:c>
      <x:c r="I37" s="76" t="n">
        <x:v>1</x:v>
      </x:c>
      <x:c r="J37" s="76" t="n">
        <x:v>9</x:v>
      </x:c>
      <x:c r="K37" s="76" t="n">
        <x:v>3</x:v>
      </x:c>
      <x:c r="L37" s="73" t="str">
        <x:v>https://www.thefantasyfootballers.com/2026-ultimate-draft-kit/udk-andys-projections/</x:v>
      </x:c>
    </x:row>
    <x:row r="38">
      <x:c r="A38" s="70" t="str">
        <x:v>Shedeur Sanders</x:v>
      </x:c>
      <x:c r="B38" s="69" t="str">
        <x:v>CLE</x:v>
      </x:c>
      <x:c r="C38" s="74" t="n">
        <x:v>11</x:v>
      </x:c>
      <x:c r="D38" s="74" t="n">
        <x:v>33</x:v>
      </x:c>
      <x:c r="E38" s="75" t="n">
        <x:v>4.4</x:v>
      </x:c>
      <x:c r="F38" s="76" t="n">
        <x:v>1252</x:v>
      </x:c>
      <x:c r="G38" s="76" t="n">
        <x:v>7</x:v>
      </x:c>
      <x:c r="H38" s="76" t="n">
        <x:v>115</x:v>
      </x:c>
      <x:c r="I38" s="76" t="n">
        <x:v>1</x:v>
      </x:c>
      <x:c r="J38" s="76" t="n">
        <x:v>6</x:v>
      </x:c>
      <x:c r="K38" s="76" t="n">
        <x:v>1</x:v>
      </x:c>
      <x:c r="L38" s="73" t="str">
        <x:v>https://www.thefantasyfootballers.com/2026-ultimate-draft-kit/udk-andys-projections/</x:v>
      </x:c>
    </x:row>
    <x:row r="39">
      <x:c r="A39" s="70" t="str">
        <x:v>Deshaun Watson</x:v>
      </x:c>
      <x:c r="B39" s="69" t="str">
        <x:v>CLE</x:v>
      </x:c>
      <x:c r="C39" s="74" t="n">
        <x:v>11</x:v>
      </x:c>
      <x:c r="D39" s="74" t="n">
        <x:v>34</x:v>
      </x:c>
      <x:c r="E39" s="75" t="n">
        <x:v>4.2</x:v>
      </x:c>
      <x:c r="F39" s="76" t="n">
        <x:v>1641</x:v>
      </x:c>
      <x:c r="G39" s="76" t="n">
        <x:v>10</x:v>
      </x:c>
      <x:c r="H39" s="76" t="n">
        <x:v>18</x:v>
      </x:c>
      <x:c r="I39" s="76" t="n">
        <x:v>0</x:v>
      </x:c>
      <x:c r="J39" s="76" t="n">
        <x:v>11</x:v>
      </x:c>
      <x:c r="K39" s="76" t="n">
        <x:v>1</x:v>
      </x:c>
      <x:c r="L39" s="73" t="str">
        <x:v>https://www.thefantasyfootballers.com/2026-ultimate-draft-kit/udk-andys-projections/</x:v>
      </x:c>
    </x:row>
    <x:row r="40">
      <x:c r="A40" s="70" t="str">
        <x:v>Tua Tagovailoa</x:v>
      </x:c>
      <x:c r="B40" s="69" t="str">
        <x:v>ATL</x:v>
      </x:c>
      <x:c r="C40" s="74" t="n">
        <x:v>11</x:v>
      </x:c>
      <x:c r="D40" s="74" t="n">
        <x:v>35</x:v>
      </x:c>
      <x:c r="E40" s="75" t="n">
        <x:v>3.8</x:v>
      </x:c>
      <x:c r="F40" s="76" t="n">
        <x:v>1114</x:v>
      </x:c>
      <x:c r="G40" s="76" t="n">
        <x:v>9</x:v>
      </x:c>
      <x:c r="H40" s="76" t="n">
        <x:v>21</x:v>
      </x:c>
      <x:c r="I40" s="76" t="n">
        <x:v>0</x:v>
      </x:c>
      <x:c r="J40" s="76" t="n">
        <x:v>5</x:v>
      </x:c>
      <x:c r="K40" s="76" t="n">
        <x:v>0</x:v>
      </x:c>
      <x:c r="L40" s="73" t="str">
        <x:v>https://www.thefantasyfootballers.com/2026-ultimate-draft-kit/udk-andys-projections/</x:v>
      </x:c>
    </x:row>
    <x:row r="41">
      <x:c r="A41" s="70" t="str">
        <x:v>Carson Beck</x:v>
      </x:c>
      <x:c r="B41" s="69" t="str">
        <x:v>ARI</x:v>
      </x:c>
      <x:c r="C41" s="74" t="n">
        <x:v>14</x:v>
      </x:c>
      <x:c r="D41" s="74" t="n">
        <x:v>36</x:v>
      </x:c>
      <x:c r="E41" s="75" t="n">
        <x:v>1</x:v>
      </x:c>
      <x:c r="F41" s="76" t="n">
        <x:v>412</x:v>
      </x:c>
      <x:c r="G41" s="76" t="n">
        <x:v>2</x:v>
      </x:c>
      <x:c r="H41" s="76" t="n">
        <x:v>38</x:v>
      </x:c>
      <x:c r="I41" s="76" t="n">
        <x:v>0</x:v>
      </x:c>
      <x:c r="J41" s="76" t="n">
        <x:v>3</x:v>
      </x:c>
      <x:c r="K41" s="76" t="n">
        <x:v>1</x:v>
      </x:c>
      <x:c r="L41" s="73" t="str">
        <x:v>https://www.thefantasyfootballers.com/2026-ultimate-draft-kit/udk-andys-projections/</x:v>
      </x:c>
    </x:row>
  </x:sheetData>
  <x:mergeCells>
    <x:mergeCell ref="A1:L1"/>
    <x:mergeCell ref="A2:L2"/>
    <x:mergeCell ref="A4:C4"/>
    <x:mergeCell ref="D4:E4"/>
    <x:mergeCell ref="F4:G4"/>
    <x:mergeCell ref="H4:I4"/>
    <x:mergeCell ref="J4:K4"/>
  </x:mergeCells>
  <x:pageMargins left="0.7" right="0.7" top="0.75" bottom="0.75" header="0.3" footer="0.3"/>
  <x:tableParts count="1">
    <x:tablePart xmlns:r="http://schemas.openxmlformats.org/officeDocument/2006/relationships" r:id="R07ce61a3aaad41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46" hidden="0" customWidth="1"/>
  </x:cols>
  <x:sheetData>
    <x:row r="1" ht="32" customHeight="1">
      <x:c r="A1" s="3" t="str">
        <x:v>Jason's 2026 QB Stat Projections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Scoring profile: The Fear Boners  |  36 players  |  Source captured 2026-08-31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5" t="str">
        <x:v>Player</x:v>
      </x:c>
      <x:c r="B4" s="16"/>
      <x:c r="C4" s="17"/>
      <x:c r="D4" s="24" t="str">
        <x:v>Fantasy</x:v>
      </x:c>
      <x:c r="E4" s="25"/>
      <x:c r="F4" s="32" t="str">
        <x:v>Passing</x:v>
      </x:c>
      <x:c r="G4" s="33"/>
      <x:c r="H4" s="40" t="str">
        <x:v>Rushing</x:v>
      </x:c>
      <x:c r="I4" s="41"/>
      <x:c r="J4" s="48" t="str">
        <x:v>Turnovers</x:v>
      </x:c>
      <x:c r="K4" s="49"/>
      <x:c r="L4" s="54" t="str">
        <x:v>Source</x:v>
      </x:c>
    </x:row>
    <x:row r="5" ht="30" customHeight="1">
      <x:c r="A5" s="65" t="str">
        <x:v>Player</x:v>
      </x:c>
      <x:c r="B5" s="66" t="str">
        <x:v>Team</x:v>
      </x:c>
      <x:c r="C5" s="66" t="str">
        <x:v>Bye</x:v>
      </x:c>
      <x:c r="D5" s="66" t="str">
        <x:v>Rank</x:v>
      </x:c>
      <x:c r="E5" s="66" t="str">
        <x:v>PPG</x:v>
      </x:c>
      <x:c r="F5" s="66" t="str">
        <x:v>Pass Yds</x:v>
      </x:c>
      <x:c r="G5" s="66" t="str">
        <x:v>Pass TD</x:v>
      </x:c>
      <x:c r="H5" s="66" t="str">
        <x:v>Rush Yds</x:v>
      </x:c>
      <x:c r="I5" s="66" t="str">
        <x:v>Rush TD</x:v>
      </x:c>
      <x:c r="J5" s="66" t="str">
        <x:v>INT</x:v>
      </x:c>
      <x:c r="K5" s="66" t="str">
        <x:v>FUM</x:v>
      </x:c>
      <x:c r="L5" s="67" t="str">
        <x:v>Source URL</x:v>
      </x:c>
    </x:row>
    <x:row r="6">
      <x:c r="A6" s="70" t="str">
        <x:v>Josh Allen</x:v>
      </x:c>
      <x:c r="B6" s="69" t="str">
        <x:v>BUF</x:v>
      </x:c>
      <x:c r="C6" s="74" t="n">
        <x:v>7</x:v>
      </x:c>
      <x:c r="D6" s="74" t="n">
        <x:v>1</x:v>
      </x:c>
      <x:c r="E6" s="75" t="n">
        <x:v>21.9</x:v>
      </x:c>
      <x:c r="F6" s="76" t="n">
        <x:v>4176</x:v>
      </x:c>
      <x:c r="G6" s="76" t="n">
        <x:v>32</x:v>
      </x:c>
      <x:c r="H6" s="76" t="n">
        <x:v>560</x:v>
      </x:c>
      <x:c r="I6" s="76" t="n">
        <x:v>11</x:v>
      </x:c>
      <x:c r="J6" s="76" t="n">
        <x:v>11</x:v>
      </x:c>
      <x:c r="K6" s="76" t="n">
        <x:v>6</x:v>
      </x:c>
      <x:c r="L6" s="73" t="str">
        <x:v>https://www.thefantasyfootballers.com/2026-ultimate-draft-kit/udk-jasons-projections/</x:v>
      </x:c>
    </x:row>
    <x:row r="7">
      <x:c r="A7" s="70" t="str">
        <x:v>Jalen Hurts</x:v>
      </x:c>
      <x:c r="B7" s="69" t="str">
        <x:v>PHI</x:v>
      </x:c>
      <x:c r="C7" s="74" t="n">
        <x:v>10</x:v>
      </x:c>
      <x:c r="D7" s="74" t="n">
        <x:v>2</x:v>
      </x:c>
      <x:c r="E7" s="75" t="n">
        <x:v>19.2</x:v>
      </x:c>
      <x:c r="F7" s="76" t="n">
        <x:v>3890</x:v>
      </x:c>
      <x:c r="G7" s="76" t="n">
        <x:v>26</x:v>
      </x:c>
      <x:c r="H7" s="76" t="n">
        <x:v>430</x:v>
      </x:c>
      <x:c r="I7" s="76" t="n">
        <x:v>10</x:v>
      </x:c>
      <x:c r="J7" s="76" t="n">
        <x:v>9</x:v>
      </x:c>
      <x:c r="K7" s="76" t="n">
        <x:v>4</x:v>
      </x:c>
      <x:c r="L7" s="73" t="str">
        <x:v>https://www.thefantasyfootballers.com/2026-ultimate-draft-kit/udk-jasons-projections/</x:v>
      </x:c>
    </x:row>
    <x:row r="8">
      <x:c r="A8" s="70" t="str">
        <x:v>Lamar Jackson</x:v>
      </x:c>
      <x:c r="B8" s="69" t="str">
        <x:v>BAL</x:v>
      </x:c>
      <x:c r="C8" s="74" t="n">
        <x:v>13</x:v>
      </x:c>
      <x:c r="D8" s="74" t="n">
        <x:v>3</x:v>
      </x:c>
      <x:c r="E8" s="75" t="n">
        <x:v>19.2</x:v>
      </x:c>
      <x:c r="F8" s="76" t="n">
        <x:v>3720</x:v>
      </x:c>
      <x:c r="G8" s="76" t="n">
        <x:v>30</x:v>
      </x:c>
      <x:c r="H8" s="76" t="n">
        <x:v>620</x:v>
      </x:c>
      <x:c r="I8" s="76" t="n">
        <x:v>6</x:v>
      </x:c>
      <x:c r="J8" s="76" t="n">
        <x:v>9</x:v>
      </x:c>
      <x:c r="K8" s="76" t="n">
        <x:v>5</x:v>
      </x:c>
      <x:c r="L8" s="73" t="str">
        <x:v>https://www.thefantasyfootballers.com/2026-ultimate-draft-kit/udk-jasons-projections/</x:v>
      </x:c>
    </x:row>
    <x:row r="9">
      <x:c r="A9" s="70" t="str">
        <x:v>Joe Burrow</x:v>
      </x:c>
      <x:c r="B9" s="69" t="str">
        <x:v>CIN</x:v>
      </x:c>
      <x:c r="C9" s="74" t="n">
        <x:v>6</x:v>
      </x:c>
      <x:c r="D9" s="74" t="n">
        <x:v>4</x:v>
      </x:c>
      <x:c r="E9" s="75" t="n">
        <x:v>19</x:v>
      </x:c>
      <x:c r="F9" s="76" t="n">
        <x:v>4751</x:v>
      </x:c>
      <x:c r="G9" s="76" t="n">
        <x:v>36</x:v>
      </x:c>
      <x:c r="H9" s="76" t="n">
        <x:v>145</x:v>
      </x:c>
      <x:c r="I9" s="76" t="n">
        <x:v>2</x:v>
      </x:c>
      <x:c r="J9" s="76" t="n">
        <x:v>10</x:v>
      </x:c>
      <x:c r="K9" s="76" t="n">
        <x:v>4</x:v>
      </x:c>
      <x:c r="L9" s="73" t="str">
        <x:v>https://www.thefantasyfootballers.com/2026-ultimate-draft-kit/udk-jasons-projections/</x:v>
      </x:c>
    </x:row>
    <x:row r="10">
      <x:c r="A10" s="70" t="str">
        <x:v>Jaxson Dart</x:v>
      </x:c>
      <x:c r="B10" s="69" t="str">
        <x:v>NYG</x:v>
      </x:c>
      <x:c r="C10" s="74" t="n">
        <x:v>8</x:v>
      </x:c>
      <x:c r="D10" s="74" t="n">
        <x:v>5</x:v>
      </x:c>
      <x:c r="E10" s="75" t="n">
        <x:v>18.9</x:v>
      </x:c>
      <x:c r="F10" s="76" t="n">
        <x:v>3996</x:v>
      </x:c>
      <x:c r="G10" s="76" t="n">
        <x:v>26</x:v>
      </x:c>
      <x:c r="H10" s="76" t="n">
        <x:v>633</x:v>
      </x:c>
      <x:c r="I10" s="76" t="n">
        <x:v>6</x:v>
      </x:c>
      <x:c r="J10" s="76" t="n">
        <x:v>10</x:v>
      </x:c>
      <x:c r="K10" s="76" t="n">
        <x:v>5</x:v>
      </x:c>
      <x:c r="L10" s="73" t="str">
        <x:v>https://www.thefantasyfootballers.com/2026-ultimate-draft-kit/udk-jasons-projections/</x:v>
      </x:c>
    </x:row>
    <x:row r="11">
      <x:c r="A11" s="70" t="str">
        <x:v>Drake Maye</x:v>
      </x:c>
      <x:c r="B11" s="69" t="str">
        <x:v>NE</x:v>
      </x:c>
      <x:c r="C11" s="74" t="n">
        <x:v>11</x:v>
      </x:c>
      <x:c r="D11" s="74" t="n">
        <x:v>6</x:v>
      </x:c>
      <x:c r="E11" s="75" t="n">
        <x:v>18.8</x:v>
      </x:c>
      <x:c r="F11" s="76" t="n">
        <x:v>4433</x:v>
      </x:c>
      <x:c r="G11" s="76" t="n">
        <x:v>30</x:v>
      </x:c>
      <x:c r="H11" s="76" t="n">
        <x:v>428</x:v>
      </x:c>
      <x:c r="I11" s="76" t="n">
        <x:v>3</x:v>
      </x:c>
      <x:c r="J11" s="76" t="n">
        <x:v>11</x:v>
      </x:c>
      <x:c r="K11" s="76" t="n">
        <x:v>3</x:v>
      </x:c>
      <x:c r="L11" s="73" t="str">
        <x:v>https://www.thefantasyfootballers.com/2026-ultimate-draft-kit/udk-jasons-projections/</x:v>
      </x:c>
    </x:row>
    <x:row r="12">
      <x:c r="A12" s="70" t="str">
        <x:v>Jayden Daniels</x:v>
      </x:c>
      <x:c r="B12" s="69" t="str">
        <x:v>WAS</x:v>
      </x:c>
      <x:c r="C12" s="74" t="n">
        <x:v>7</x:v>
      </x:c>
      <x:c r="D12" s="74" t="n">
        <x:v>7</x:v>
      </x:c>
      <x:c r="E12" s="75" t="n">
        <x:v>18.8</x:v>
      </x:c>
      <x:c r="F12" s="76" t="n">
        <x:v>3921</x:v>
      </x:c>
      <x:c r="G12" s="76" t="n">
        <x:v>28</x:v>
      </x:c>
      <x:c r="H12" s="76" t="n">
        <x:v>651</x:v>
      </x:c>
      <x:c r="I12" s="76" t="n">
        <x:v>6</x:v>
      </x:c>
      <x:c r="J12" s="76" t="n">
        <x:v>12</x:v>
      </x:c>
      <x:c r="K12" s="76" t="n">
        <x:v>5</x:v>
      </x:c>
      <x:c r="L12" s="73" t="str">
        <x:v>https://www.thefantasyfootballers.com/2026-ultimate-draft-kit/udk-jasons-projections/</x:v>
      </x:c>
    </x:row>
    <x:row r="13">
      <x:c r="A13" s="70" t="str">
        <x:v>Justin Herbert</x:v>
      </x:c>
      <x:c r="B13" s="69" t="str">
        <x:v>LAC</x:v>
      </x:c>
      <x:c r="C13" s="74" t="n">
        <x:v>7</x:v>
      </x:c>
      <x:c r="D13" s="74" t="n">
        <x:v>8</x:v>
      </x:c>
      <x:c r="E13" s="75" t="n">
        <x:v>18.5</x:v>
      </x:c>
      <x:c r="F13" s="76" t="n">
        <x:v>4245</x:v>
      </x:c>
      <x:c r="G13" s="76" t="n">
        <x:v>33</x:v>
      </x:c>
      <x:c r="H13" s="76" t="n">
        <x:v>300</x:v>
      </x:c>
      <x:c r="I13" s="76" t="n">
        <x:v>3</x:v>
      </x:c>
      <x:c r="J13" s="76" t="n">
        <x:v>10</x:v>
      </x:c>
      <x:c r="K13" s="76" t="n">
        <x:v>2</x:v>
      </x:c>
      <x:c r="L13" s="73" t="str">
        <x:v>https://www.thefantasyfootballers.com/2026-ultimate-draft-kit/udk-jasons-projections/</x:v>
      </x:c>
    </x:row>
    <x:row r="14">
      <x:c r="A14" s="70" t="str">
        <x:v>Caleb Williams</x:v>
      </x:c>
      <x:c r="B14" s="69" t="str">
        <x:v>CHI</x:v>
      </x:c>
      <x:c r="C14" s="74" t="n">
        <x:v>10</x:v>
      </x:c>
      <x:c r="D14" s="74" t="n">
        <x:v>9</x:v>
      </x:c>
      <x:c r="E14" s="75" t="n">
        <x:v>18.4</x:v>
      </x:c>
      <x:c r="F14" s="76" t="n">
        <x:v>4211</x:v>
      </x:c>
      <x:c r="G14" s="76" t="n">
        <x:v>32</x:v>
      </x:c>
      <x:c r="H14" s="76" t="n">
        <x:v>360</x:v>
      </x:c>
      <x:c r="I14" s="76" t="n">
        <x:v>4</x:v>
      </x:c>
      <x:c r="J14" s="76" t="n">
        <x:v>11</x:v>
      </x:c>
      <x:c r="K14" s="76" t="n">
        <x:v>5</x:v>
      </x:c>
      <x:c r="L14" s="73" t="str">
        <x:v>https://www.thefantasyfootballers.com/2026-ultimate-draft-kit/udk-jasons-projections/</x:v>
      </x:c>
    </x:row>
    <x:row r="15">
      <x:c r="A15" s="70" t="str">
        <x:v>Dak Prescott</x:v>
      </x:c>
      <x:c r="B15" s="69" t="str">
        <x:v>DAL</x:v>
      </x:c>
      <x:c r="C15" s="74" t="n">
        <x:v>14</x:v>
      </x:c>
      <x:c r="D15" s="74" t="n">
        <x:v>10</x:v>
      </x:c>
      <x:c r="E15" s="75" t="n">
        <x:v>18.3</x:v>
      </x:c>
      <x:c r="F15" s="76" t="n">
        <x:v>4781</x:v>
      </x:c>
      <x:c r="G15" s="76" t="n">
        <x:v>34</x:v>
      </x:c>
      <x:c r="H15" s="76" t="n">
        <x:v>155</x:v>
      </x:c>
      <x:c r="I15" s="76" t="n">
        <x:v>2</x:v>
      </x:c>
      <x:c r="J15" s="76" t="n">
        <x:v>12</x:v>
      </x:c>
      <x:c r="K15" s="76" t="n">
        <x:v>4</x:v>
      </x:c>
      <x:c r="L15" s="73" t="str">
        <x:v>https://www.thefantasyfootballers.com/2026-ultimate-draft-kit/udk-jasons-projections/</x:v>
      </x:c>
    </x:row>
    <x:row r="16">
      <x:c r="A16" s="70" t="str">
        <x:v>Trevor Lawrence</x:v>
      </x:c>
      <x:c r="B16" s="69" t="str">
        <x:v>JAX</x:v>
      </x:c>
      <x:c r="C16" s="74" t="n">
        <x:v>7</x:v>
      </x:c>
      <x:c r="D16" s="74" t="n">
        <x:v>11</x:v>
      </x:c>
      <x:c r="E16" s="75" t="n">
        <x:v>18</x:v>
      </x:c>
      <x:c r="F16" s="76" t="n">
        <x:v>4300</x:v>
      </x:c>
      <x:c r="G16" s="76" t="n">
        <x:v>31</x:v>
      </x:c>
      <x:c r="H16" s="76" t="n">
        <x:v>295</x:v>
      </x:c>
      <x:c r="I16" s="76" t="n">
        <x:v>4</x:v>
      </x:c>
      <x:c r="J16" s="76" t="n">
        <x:v>11</x:v>
      </x:c>
      <x:c r="K16" s="76" t="n">
        <x:v>5</x:v>
      </x:c>
      <x:c r="L16" s="73" t="str">
        <x:v>https://www.thefantasyfootballers.com/2026-ultimate-draft-kit/udk-jasons-projections/</x:v>
      </x:c>
    </x:row>
    <x:row r="17">
      <x:c r="A17" s="70" t="str">
        <x:v>Bo Nix</x:v>
      </x:c>
      <x:c r="B17" s="69" t="str">
        <x:v>DEN</x:v>
      </x:c>
      <x:c r="C17" s="74" t="n">
        <x:v>10</x:v>
      </x:c>
      <x:c r="D17" s="74" t="n">
        <x:v>12</x:v>
      </x:c>
      <x:c r="E17" s="75" t="n">
        <x:v>17.9</x:v>
      </x:c>
      <x:c r="F17" s="76" t="n">
        <x:v>4213</x:v>
      </x:c>
      <x:c r="G17" s="76" t="n">
        <x:v>29</x:v>
      </x:c>
      <x:c r="H17" s="76" t="n">
        <x:v>334</x:v>
      </x:c>
      <x:c r="I17" s="76" t="n">
        <x:v>4</x:v>
      </x:c>
      <x:c r="J17" s="76" t="n">
        <x:v>11</x:v>
      </x:c>
      <x:c r="K17" s="76" t="n">
        <x:v>2</x:v>
      </x:c>
      <x:c r="L17" s="73" t="str">
        <x:v>https://www.thefantasyfootballers.com/2026-ultimate-draft-kit/udk-jasons-projections/</x:v>
      </x:c>
    </x:row>
    <x:row r="18">
      <x:c r="A18" s="70" t="str">
        <x:v>Patrick Mahomes</x:v>
      </x:c>
      <x:c r="B18" s="69" t="str">
        <x:v>KC</x:v>
      </x:c>
      <x:c r="C18" s="74" t="n">
        <x:v>5</x:v>
      </x:c>
      <x:c r="D18" s="74" t="n">
        <x:v>13</x:v>
      </x:c>
      <x:c r="E18" s="75" t="n">
        <x:v>17.6</x:v>
      </x:c>
      <x:c r="F18" s="76" t="n">
        <x:v>4336</x:v>
      </x:c>
      <x:c r="G18" s="76" t="n">
        <x:v>31</x:v>
      </x:c>
      <x:c r="H18" s="76" t="n">
        <x:v>248</x:v>
      </x:c>
      <x:c r="I18" s="76" t="n">
        <x:v>2</x:v>
      </x:c>
      <x:c r="J18" s="76" t="n">
        <x:v>11</x:v>
      </x:c>
      <x:c r="K18" s="76" t="n">
        <x:v>1</x:v>
      </x:c>
      <x:c r="L18" s="73" t="str">
        <x:v>https://www.thefantasyfootballers.com/2026-ultimate-draft-kit/udk-jasons-projections/</x:v>
      </x:c>
    </x:row>
    <x:row r="19">
      <x:c r="A19" s="70" t="str">
        <x:v>Brock Purdy</x:v>
      </x:c>
      <x:c r="B19" s="69" t="str">
        <x:v>SF</x:v>
      </x:c>
      <x:c r="C19" s="74" t="n">
        <x:v>8</x:v>
      </x:c>
      <x:c r="D19" s="74" t="n">
        <x:v>14</x:v>
      </x:c>
      <x:c r="E19" s="75" t="n">
        <x:v>17.6</x:v>
      </x:c>
      <x:c r="F19" s="76" t="n">
        <x:v>4384</x:v>
      </x:c>
      <x:c r="G19" s="76" t="n">
        <x:v>33</x:v>
      </x:c>
      <x:c r="H19" s="76" t="n">
        <x:v>225</x:v>
      </x:c>
      <x:c r="I19" s="76" t="n">
        <x:v>3</x:v>
      </x:c>
      <x:c r="J19" s="76" t="n">
        <x:v>13</x:v>
      </x:c>
      <x:c r="K19" s="76" t="n">
        <x:v>5</x:v>
      </x:c>
      <x:c r="L19" s="73" t="str">
        <x:v>https://www.thefantasyfootballers.com/2026-ultimate-draft-kit/udk-jasons-projections/</x:v>
      </x:c>
    </x:row>
    <x:row r="20">
      <x:c r="A20" s="70" t="str">
        <x:v>Baker Mayfield</x:v>
      </x:c>
      <x:c r="B20" s="69" t="str">
        <x:v>TB</x:v>
      </x:c>
      <x:c r="C20" s="74" t="n">
        <x:v>10</x:v>
      </x:c>
      <x:c r="D20" s="74" t="n">
        <x:v>15</x:v>
      </x:c>
      <x:c r="E20" s="75" t="n">
        <x:v>17.4</x:v>
      </x:c>
      <x:c r="F20" s="76" t="n">
        <x:v>4364</x:v>
      </x:c>
      <x:c r="G20" s="76" t="n">
        <x:v>32</x:v>
      </x:c>
      <x:c r="H20" s="76" t="n">
        <x:v>310</x:v>
      </x:c>
      <x:c r="I20" s="76" t="n">
        <x:v>2</x:v>
      </x:c>
      <x:c r="J20" s="76" t="n">
        <x:v>13</x:v>
      </x:c>
      <x:c r="K20" s="76" t="n">
        <x:v>4</x:v>
      </x:c>
      <x:c r="L20" s="73" t="str">
        <x:v>https://www.thefantasyfootballers.com/2026-ultimate-draft-kit/udk-jasons-projections/</x:v>
      </x:c>
    </x:row>
    <x:row r="21">
      <x:c r="A21" s="70" t="str">
        <x:v>Jordan Love</x:v>
      </x:c>
      <x:c r="B21" s="69" t="str">
        <x:v>GB</x:v>
      </x:c>
      <x:c r="C21" s="74" t="n">
        <x:v>11</x:v>
      </x:c>
      <x:c r="D21" s="74" t="n">
        <x:v>16</x:v>
      </x:c>
      <x:c r="E21" s="75" t="n">
        <x:v>17.4</x:v>
      </x:c>
      <x:c r="F21" s="76" t="n">
        <x:v>4250</x:v>
      </x:c>
      <x:c r="G21" s="76" t="n">
        <x:v>32</x:v>
      </x:c>
      <x:c r="H21" s="76" t="n">
        <x:v>180</x:v>
      </x:c>
      <x:c r="I21" s="76" t="n">
        <x:v>2</x:v>
      </x:c>
      <x:c r="J21" s="76" t="n">
        <x:v>8</x:v>
      </x:c>
      <x:c r="K21" s="76" t="n">
        <x:v>4</x:v>
      </x:c>
      <x:c r="L21" s="73" t="str">
        <x:v>https://www.thefantasyfootballers.com/2026-ultimate-draft-kit/udk-jasons-projections/</x:v>
      </x:c>
    </x:row>
    <x:row r="22">
      <x:c r="A22" s="70" t="str">
        <x:v>Matthew Stafford</x:v>
      </x:c>
      <x:c r="B22" s="69" t="str">
        <x:v>LAR</x:v>
      </x:c>
      <x:c r="C22" s="74" t="n">
        <x:v>11</x:v>
      </x:c>
      <x:c r="D22" s="74" t="n">
        <x:v>17</x:v>
      </x:c>
      <x:c r="E22" s="75" t="n">
        <x:v>17.3</x:v>
      </x:c>
      <x:c r="F22" s="76" t="n">
        <x:v>4580</x:v>
      </x:c>
      <x:c r="G22" s="76" t="n">
        <x:v>36</x:v>
      </x:c>
      <x:c r="H22" s="76" t="n">
        <x:v>0</x:v>
      </x:c>
      <x:c r="I22" s="76" t="n">
        <x:v>0</x:v>
      </x:c>
      <x:c r="J22" s="76" t="n">
        <x:v>9</x:v>
      </x:c>
      <x:c r="K22" s="76" t="n">
        <x:v>3</x:v>
      </x:c>
      <x:c r="L22" s="73" t="str">
        <x:v>https://www.thefantasyfootballers.com/2026-ultimate-draft-kit/udk-jasons-projections/</x:v>
      </x:c>
    </x:row>
    <x:row r="23">
      <x:c r="A23" s="70" t="str">
        <x:v>Kyler Murray</x:v>
      </x:c>
      <x:c r="B23" s="69" t="str">
        <x:v>MIN</x:v>
      </x:c>
      <x:c r="C23" s="74" t="n">
        <x:v>6</x:v>
      </x:c>
      <x:c r="D23" s="74" t="n">
        <x:v>18</x:v>
      </x:c>
      <x:c r="E23" s="75" t="n">
        <x:v>17.3</x:v>
      </x:c>
      <x:c r="F23" s="76" t="n">
        <x:v>3745</x:v>
      </x:c>
      <x:c r="G23" s="76" t="n">
        <x:v>24</x:v>
      </x:c>
      <x:c r="H23" s="76" t="n">
        <x:v>560</x:v>
      </x:c>
      <x:c r="I23" s="76" t="n">
        <x:v>5</x:v>
      </x:c>
      <x:c r="J23" s="76" t="n">
        <x:v>11</x:v>
      </x:c>
      <x:c r="K23" s="76" t="n">
        <x:v>3</x:v>
      </x:c>
      <x:c r="L23" s="73" t="str">
        <x:v>https://www.thefantasyfootballers.com/2026-ultimate-draft-kit/udk-jasons-projections/</x:v>
      </x:c>
    </x:row>
    <x:row r="24">
      <x:c r="A24" s="70" t="str">
        <x:v>Jared Goff</x:v>
      </x:c>
      <x:c r="B24" s="69" t="str">
        <x:v>DET</x:v>
      </x:c>
      <x:c r="C24" s="74" t="n">
        <x:v>6</x:v>
      </x:c>
      <x:c r="D24" s="74" t="n">
        <x:v>19</x:v>
      </x:c>
      <x:c r="E24" s="75" t="n">
        <x:v>17.3</x:v>
      </x:c>
      <x:c r="F24" s="76" t="n">
        <x:v>4650</x:v>
      </x:c>
      <x:c r="G24" s="76" t="n">
        <x:v>35</x:v>
      </x:c>
      <x:c r="H24" s="76" t="n">
        <x:v>105</x:v>
      </x:c>
      <x:c r="I24" s="76" t="n">
        <x:v>0</x:v>
      </x:c>
      <x:c r="J24" s="76" t="n">
        <x:v>11</x:v>
      </x:c>
      <x:c r="K24" s="76" t="n">
        <x:v>5</x:v>
      </x:c>
      <x:c r="L24" s="73" t="str">
        <x:v>https://www.thefantasyfootballers.com/2026-ultimate-draft-kit/udk-jasons-projections/</x:v>
      </x:c>
    </x:row>
    <x:row r="25">
      <x:c r="A25" s="70" t="str">
        <x:v>Tyler Shough</x:v>
      </x:c>
      <x:c r="B25" s="69" t="str">
        <x:v>NO</x:v>
      </x:c>
      <x:c r="C25" s="74" t="n">
        <x:v>8</x:v>
      </x:c>
      <x:c r="D25" s="74" t="n">
        <x:v>20</x:v>
      </x:c>
      <x:c r="E25" s="75" t="n">
        <x:v>17.1</x:v>
      </x:c>
      <x:c r="F25" s="76" t="n">
        <x:v>4180</x:v>
      </x:c>
      <x:c r="G25" s="76" t="n">
        <x:v>26</x:v>
      </x:c>
      <x:c r="H25" s="76" t="n">
        <x:v>413</x:v>
      </x:c>
      <x:c r="I25" s="76" t="n">
        <x:v>4</x:v>
      </x:c>
      <x:c r="J25" s="76" t="n">
        <x:v>12</x:v>
      </x:c>
      <x:c r="K25" s="76" t="n">
        <x:v>5</x:v>
      </x:c>
      <x:c r="L25" s="73" t="str">
        <x:v>https://www.thefantasyfootballers.com/2026-ultimate-draft-kit/udk-jasons-projections/</x:v>
      </x:c>
    </x:row>
    <x:row r="26">
      <x:c r="A26" s="70" t="str">
        <x:v>Cam Ward</x:v>
      </x:c>
      <x:c r="B26" s="69" t="str">
        <x:v>TEN</x:v>
      </x:c>
      <x:c r="C26" s="74" t="n">
        <x:v>9</x:v>
      </x:c>
      <x:c r="D26" s="74" t="n">
        <x:v>21</x:v>
      </x:c>
      <x:c r="E26" s="75" t="n">
        <x:v>15.6</x:v>
      </x:c>
      <x:c r="F26" s="76" t="n">
        <x:v>4017</x:v>
      </x:c>
      <x:c r="G26" s="76" t="n">
        <x:v>26</x:v>
      </x:c>
      <x:c r="H26" s="76" t="n">
        <x:v>310</x:v>
      </x:c>
      <x:c r="I26" s="76" t="n">
        <x:v>3</x:v>
      </x:c>
      <x:c r="J26" s="76" t="n">
        <x:v>12</x:v>
      </x:c>
      <x:c r="K26" s="76" t="n">
        <x:v>5</x:v>
      </x:c>
      <x:c r="L26" s="73" t="str">
        <x:v>https://www.thefantasyfootballers.com/2026-ultimate-draft-kit/udk-jasons-projections/</x:v>
      </x:c>
    </x:row>
    <x:row r="27">
      <x:c r="A27" s="70" t="str">
        <x:v>Malik Willis</x:v>
      </x:c>
      <x:c r="B27" s="69" t="str">
        <x:v>MIA</x:v>
      </x:c>
      <x:c r="C27" s="74" t="n">
        <x:v>6</x:v>
      </x:c>
      <x:c r="D27" s="74" t="n">
        <x:v>22</x:v>
      </x:c>
      <x:c r="E27" s="75" t="n">
        <x:v>15.3</x:v>
      </x:c>
      <x:c r="F27" s="76" t="n">
        <x:v>3414</x:v>
      </x:c>
      <x:c r="G27" s="76" t="n">
        <x:v>18</x:v>
      </x:c>
      <x:c r="H27" s="76" t="n">
        <x:v>655</x:v>
      </x:c>
      <x:c r="I27" s="76" t="n">
        <x:v>5</x:v>
      </x:c>
      <x:c r="J27" s="76" t="n">
        <x:v>12</x:v>
      </x:c>
      <x:c r="K27" s="76" t="n">
        <x:v>3</x:v>
      </x:c>
      <x:c r="L27" s="73" t="str">
        <x:v>https://www.thefantasyfootballers.com/2026-ultimate-draft-kit/udk-jasons-projections/</x:v>
      </x:c>
    </x:row>
    <x:row r="28">
      <x:c r="A28" s="70" t="str">
        <x:v>Daniel Jones</x:v>
      </x:c>
      <x:c r="B28" s="69" t="str">
        <x:v>IND</x:v>
      </x:c>
      <x:c r="C28" s="74" t="n">
        <x:v>13</x:v>
      </x:c>
      <x:c r="D28" s="74" t="n">
        <x:v>23</x:v>
      </x:c>
      <x:c r="E28" s="75" t="n">
        <x:v>15.2</x:v>
      </x:c>
      <x:c r="F28" s="76" t="n">
        <x:v>4082</x:v>
      </x:c>
      <x:c r="G28" s="76" t="n">
        <x:v>25</x:v>
      </x:c>
      <x:c r="H28" s="76" t="n">
        <x:v>200</x:v>
      </x:c>
      <x:c r="I28" s="76" t="n">
        <x:v>3</x:v>
      </x:c>
      <x:c r="J28" s="76" t="n">
        <x:v>11</x:v>
      </x:c>
      <x:c r="K28" s="76" t="n">
        <x:v>5</x:v>
      </x:c>
      <x:c r="L28" s="73" t="str">
        <x:v>https://www.thefantasyfootballers.com/2026-ultimate-draft-kit/udk-jasons-projections/</x:v>
      </x:c>
    </x:row>
    <x:row r="29">
      <x:c r="A29" s="70" t="str">
        <x:v>C.J. Stroud</x:v>
      </x:c>
      <x:c r="B29" s="69" t="str">
        <x:v>HOU</x:v>
      </x:c>
      <x:c r="C29" s="74" t="n">
        <x:v>8</x:v>
      </x:c>
      <x:c r="D29" s="74" t="n">
        <x:v>24</x:v>
      </x:c>
      <x:c r="E29" s="75" t="n">
        <x:v>14.7</x:v>
      </x:c>
      <x:c r="F29" s="76" t="n">
        <x:v>3976</x:v>
      </x:c>
      <x:c r="G29" s="76" t="n">
        <x:v>25</x:v>
      </x:c>
      <x:c r="H29" s="76" t="n">
        <x:v>215</x:v>
      </x:c>
      <x:c r="I29" s="76" t="n">
        <x:v>2</x:v>
      </x:c>
      <x:c r="J29" s="76" t="n">
        <x:v>10</x:v>
      </x:c>
      <x:c r="K29" s="76" t="n">
        <x:v>5</x:v>
      </x:c>
      <x:c r="L29" s="73" t="str">
        <x:v>https://www.thefantasyfootballers.com/2026-ultimate-draft-kit/udk-jasons-projections/</x:v>
      </x:c>
    </x:row>
    <x:row r="30">
      <x:c r="A30" s="70" t="str">
        <x:v>Aaron Rodgers</x:v>
      </x:c>
      <x:c r="B30" s="69" t="str">
        <x:v>PIT</x:v>
      </x:c>
      <x:c r="C30" s="74" t="n">
        <x:v>9</x:v>
      </x:c>
      <x:c r="D30" s="74" t="n">
        <x:v>25</x:v>
      </x:c>
      <x:c r="E30" s="75" t="n">
        <x:v>14.1</x:v>
      </x:c>
      <x:c r="F30" s="76" t="n">
        <x:v>3942</x:v>
      </x:c>
      <x:c r="G30" s="76" t="n">
        <x:v>27</x:v>
      </x:c>
      <x:c r="H30" s="76" t="n">
        <x:v>60</x:v>
      </x:c>
      <x:c r="I30" s="76" t="n">
        <x:v>1</x:v>
      </x:c>
      <x:c r="J30" s="76" t="n">
        <x:v>10</x:v>
      </x:c>
      <x:c r="K30" s="76" t="n">
        <x:v>4</x:v>
      </x:c>
      <x:c r="L30" s="73" t="str">
        <x:v>https://www.thefantasyfootballers.com/2026-ultimate-draft-kit/udk-jasons-projections/</x:v>
      </x:c>
    </x:row>
    <x:row r="31">
      <x:c r="A31" s="70" t="str">
        <x:v>Sam Darnold</x:v>
      </x:c>
      <x:c r="B31" s="69" t="str">
        <x:v>SEA</x:v>
      </x:c>
      <x:c r="C31" s="74" t="n">
        <x:v>11</x:v>
      </x:c>
      <x:c r="D31" s="74" t="n">
        <x:v>26</x:v>
      </x:c>
      <x:c r="E31" s="75" t="n">
        <x:v>13.8</x:v>
      </x:c>
      <x:c r="F31" s="76" t="n">
        <x:v>4166</x:v>
      </x:c>
      <x:c r="G31" s="76" t="n">
        <x:v>27</x:v>
      </x:c>
      <x:c r="H31" s="76" t="n">
        <x:v>107</x:v>
      </x:c>
      <x:c r="I31" s="76" t="n">
        <x:v>1</x:v>
      </x:c>
      <x:c r="J31" s="76" t="n">
        <x:v>15</x:v>
      </x:c>
      <x:c r="K31" s="76" t="n">
        <x:v>5</x:v>
      </x:c>
      <x:c r="L31" s="73" t="str">
        <x:v>https://www.thefantasyfootballers.com/2026-ultimate-draft-kit/udk-jasons-projections/</x:v>
      </x:c>
    </x:row>
    <x:row r="32">
      <x:c r="A32" s="70" t="str">
        <x:v>Bryce Young</x:v>
      </x:c>
      <x:c r="B32" s="69" t="str">
        <x:v>CAR</x:v>
      </x:c>
      <x:c r="C32" s="74" t="n">
        <x:v>5</x:v>
      </x:c>
      <x:c r="D32" s="74" t="n">
        <x:v>27</x:v>
      </x:c>
      <x:c r="E32" s="75" t="n">
        <x:v>13.3</x:v>
      </x:c>
      <x:c r="F32" s="76" t="n">
        <x:v>3380</x:v>
      </x:c>
      <x:c r="G32" s="76" t="n">
        <x:v>26</x:v>
      </x:c>
      <x:c r="H32" s="76" t="n">
        <x:v>225</x:v>
      </x:c>
      <x:c r="I32" s="76" t="n">
        <x:v>2</x:v>
      </x:c>
      <x:c r="J32" s="76" t="n">
        <x:v>12</x:v>
      </x:c>
      <x:c r="K32" s="76" t="n">
        <x:v>5</x:v>
      </x:c>
      <x:c r="L32" s="73" t="str">
        <x:v>https://www.thefantasyfootballers.com/2026-ultimate-draft-kit/udk-jasons-projections/</x:v>
      </x:c>
    </x:row>
    <x:row r="33">
      <x:c r="A33" s="70" t="str">
        <x:v>Geno Smith</x:v>
      </x:c>
      <x:c r="B33" s="69" t="str">
        <x:v>NYJ</x:v>
      </x:c>
      <x:c r="C33" s="74" t="n">
        <x:v>13</x:v>
      </x:c>
      <x:c r="D33" s="74" t="n">
        <x:v>28</x:v>
      </x:c>
      <x:c r="E33" s="75" t="n">
        <x:v>12.9</x:v>
      </x:c>
      <x:c r="F33" s="76" t="n">
        <x:v>3790</x:v>
      </x:c>
      <x:c r="G33" s="76" t="n">
        <x:v>25</x:v>
      </x:c>
      <x:c r="H33" s="76" t="n">
        <x:v>130</x:v>
      </x:c>
      <x:c r="I33" s="76" t="n">
        <x:v>1</x:v>
      </x:c>
      <x:c r="J33" s="76" t="n">
        <x:v>14</x:v>
      </x:c>
      <x:c r="K33" s="76" t="n">
        <x:v>5</x:v>
      </x:c>
      <x:c r="L33" s="73" t="str">
        <x:v>https://www.thefantasyfootballers.com/2026-ultimate-draft-kit/udk-jasons-projections/</x:v>
      </x:c>
    </x:row>
    <x:row r="34">
      <x:c r="A34" s="70" t="str">
        <x:v>Tua Tagovailoa</x:v>
      </x:c>
      <x:c r="B34" s="69" t="str">
        <x:v>ATL</x:v>
      </x:c>
      <x:c r="C34" s="74" t="n">
        <x:v>11</x:v>
      </x:c>
      <x:c r="D34" s="74" t="n">
        <x:v>29</x:v>
      </x:c>
      <x:c r="E34" s="75" t="n">
        <x:v>10.9</x:v>
      </x:c>
      <x:c r="F34" s="76" t="n">
        <x:v>3441</x:v>
      </x:c>
      <x:c r="G34" s="76" t="n">
        <x:v>22</x:v>
      </x:c>
      <x:c r="H34" s="76" t="n">
        <x:v>40</x:v>
      </x:c>
      <x:c r="I34" s="76" t="n">
        <x:v>0</x:v>
      </x:c>
      <x:c r="J34" s="76" t="n">
        <x:v>11</x:v>
      </x:c>
      <x:c r="K34" s="76" t="n">
        <x:v>6</x:v>
      </x:c>
      <x:c r="L34" s="73" t="str">
        <x:v>https://www.thefantasyfootballers.com/2026-ultimate-draft-kit/udk-jasons-projections/</x:v>
      </x:c>
    </x:row>
    <x:row r="35">
      <x:c r="A35" s="70" t="str">
        <x:v>Shedeur Sanders</x:v>
      </x:c>
      <x:c r="B35" s="69" t="str">
        <x:v>CLE</x:v>
      </x:c>
      <x:c r="C35" s="74" t="n">
        <x:v>11</x:v>
      </x:c>
      <x:c r="D35" s="74" t="n">
        <x:v>30</x:v>
      </x:c>
      <x:c r="E35" s="75" t="n">
        <x:v>9.8</x:v>
      </x:c>
      <x:c r="F35" s="76" t="n">
        <x:v>1718</x:v>
      </x:c>
      <x:c r="G35" s="76" t="n">
        <x:v>23</x:v>
      </x:c>
      <x:c r="H35" s="76" t="n">
        <x:v>305</x:v>
      </x:c>
      <x:c r="I35" s="76" t="n">
        <x:v>1</x:v>
      </x:c>
      <x:c r="J35" s="76" t="n">
        <x:v>8</x:v>
      </x:c>
      <x:c r="K35" s="76" t="n">
        <x:v>3</x:v>
      </x:c>
      <x:c r="L35" s="73" t="str">
        <x:v>https://www.thefantasyfootballers.com/2026-ultimate-draft-kit/udk-jasons-projections/</x:v>
      </x:c>
    </x:row>
    <x:row r="36">
      <x:c r="A36" s="70" t="str">
        <x:v>Carson Beck</x:v>
      </x:c>
      <x:c r="B36" s="69" t="str">
        <x:v>ARI</x:v>
      </x:c>
      <x:c r="C36" s="74" t="n">
        <x:v>14</x:v>
      </x:c>
      <x:c r="D36" s="74" t="n">
        <x:v>31</x:v>
      </x:c>
      <x:c r="E36" s="75" t="n">
        <x:v>7</x:v>
      </x:c>
      <x:c r="F36" s="76" t="n">
        <x:v>2147</x:v>
      </x:c>
      <x:c r="G36" s="76" t="n">
        <x:v>12</x:v>
      </x:c>
      <x:c r="H36" s="76" t="n">
        <x:v>55</x:v>
      </x:c>
      <x:c r="I36" s="76" t="n">
        <x:v>1</x:v>
      </x:c>
      <x:c r="J36" s="76" t="n">
        <x:v>9</x:v>
      </x:c>
      <x:c r="K36" s="76" t="n">
        <x:v>0</x:v>
      </x:c>
      <x:c r="L36" s="73" t="str">
        <x:v>https://www.thefantasyfootballers.com/2026-ultimate-draft-kit/udk-jasons-projections/</x:v>
      </x:c>
    </x:row>
    <x:row r="37">
      <x:c r="A37" s="70" t="str">
        <x:v>Deshaun Watson</x:v>
      </x:c>
      <x:c r="B37" s="69" t="str">
        <x:v>CLE</x:v>
      </x:c>
      <x:c r="C37" s="74" t="n">
        <x:v>11</x:v>
      </x:c>
      <x:c r="D37" s="74" t="n">
        <x:v>32</x:v>
      </x:c>
      <x:c r="E37" s="75" t="n">
        <x:v>6.8</x:v>
      </x:c>
      <x:c r="F37" s="76" t="n">
        <x:v>1747</x:v>
      </x:c>
      <x:c r="G37" s="76" t="n">
        <x:v>11</x:v>
      </x:c>
      <x:c r="H37" s="76" t="n">
        <x:v>144</x:v>
      </x:c>
      <x:c r="I37" s="76" t="n">
        <x:v>2</x:v>
      </x:c>
      <x:c r="J37" s="76" t="n">
        <x:v>5</x:v>
      </x:c>
      <x:c r="K37" s="76" t="n">
        <x:v>3</x:v>
      </x:c>
      <x:c r="L37" s="73" t="str">
        <x:v>https://www.thefantasyfootballers.com/2026-ultimate-draft-kit/udk-jasons-projections/</x:v>
      </x:c>
    </x:row>
    <x:row r="38">
      <x:c r="A38" s="70" t="str">
        <x:v>Fernando Mendoza</x:v>
      </x:c>
      <x:c r="B38" s="69" t="str">
        <x:v>LV</x:v>
      </x:c>
      <x:c r="C38" s="74" t="n">
        <x:v>13</x:v>
      </x:c>
      <x:c r="D38" s="74" t="n">
        <x:v>33</x:v>
      </x:c>
      <x:c r="E38" s="75" t="n">
        <x:v>6.4</x:v>
      </x:c>
      <x:c r="F38" s="76" t="n">
        <x:v>1971</x:v>
      </x:c>
      <x:c r="G38" s="76" t="n">
        <x:v>11</x:v>
      </x:c>
      <x:c r="H38" s="76" t="n">
        <x:v>191</x:v>
      </x:c>
      <x:c r="I38" s="76" t="n">
        <x:v>2</x:v>
      </x:c>
      <x:c r="J38" s="76" t="n">
        <x:v>11</x:v>
      </x:c>
      <x:c r="K38" s="76" t="n">
        <x:v>5</x:v>
      </x:c>
      <x:c r="L38" s="73" t="str">
        <x:v>https://www.thefantasyfootballers.com/2026-ultimate-draft-kit/udk-jasons-projections/</x:v>
      </x:c>
    </x:row>
    <x:row r="39">
      <x:c r="A39" s="70" t="str">
        <x:v>Jacoby Brissett</x:v>
      </x:c>
      <x:c r="B39" s="69" t="str">
        <x:v>ARI</x:v>
      </x:c>
      <x:c r="C39" s="74" t="n">
        <x:v>14</x:v>
      </x:c>
      <x:c r="D39" s="74" t="n">
        <x:v>34</x:v>
      </x:c>
      <x:c r="E39" s="75" t="n">
        <x:v>6</x:v>
      </x:c>
      <x:c r="F39" s="76" t="n">
        <x:v>1668</x:v>
      </x:c>
      <x:c r="G39" s="76" t="n">
        <x:v>10</x:v>
      </x:c>
      <x:c r="H39" s="76" t="n">
        <x:v>71</x:v>
      </x:c>
      <x:c r="I39" s="76" t="n">
        <x:v>0</x:v>
      </x:c>
      <x:c r="J39" s="76" t="n">
        <x:v>4</x:v>
      </x:c>
      <x:c r="K39" s="76" t="n">
        <x:v>0</x:v>
      </x:c>
      <x:c r="L39" s="73" t="str">
        <x:v>https://www.thefantasyfootballers.com/2026-ultimate-draft-kit/udk-jasons-projections/</x:v>
      </x:c>
    </x:row>
    <x:row r="40">
      <x:c r="A40" s="70" t="str">
        <x:v>Kirk Cousins</x:v>
      </x:c>
      <x:c r="B40" s="69" t="str">
        <x:v>LV</x:v>
      </x:c>
      <x:c r="C40" s="74" t="n">
        <x:v>13</x:v>
      </x:c>
      <x:c r="D40" s="74" t="n">
        <x:v>35</x:v>
      </x:c>
      <x:c r="E40" s="75" t="n">
        <x:v>4.8</x:v>
      </x:c>
      <x:c r="F40" s="76" t="n">
        <x:v>1524</x:v>
      </x:c>
      <x:c r="G40" s="76" t="n">
        <x:v>9</x:v>
      </x:c>
      <x:c r="H40" s="76" t="n">
        <x:v>3</x:v>
      </x:c>
      <x:c r="I40" s="76" t="n">
        <x:v>0</x:v>
      </x:c>
      <x:c r="J40" s="76" t="n">
        <x:v>5</x:v>
      </x:c>
      <x:c r="K40" s="76" t="n">
        <x:v>2</x:v>
      </x:c>
      <x:c r="L40" s="73" t="str">
        <x:v>https://www.thefantasyfootballers.com/2026-ultimate-draft-kit/udk-jasons-projections/</x:v>
      </x:c>
    </x:row>
    <x:row r="41">
      <x:c r="A41" s="70" t="str">
        <x:v>Michael Penix Jr.</x:v>
      </x:c>
      <x:c r="B41" s="69" t="str">
        <x:v>ATL</x:v>
      </x:c>
      <x:c r="C41" s="74" t="n">
        <x:v>11</x:v>
      </x:c>
      <x:c r="D41" s="74" t="n">
        <x:v>36</x:v>
      </x:c>
      <x:c r="E41" s="75" t="n">
        <x:v>1.5</x:v>
      </x:c>
      <x:c r="F41" s="76" t="n">
        <x:v>453</x:v>
      </x:c>
      <x:c r="G41" s="76" t="n">
        <x:v>3</x:v>
      </x:c>
      <x:c r="H41" s="76" t="n">
        <x:v>12</x:v>
      </x:c>
      <x:c r="I41" s="76" t="n">
        <x:v>0</x:v>
      </x:c>
      <x:c r="J41" s="76" t="n">
        <x:v>1</x:v>
      </x:c>
      <x:c r="K41" s="76" t="n">
        <x:v>1</x:v>
      </x:c>
      <x:c r="L41" s="73" t="str">
        <x:v>https://www.thefantasyfootballers.com/2026-ultimate-draft-kit/udk-jasons-projections/</x:v>
      </x:c>
    </x:row>
  </x:sheetData>
  <x:mergeCells>
    <x:mergeCell ref="A1:L1"/>
    <x:mergeCell ref="A2:L2"/>
    <x:mergeCell ref="A4:C4"/>
    <x:mergeCell ref="D4:E4"/>
    <x:mergeCell ref="F4:G4"/>
    <x:mergeCell ref="H4:I4"/>
    <x:mergeCell ref="J4:K4"/>
  </x:mergeCells>
  <x:pageMargins left="0.7" right="0.7" top="0.75" bottom="0.75" header="0.3" footer="0.3"/>
  <x:tableParts count="1">
    <x:tablePart xmlns:r="http://schemas.openxmlformats.org/officeDocument/2006/relationships" r:id="R559750f0644249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" hidden="0" customWidth="1"/>
    <x:col min="3" max="3" width="9" hidden="0" customWidth="1"/>
    <x:col min="4" max="4" width="7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46" hidden="0" customWidth="1"/>
  </x:cols>
  <x:sheetData>
    <x:row r="1" ht="32" customHeight="1">
      <x:c r="A1" s="3" t="str">
        <x:v>Mike's 2026 FLEX Stat Projections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Scoring profile: The Fear Boners  |  273 players  |  Source captured 2026-08-31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5" t="str">
        <x:v>Player</x:v>
      </x:c>
      <x:c r="B4" s="16"/>
      <x:c r="C4" s="16"/>
      <x:c r="D4" s="17"/>
      <x:c r="E4" s="24" t="str">
        <x:v>Fantasy</x:v>
      </x:c>
      <x:c r="F4" s="25"/>
      <x:c r="G4" s="40" t="str">
        <x:v>Rushing</x:v>
      </x:c>
      <x:c r="H4" s="79"/>
      <x:c r="I4" s="41"/>
      <x:c r="J4" s="32" t="str">
        <x:v>Receiving</x:v>
      </x:c>
      <x:c r="K4" s="82"/>
      <x:c r="L4" s="33"/>
      <x:c r="M4" s="85" t="str">
        <x:v>Turnovers</x:v>
      </x:c>
      <x:c r="N4" s="54" t="str">
        <x:v>Source</x:v>
      </x:c>
    </x:row>
    <x:row r="5" ht="30" customHeight="1">
      <x:c r="A5" s="65" t="str">
        <x:v>Player</x:v>
      </x:c>
      <x:c r="B5" s="66" t="str">
        <x:v>Pos</x:v>
      </x:c>
      <x:c r="C5" s="66" t="str">
        <x:v>Team</x:v>
      </x:c>
      <x:c r="D5" s="66" t="str">
        <x:v>Bye</x:v>
      </x:c>
      <x:c r="E5" s="66" t="str">
        <x:v>Rank</x:v>
      </x:c>
      <x:c r="F5" s="66" t="str">
        <x:v>PPG</x:v>
      </x:c>
      <x:c r="G5" s="66" t="str">
        <x:v>Rush Att</x:v>
      </x:c>
      <x:c r="H5" s="66" t="str">
        <x:v>Rush Yds</x:v>
      </x:c>
      <x:c r="I5" s="66" t="str">
        <x:v>Rush TD</x:v>
      </x:c>
      <x:c r="J5" s="66" t="str">
        <x:v>Rec</x:v>
      </x:c>
      <x:c r="K5" s="66" t="str">
        <x:v>Rec Yds</x:v>
      </x:c>
      <x:c r="L5" s="66" t="str">
        <x:v>Rec TD</x:v>
      </x:c>
      <x:c r="M5" s="66" t="str">
        <x:v>FUM</x:v>
      </x:c>
      <x:c r="N5" s="67" t="str">
        <x:v>Source URL</x:v>
      </x:c>
    </x:row>
    <x:row r="6">
      <x:c r="A6" s="70" t="str">
        <x:v>Jahmyr Gibbs</x:v>
      </x:c>
      <x:c r="B6" s="69" t="str">
        <x:v>RB</x:v>
      </x:c>
      <x:c r="C6" s="69" t="str">
        <x:v>DET</x:v>
      </x:c>
      <x:c r="D6" s="74" t="n">
        <x:v>6</x:v>
      </x:c>
      <x:c r="E6" s="74" t="n">
        <x:v>1</x:v>
      </x:c>
      <x:c r="F6" s="75" t="n">
        <x:v>22.9</x:v>
      </x:c>
      <x:c r="G6" s="76" t="n">
        <x:v>282</x:v>
      </x:c>
      <x:c r="H6" s="76" t="n">
        <x:v>1410</x:v>
      </x:c>
      <x:c r="I6" s="76" t="n">
        <x:v>14</x:v>
      </x:c>
      <x:c r="J6" s="76" t="n">
        <x:v>81</x:v>
      </x:c>
      <x:c r="K6" s="76" t="n">
        <x:v>640</x:v>
      </x:c>
      <x:c r="L6" s="76" t="n">
        <x:v>4</x:v>
      </x:c>
      <x:c r="M6" s="76" t="n">
        <x:v>2</x:v>
      </x:c>
      <x:c r="N6" s="73" t="str">
        <x:v>https://www.thefantasyfootballers.com/2026-ultimate-draft-kit/udk-mikes-projections/?position=FLEX</x:v>
      </x:c>
    </x:row>
    <x:row r="7">
      <x:c r="A7" s="70" t="str">
        <x:v>Bijan Robinson</x:v>
      </x:c>
      <x:c r="B7" s="69" t="str">
        <x:v>RB</x:v>
      </x:c>
      <x:c r="C7" s="69" t="str">
        <x:v>ATL</x:v>
      </x:c>
      <x:c r="D7" s="74" t="n">
        <x:v>11</x:v>
      </x:c>
      <x:c r="E7" s="74" t="n">
        <x:v>2</x:v>
      </x:c>
      <x:c r="F7" s="75" t="n">
        <x:v>22.3</x:v>
      </x:c>
      <x:c r="G7" s="76" t="n">
        <x:v>284</x:v>
      </x:c>
      <x:c r="H7" s="76" t="n">
        <x:v>1391</x:v>
      </x:c>
      <x:c r="I7" s="76" t="n">
        <x:v>12</x:v>
      </x:c>
      <x:c r="J7" s="76" t="n">
        <x:v>80</x:v>
      </x:c>
      <x:c r="K7" s="76" t="n">
        <x:v>715</x:v>
      </x:c>
      <x:c r="L7" s="76" t="n">
        <x:v>4</x:v>
      </x:c>
      <x:c r="M7" s="76" t="n">
        <x:v>3</x:v>
      </x:c>
      <x:c r="N7" s="73" t="str">
        <x:v>https://www.thefantasyfootballers.com/2026-ultimate-draft-kit/udk-mikes-projections/?position=FLEX</x:v>
      </x:c>
    </x:row>
    <x:row r="8">
      <x:c r="A8" s="70" t="str">
        <x:v>Ja'Marr Chase</x:v>
      </x:c>
      <x:c r="B8" s="69" t="str">
        <x:v>WR</x:v>
      </x:c>
      <x:c r="C8" s="69" t="str">
        <x:v>CIN</x:v>
      </x:c>
      <x:c r="D8" s="74" t="n">
        <x:v>6</x:v>
      </x:c>
      <x:c r="E8" s="74" t="n">
        <x:v>3</x:v>
      </x:c>
      <x:c r="F8" s="75" t="n">
        <x:v>20.5</x:v>
      </x:c>
      <x:c r="G8" s="76" t="n">
        <x:v>3</x:v>
      </x:c>
      <x:c r="H8" s="76" t="n">
        <x:v>15</x:v>
      </x:c>
      <x:c r="I8" s="76" t="n">
        <x:v>0</x:v>
      </x:c>
      <x:c r="J8" s="76" t="n">
        <x:v>124</x:v>
      </x:c>
      <x:c r="K8" s="76" t="n">
        <x:v>1536</x:v>
      </x:c>
      <x:c r="L8" s="76" t="n">
        <x:v>12</x:v>
      </x:c>
      <x:c r="M8" s="76" t="n">
        <x:v>1</x:v>
      </x:c>
      <x:c r="N8" s="73" t="str">
        <x:v>https://www.thefantasyfootballers.com/2026-ultimate-draft-kit/udk-mikes-projections/?position=FLEX</x:v>
      </x:c>
    </x:row>
    <x:row r="9">
      <x:c r="A9" s="70" t="str">
        <x:v>Puka Nacua</x:v>
      </x:c>
      <x:c r="B9" s="69" t="str">
        <x:v>WR</x:v>
      </x:c>
      <x:c r="C9" s="69" t="str">
        <x:v>LAR</x:v>
      </x:c>
      <x:c r="D9" s="74" t="n">
        <x:v>11</x:v>
      </x:c>
      <x:c r="E9" s="74" t="n">
        <x:v>4</x:v>
      </x:c>
      <x:c r="F9" s="75" t="n">
        <x:v>19.9</x:v>
      </x:c>
      <x:c r="G9" s="76" t="n">
        <x:v>11</x:v>
      </x:c>
      <x:c r="H9" s="76" t="n">
        <x:v>84</x:v>
      </x:c>
      <x:c r="I9" s="76" t="n">
        <x:v>1</x:v>
      </x:c>
      <x:c r="J9" s="76" t="n">
        <x:v>121</x:v>
      </x:c>
      <x:c r="K9" s="76" t="n">
        <x:v>1604</x:v>
      </x:c>
      <x:c r="L9" s="76" t="n">
        <x:v>8</x:v>
      </x:c>
      <x:c r="M9" s="76" t="n">
        <x:v>1</x:v>
      </x:c>
      <x:c r="N9" s="73" t="str">
        <x:v>https://www.thefantasyfootballers.com/2026-ultimate-draft-kit/udk-mikes-projections/?position=FLEX</x:v>
      </x:c>
    </x:row>
    <x:row r="10">
      <x:c r="A10" s="70" t="str">
        <x:v>Jaxon Smith-Njigba</x:v>
      </x:c>
      <x:c r="B10" s="69" t="str">
        <x:v>WR</x:v>
      </x:c>
      <x:c r="C10" s="69" t="str">
        <x:v>SEA</x:v>
      </x:c>
      <x:c r="D10" s="74" t="n">
        <x:v>11</x:v>
      </x:c>
      <x:c r="E10" s="74" t="n">
        <x:v>5</x:v>
      </x:c>
      <x:c r="F10" s="75" t="n">
        <x:v>19.3</x:v>
      </x:c>
      <x:c r="G10" s="76" t="n">
        <x:v>5</x:v>
      </x:c>
      <x:c r="H10" s="76" t="n">
        <x:v>26</x:v>
      </x:c>
      <x:c r="I10" s="76" t="n">
        <x:v>0</x:v>
      </x:c>
      <x:c r="J10" s="76" t="n">
        <x:v>117</x:v>
      </x:c>
      <x:c r="K10" s="76" t="n">
        <x:v>1576</x:v>
      </x:c>
      <x:c r="L10" s="76" t="n">
        <x:v>9</x:v>
      </x:c>
      <x:c r="M10" s="76" t="n">
        <x:v>2</x:v>
      </x:c>
      <x:c r="N10" s="73" t="str">
        <x:v>https://www.thefantasyfootballers.com/2026-ultimate-draft-kit/udk-mikes-projections/?position=FLEX</x:v>
      </x:c>
    </x:row>
    <x:row r="11">
      <x:c r="A11" s="70" t="str">
        <x:v>Christian McCaffrey</x:v>
      </x:c>
      <x:c r="B11" s="69" t="str">
        <x:v>RB</x:v>
      </x:c>
      <x:c r="C11" s="69" t="str">
        <x:v>SF</x:v>
      </x:c>
      <x:c r="D11" s="74" t="n">
        <x:v>8</x:v>
      </x:c>
      <x:c r="E11" s="74" t="n">
        <x:v>6</x:v>
      </x:c>
      <x:c r="F11" s="75" t="n">
        <x:v>19.3</x:v>
      </x:c>
      <x:c r="G11" s="76" t="n">
        <x:v>271</x:v>
      </x:c>
      <x:c r="H11" s="76" t="n">
        <x:v>1167</x:v>
      </x:c>
      <x:c r="I11" s="76" t="n">
        <x:v>9</x:v>
      </x:c>
      <x:c r="J11" s="76" t="n">
        <x:v>72</x:v>
      </x:c>
      <x:c r="K11" s="76" t="n">
        <x:v>628</x:v>
      </x:c>
      <x:c r="L11" s="76" t="n">
        <x:v>4</x:v>
      </x:c>
      <x:c r="M11" s="76" t="n">
        <x:v>2</x:v>
      </x:c>
      <x:c r="N11" s="73" t="str">
        <x:v>https://www.thefantasyfootballers.com/2026-ultimate-draft-kit/udk-mikes-projections/?position=FLEX</x:v>
      </x:c>
    </x:row>
    <x:row r="12">
      <x:c r="A12" s="70" t="str">
        <x:v>Amon-Ra St. Brown</x:v>
      </x:c>
      <x:c r="B12" s="69" t="str">
        <x:v>WR</x:v>
      </x:c>
      <x:c r="C12" s="69" t="str">
        <x:v>DET</x:v>
      </x:c>
      <x:c r="D12" s="74" t="n">
        <x:v>6</x:v>
      </x:c>
      <x:c r="E12" s="74" t="n">
        <x:v>7</x:v>
      </x:c>
      <x:c r="F12" s="75" t="n">
        <x:v>17.8</x:v>
      </x:c>
      <x:c r="G12" s="76" t="n">
        <x:v>3</x:v>
      </x:c>
      <x:c r="H12" s="76" t="n">
        <x:v>19</x:v>
      </x:c>
      <x:c r="I12" s="76" t="n">
        <x:v>0</x:v>
      </x:c>
      <x:c r="J12" s="76" t="n">
        <x:v>114</x:v>
      </x:c>
      <x:c r="K12" s="76" t="n">
        <x:v>1332</x:v>
      </x:c>
      <x:c r="L12" s="76" t="n">
        <x:v>9</x:v>
      </x:c>
      <x:c r="M12" s="76" t="n">
        <x:v>1</x:v>
      </x:c>
      <x:c r="N12" s="73" t="str">
        <x:v>https://www.thefantasyfootballers.com/2026-ultimate-draft-kit/udk-mikes-projections/?position=FLEX</x:v>
      </x:c>
    </x:row>
    <x:row r="13">
      <x:c r="A13" s="70" t="str">
        <x:v>CeeDee Lamb</x:v>
      </x:c>
      <x:c r="B13" s="69" t="str">
        <x:v>WR</x:v>
      </x:c>
      <x:c r="C13" s="69" t="str">
        <x:v>DAL</x:v>
      </x:c>
      <x:c r="D13" s="74" t="n">
        <x:v>14</x:v>
      </x:c>
      <x:c r="E13" s="74" t="n">
        <x:v>8</x:v>
      </x:c>
      <x:c r="F13" s="75" t="n">
        <x:v>17.3</x:v>
      </x:c>
      <x:c r="G13" s="76" t="n">
        <x:v>8</x:v>
      </x:c>
      <x:c r="H13" s="76" t="n">
        <x:v>45</x:v>
      </x:c>
      <x:c r="I13" s="76" t="n">
        <x:v>0</x:v>
      </x:c>
      <x:c r="J13" s="76" t="n">
        <x:v>105</x:v>
      </x:c>
      <x:c r="K13" s="76" t="n">
        <x:v>1381</x:v>
      </x:c>
      <x:c r="L13" s="76" t="n">
        <x:v>8</x:v>
      </x:c>
      <x:c r="M13" s="76" t="n">
        <x:v>1</x:v>
      </x:c>
      <x:c r="N13" s="73" t="str">
        <x:v>https://www.thefantasyfootballers.com/2026-ultimate-draft-kit/udk-mikes-projections/?position=FLEX</x:v>
      </x:c>
    </x:row>
    <x:row r="14">
      <x:c r="A14" s="70" t="str">
        <x:v>Jonathan Taylor</x:v>
      </x:c>
      <x:c r="B14" s="69" t="str">
        <x:v>RB</x:v>
      </x:c>
      <x:c r="C14" s="69" t="str">
        <x:v>IND</x:v>
      </x:c>
      <x:c r="D14" s="74" t="n">
        <x:v>13</x:v>
      </x:c>
      <x:c r="E14" s="74" t="n">
        <x:v>9</x:v>
      </x:c>
      <x:c r="F14" s="75" t="n">
        <x:v>16.2</x:v>
      </x:c>
      <x:c r="G14" s="76" t="n">
        <x:v>302</x:v>
      </x:c>
      <x:c r="H14" s="76" t="n">
        <x:v>1448</x:v>
      </x:c>
      <x:c r="I14" s="76" t="n">
        <x:v>10</x:v>
      </x:c>
      <x:c r="J14" s="76" t="n">
        <x:v>37</x:v>
      </x:c>
      <x:c r="K14" s="76" t="n">
        <x:v>292</x:v>
      </x:c>
      <x:c r="L14" s="76" t="n">
        <x:v>1</x:v>
      </x:c>
      <x:c r="M14" s="76" t="n">
        <x:v>2</x:v>
      </x:c>
      <x:c r="N14" s="73" t="str">
        <x:v>https://www.thefantasyfootballers.com/2026-ultimate-draft-kit/udk-mikes-projections/?position=FLEX</x:v>
      </x:c>
    </x:row>
    <x:row r="15">
      <x:c r="A15" s="70" t="str">
        <x:v>Kenneth Walker</x:v>
      </x:c>
      <x:c r="B15" s="69" t="str">
        <x:v>RB</x:v>
      </x:c>
      <x:c r="C15" s="69" t="str">
        <x:v>KC</x:v>
      </x:c>
      <x:c r="D15" s="74" t="n">
        <x:v>5</x:v>
      </x:c>
      <x:c r="E15" s="74" t="n">
        <x:v>10</x:v>
      </x:c>
      <x:c r="F15" s="75" t="n">
        <x:v>16.1</x:v>
      </x:c>
      <x:c r="G15" s="76" t="n">
        <x:v>262</x:v>
      </x:c>
      <x:c r="H15" s="76" t="n">
        <x:v>1231</x:v>
      </x:c>
      <x:c r="I15" s="76" t="n">
        <x:v>8</x:v>
      </x:c>
      <x:c r="J15" s="76" t="n">
        <x:v>50</x:v>
      </x:c>
      <x:c r="K15" s="76" t="n">
        <x:v>427</x:v>
      </x:c>
      <x:c r="L15" s="76" t="n">
        <x:v>2</x:v>
      </x:c>
      <x:c r="M15" s="76" t="n">
        <x:v>1</x:v>
      </x:c>
      <x:c r="N15" s="73" t="str">
        <x:v>https://www.thefantasyfootballers.com/2026-ultimate-draft-kit/udk-mikes-projections/?position=FLEX</x:v>
      </x:c>
    </x:row>
    <x:row r="16">
      <x:c r="A16" s="70" t="str">
        <x:v>James Cook III</x:v>
      </x:c>
      <x:c r="B16" s="69" t="str">
        <x:v>RB</x:v>
      </x:c>
      <x:c r="C16" s="69" t="str">
        <x:v>BUF</x:v>
      </x:c>
      <x:c r="D16" s="74" t="n">
        <x:v>7</x:v>
      </x:c>
      <x:c r="E16" s="74" t="n">
        <x:v>11</x:v>
      </x:c>
      <x:c r="F16" s="75" t="n">
        <x:v>16</x:v>
      </x:c>
      <x:c r="G16" s="76" t="n">
        <x:v>296</x:v>
      </x:c>
      <x:c r="H16" s="76" t="n">
        <x:v>1509</x:v>
      </x:c>
      <x:c r="I16" s="76" t="n">
        <x:v>11</x:v>
      </x:c>
      <x:c r="J16" s="76" t="n">
        <x:v>28</x:v>
      </x:c>
      <x:c r="K16" s="76" t="n">
        <x:v>251</x:v>
      </x:c>
      <x:c r="L16" s="76" t="n">
        <x:v>2</x:v>
      </x:c>
      <x:c r="M16" s="76" t="n">
        <x:v>4</x:v>
      </x:c>
      <x:c r="N16" s="73" t="str">
        <x:v>https://www.thefantasyfootballers.com/2026-ultimate-draft-kit/udk-mikes-projections/?position=FLEX</x:v>
      </x:c>
    </x:row>
    <x:row r="17">
      <x:c r="A17" s="70" t="str">
        <x:v>Chase Brown</x:v>
      </x:c>
      <x:c r="B17" s="69" t="str">
        <x:v>RB</x:v>
      </x:c>
      <x:c r="C17" s="69" t="str">
        <x:v>CIN</x:v>
      </x:c>
      <x:c r="D17" s="74" t="n">
        <x:v>6</x:v>
      </x:c>
      <x:c r="E17" s="74" t="n">
        <x:v>12</x:v>
      </x:c>
      <x:c r="F17" s="75" t="n">
        <x:v>15.8</x:v>
      </x:c>
      <x:c r="G17" s="76" t="n">
        <x:v>237</x:v>
      </x:c>
      <x:c r="H17" s="76" t="n">
        <x:v>1043</x:v>
      </x:c>
      <x:c r="I17" s="76" t="n">
        <x:v>7</x:v>
      </x:c>
      <x:c r="J17" s="76" t="n">
        <x:v>63</x:v>
      </x:c>
      <x:c r="K17" s="76" t="n">
        <x:v>433</x:v>
      </x:c>
      <x:c r="L17" s="76" t="n">
        <x:v>3</x:v>
      </x:c>
      <x:c r="M17" s="76" t="n">
        <x:v>2</x:v>
      </x:c>
      <x:c r="N17" s="73" t="str">
        <x:v>https://www.thefantasyfootballers.com/2026-ultimate-draft-kit/udk-mikes-projections/?position=FLEX</x:v>
      </x:c>
    </x:row>
    <x:row r="18">
      <x:c r="A18" s="70" t="str">
        <x:v>Nico Collins</x:v>
      </x:c>
      <x:c r="B18" s="69" t="str">
        <x:v>WR</x:v>
      </x:c>
      <x:c r="C18" s="69" t="str">
        <x:v>HOU</x:v>
      </x:c>
      <x:c r="D18" s="74" t="n">
        <x:v>8</x:v>
      </x:c>
      <x:c r="E18" s="74" t="n">
        <x:v>13</x:v>
      </x:c>
      <x:c r="F18" s="75" t="n">
        <x:v>15.3</x:v>
      </x:c>
      <x:c r="G18" s="76" t="n">
        <x:v>0</x:v>
      </x:c>
      <x:c r="H18" s="76" t="n">
        <x:v>0</x:v>
      </x:c>
      <x:c r="I18" s="76" t="n">
        <x:v>0</x:v>
      </x:c>
      <x:c r="J18" s="76" t="n">
        <x:v>86</x:v>
      </x:c>
      <x:c r="K18" s="76" t="n">
        <x:v>1321</x:v>
      </x:c>
      <x:c r="L18" s="76" t="n">
        <x:v>7</x:v>
      </x:c>
      <x:c r="M18" s="76" t="n">
        <x:v>1</x:v>
      </x:c>
      <x:c r="N18" s="73" t="str">
        <x:v>https://www.thefantasyfootballers.com/2026-ultimate-draft-kit/udk-mikes-projections/?position=FLEX</x:v>
      </x:c>
    </x:row>
    <x:row r="19">
      <x:c r="A19" s="70" t="str">
        <x:v>Chris Olave</x:v>
      </x:c>
      <x:c r="B19" s="69" t="str">
        <x:v>WR</x:v>
      </x:c>
      <x:c r="C19" s="69" t="str">
        <x:v>NO</x:v>
      </x:c>
      <x:c r="D19" s="74" t="n">
        <x:v>8</x:v>
      </x:c>
      <x:c r="E19" s="74" t="n">
        <x:v>14</x:v>
      </x:c>
      <x:c r="F19" s="75" t="n">
        <x:v>15.3</x:v>
      </x:c>
      <x:c r="G19" s="76" t="n">
        <x:v>0</x:v>
      </x:c>
      <x:c r="H19" s="76" t="n">
        <x:v>0</x:v>
      </x:c>
      <x:c r="I19" s="76" t="n">
        <x:v>0</x:v>
      </x:c>
      <x:c r="J19" s="76" t="n">
        <x:v>101</x:v>
      </x:c>
      <x:c r="K19" s="76" t="n">
        <x:v>1208</x:v>
      </x:c>
      <x:c r="L19" s="76" t="n">
        <x:v>6</x:v>
      </x:c>
      <x:c r="M19" s="76" t="n">
        <x:v>0</x:v>
      </x:c>
      <x:c r="N19" s="73" t="str">
        <x:v>https://www.thefantasyfootballers.com/2026-ultimate-draft-kit/udk-mikes-projections/?position=FLEX</x:v>
      </x:c>
    </x:row>
    <x:row r="20">
      <x:c r="A20" s="70" t="str">
        <x:v>De'Von Achane</x:v>
      </x:c>
      <x:c r="B20" s="69" t="str">
        <x:v>RB</x:v>
      </x:c>
      <x:c r="C20" s="69" t="str">
        <x:v>MIA</x:v>
      </x:c>
      <x:c r="D20" s="74" t="n">
        <x:v>6</x:v>
      </x:c>
      <x:c r="E20" s="74" t="n">
        <x:v>15</x:v>
      </x:c>
      <x:c r="F20" s="75" t="n">
        <x:v>15.2</x:v>
      </x:c>
      <x:c r="G20" s="76" t="n">
        <x:v>213</x:v>
      </x:c>
      <x:c r="H20" s="76" t="n">
        <x:v>1108</x:v>
      </x:c>
      <x:c r="I20" s="76" t="n">
        <x:v>8</x:v>
      </x:c>
      <x:c r="J20" s="76" t="n">
        <x:v>50</x:v>
      </x:c>
      <x:c r="K20" s="76" t="n">
        <x:v>365</x:v>
      </x:c>
      <x:c r="L20" s="76" t="n">
        <x:v>3</x:v>
      </x:c>
      <x:c r="M20" s="76" t="n">
        <x:v>1</x:v>
      </x:c>
      <x:c r="N20" s="73" t="str">
        <x:v>https://www.thefantasyfootballers.com/2026-ultimate-draft-kit/udk-mikes-projections/?position=FLEX</x:v>
      </x:c>
    </x:row>
    <x:row r="21">
      <x:c r="A21" s="70" t="str">
        <x:v>Justin Jefferson</x:v>
      </x:c>
      <x:c r="B21" s="69" t="str">
        <x:v>WR</x:v>
      </x:c>
      <x:c r="C21" s="69" t="str">
        <x:v>MIN</x:v>
      </x:c>
      <x:c r="D21" s="74" t="n">
        <x:v>6</x:v>
      </x:c>
      <x:c r="E21" s="74" t="n">
        <x:v>16</x:v>
      </x:c>
      <x:c r="F21" s="75" t="n">
        <x:v>15</x:v>
      </x:c>
      <x:c r="G21" s="76" t="n">
        <x:v>0</x:v>
      </x:c>
      <x:c r="H21" s="76" t="n">
        <x:v>0</x:v>
      </x:c>
      <x:c r="I21" s="76" t="n">
        <x:v>0</x:v>
      </x:c>
      <x:c r="J21" s="76" t="n">
        <x:v>97</x:v>
      </x:c>
      <x:c r="K21" s="76" t="n">
        <x:v>1217</x:v>
      </x:c>
      <x:c r="L21" s="76" t="n">
        <x:v>6</x:v>
      </x:c>
      <x:c r="M21" s="76" t="n">
        <x:v>0</x:v>
      </x:c>
      <x:c r="N21" s="73" t="str">
        <x:v>https://www.thefantasyfootballers.com/2026-ultimate-draft-kit/udk-mikes-projections/?position=FLEX</x:v>
      </x:c>
    </x:row>
    <x:row r="22">
      <x:c r="A22" s="70" t="str">
        <x:v>Drake London</x:v>
      </x:c>
      <x:c r="B22" s="69" t="str">
        <x:v>WR</x:v>
      </x:c>
      <x:c r="C22" s="69" t="str">
        <x:v>ATL</x:v>
      </x:c>
      <x:c r="D22" s="74" t="n">
        <x:v>11</x:v>
      </x:c>
      <x:c r="E22" s="74" t="n">
        <x:v>17</x:v>
      </x:c>
      <x:c r="F22" s="75" t="n">
        <x:v>15</x:v>
      </x:c>
      <x:c r="G22" s="76" t="n">
        <x:v>0</x:v>
      </x:c>
      <x:c r="H22" s="76" t="n">
        <x:v>0</x:v>
      </x:c>
      <x:c r="I22" s="76" t="n">
        <x:v>0</x:v>
      </x:c>
      <x:c r="J22" s="76" t="n">
        <x:v>94</x:v>
      </x:c>
      <x:c r="K22" s="76" t="n">
        <x:v>1217</x:v>
      </x:c>
      <x:c r="L22" s="76" t="n">
        <x:v>7</x:v>
      </x:c>
      <x:c r="M22" s="76" t="n">
        <x:v>1</x:v>
      </x:c>
      <x:c r="N22" s="73" t="str">
        <x:v>https://www.thefantasyfootballers.com/2026-ultimate-draft-kit/udk-mikes-projections/?position=FLEX</x:v>
      </x:c>
    </x:row>
    <x:row r="23">
      <x:c r="A23" s="70" t="str">
        <x:v>A.J. Brown</x:v>
      </x:c>
      <x:c r="B23" s="69" t="str">
        <x:v>WR</x:v>
      </x:c>
      <x:c r="C23" s="69" t="str">
        <x:v>NE</x:v>
      </x:c>
      <x:c r="D23" s="74" t="n">
        <x:v>11</x:v>
      </x:c>
      <x:c r="E23" s="74" t="n">
        <x:v>18</x:v>
      </x:c>
      <x:c r="F23" s="75" t="n">
        <x:v>15</x:v>
      </x:c>
      <x:c r="G23" s="76" t="n">
        <x:v>0</x:v>
      </x:c>
      <x:c r="H23" s="76" t="n">
        <x:v>0</x:v>
      </x:c>
      <x:c r="I23" s="76" t="n">
        <x:v>0</x:v>
      </x:c>
      <x:c r="J23" s="76" t="n">
        <x:v>91</x:v>
      </x:c>
      <x:c r="K23" s="76" t="n">
        <x:v>1168</x:v>
      </x:c>
      <x:c r="L23" s="76" t="n">
        <x:v>8</x:v>
      </x:c>
      <x:c r="M23" s="76" t="n">
        <x:v>1</x:v>
      </x:c>
      <x:c r="N23" s="73" t="str">
        <x:v>https://www.thefantasyfootballers.com/2026-ultimate-draft-kit/udk-mikes-projections/?position=FLEX</x:v>
      </x:c>
    </x:row>
    <x:row r="24">
      <x:c r="A24" s="70" t="str">
        <x:v>Rashee Rice</x:v>
      </x:c>
      <x:c r="B24" s="69" t="str">
        <x:v>WR</x:v>
      </x:c>
      <x:c r="C24" s="69" t="str">
        <x:v>KC</x:v>
      </x:c>
      <x:c r="D24" s="74" t="n">
        <x:v>5</x:v>
      </x:c>
      <x:c r="E24" s="74" t="n">
        <x:v>19</x:v>
      </x:c>
      <x:c r="F24" s="75" t="n">
        <x:v>15</x:v>
      </x:c>
      <x:c r="G24" s="76" t="n">
        <x:v>3</x:v>
      </x:c>
      <x:c r="H24" s="76" t="n">
        <x:v>10</x:v>
      </x:c>
      <x:c r="I24" s="76" t="n">
        <x:v>0</x:v>
      </x:c>
      <x:c r="J24" s="76" t="n">
        <x:v>102</x:v>
      </x:c>
      <x:c r="K24" s="76" t="n">
        <x:v>1125</x:v>
      </x:c>
      <x:c r="L24" s="76" t="n">
        <x:v>7</x:v>
      </x:c>
      <x:c r="M24" s="76" t="n">
        <x:v>1</x:v>
      </x:c>
      <x:c r="N24" s="73" t="str">
        <x:v>https://www.thefantasyfootballers.com/2026-ultimate-draft-kit/udk-mikes-projections/?position=FLEX</x:v>
      </x:c>
    </x:row>
    <x:row r="25">
      <x:c r="A25" s="70" t="str">
        <x:v>Derrick Henry</x:v>
      </x:c>
      <x:c r="B25" s="69" t="str">
        <x:v>RB</x:v>
      </x:c>
      <x:c r="C25" s="69" t="str">
        <x:v>BAL</x:v>
      </x:c>
      <x:c r="D25" s="74" t="n">
        <x:v>13</x:v>
      </x:c>
      <x:c r="E25" s="74" t="n">
        <x:v>20</x:v>
      </x:c>
      <x:c r="F25" s="75" t="n">
        <x:v>14.9</x:v>
      </x:c>
      <x:c r="G25" s="76" t="n">
        <x:v>278</x:v>
      </x:c>
      <x:c r="H25" s="76" t="n">
        <x:v>1392</x:v>
      </x:c>
      <x:c r="I25" s="76" t="n">
        <x:v>13</x:v>
      </x:c>
      <x:c r="J25" s="76" t="n">
        <x:v>20</x:v>
      </x:c>
      <x:c r="K25" s="76" t="n">
        <x:v>191</x:v>
      </x:c>
      <x:c r="L25" s="76" t="n">
        <x:v>1</x:v>
      </x:c>
      <x:c r="M25" s="76" t="n">
        <x:v>3</x:v>
      </x:c>
      <x:c r="N25" s="73" t="str">
        <x:v>https://www.thefantasyfootballers.com/2026-ultimate-draft-kit/udk-mikes-projections/?position=FLEX</x:v>
      </x:c>
    </x:row>
    <x:row r="26">
      <x:c r="A26" s="70" t="str">
        <x:v>Jeremiyah Love</x:v>
      </x:c>
      <x:c r="B26" s="69" t="str">
        <x:v>RB</x:v>
      </x:c>
      <x:c r="C26" s="69" t="str">
        <x:v>ARI</x:v>
      </x:c>
      <x:c r="D26" s="74" t="n">
        <x:v>14</x:v>
      </x:c>
      <x:c r="E26" s="74" t="n">
        <x:v>21</x:v>
      </x:c>
      <x:c r="F26" s="75" t="n">
        <x:v>14.7</x:v>
      </x:c>
      <x:c r="G26" s="76" t="n">
        <x:v>237</x:v>
      </x:c>
      <x:c r="H26" s="76" t="n">
        <x:v>1090</x:v>
      </x:c>
      <x:c r="I26" s="76" t="n">
        <x:v>8</x:v>
      </x:c>
      <x:c r="J26" s="76" t="n">
        <x:v>50</x:v>
      </x:c>
      <x:c r="K26" s="76" t="n">
        <x:v>353</x:v>
      </x:c>
      <x:c r="L26" s="76" t="n">
        <x:v>2</x:v>
      </x:c>
      <x:c r="M26" s="76" t="n">
        <x:v>0</x:v>
      </x:c>
      <x:c r="N26" s="73" t="str">
        <x:v>https://www.thefantasyfootballers.com/2026-ultimate-draft-kit/udk-mikes-projections/?position=FLEX</x:v>
      </x:c>
    </x:row>
    <x:row r="27">
      <x:c r="A27" s="70" t="str">
        <x:v>Malik Nabers</x:v>
      </x:c>
      <x:c r="B27" s="69" t="str">
        <x:v>WR</x:v>
      </x:c>
      <x:c r="C27" s="69" t="str">
        <x:v>NYG</x:v>
      </x:c>
      <x:c r="D27" s="74" t="n">
        <x:v>8</x:v>
      </x:c>
      <x:c r="E27" s="74" t="n">
        <x:v>22</x:v>
      </x:c>
      <x:c r="F27" s="75" t="n">
        <x:v>14.7</x:v>
      </x:c>
      <x:c r="G27" s="76" t="n">
        <x:v>0</x:v>
      </x:c>
      <x:c r="H27" s="76" t="n">
        <x:v>0</x:v>
      </x:c>
      <x:c r="I27" s="76" t="n">
        <x:v>0</x:v>
      </x:c>
      <x:c r="J27" s="76" t="n">
        <x:v>88</x:v>
      </x:c>
      <x:c r="K27" s="76" t="n">
        <x:v>1192</x:v>
      </x:c>
      <x:c r="L27" s="76" t="n">
        <x:v>7</x:v>
      </x:c>
      <x:c r="M27" s="76" t="n">
        <x:v>0</x:v>
      </x:c>
      <x:c r="N27" s="73" t="str">
        <x:v>https://www.thefantasyfootballers.com/2026-ultimate-draft-kit/udk-mikes-projections/?position=FLEX</x:v>
      </x:c>
    </x:row>
    <x:row r="28">
      <x:c r="A28" s="70" t="str">
        <x:v>Brock Bowers</x:v>
      </x:c>
      <x:c r="B28" s="69" t="str">
        <x:v>TE</x:v>
      </x:c>
      <x:c r="C28" s="69" t="str">
        <x:v>LV</x:v>
      </x:c>
      <x:c r="D28" s="74" t="n">
        <x:v>13</x:v>
      </x:c>
      <x:c r="E28" s="74" t="n">
        <x:v>23</x:v>
      </x:c>
      <x:c r="F28" s="75" t="n">
        <x:v>14.7</x:v>
      </x:c>
      <x:c r="G28" s="76" t="n">
        <x:v>3</x:v>
      </x:c>
      <x:c r="H28" s="76" t="n">
        <x:v>6</x:v>
      </x:c>
      <x:c r="I28" s="76" t="n">
        <x:v>0</x:v>
      </x:c>
      <x:c r="J28" s="76" t="n">
        <x:v>101</x:v>
      </x:c>
      <x:c r="K28" s="76" t="n">
        <x:v>1067</x:v>
      </x:c>
      <x:c r="L28" s="76" t="n">
        <x:v>7</x:v>
      </x:c>
      <x:c r="M28" s="76" t="n">
        <x:v>0</x:v>
      </x:c>
      <x:c r="N28" s="73" t="str">
        <x:v>https://www.thefantasyfootballers.com/2026-ultimate-draft-kit/udk-mikes-projections/?position=FLEX</x:v>
      </x:c>
    </x:row>
    <x:row r="29">
      <x:c r="A29" s="70" t="str">
        <x:v>Garrett Wilson</x:v>
      </x:c>
      <x:c r="B29" s="69" t="str">
        <x:v>WR</x:v>
      </x:c>
      <x:c r="C29" s="69" t="str">
        <x:v>NYJ</x:v>
      </x:c>
      <x:c r="D29" s="74" t="n">
        <x:v>13</x:v>
      </x:c>
      <x:c r="E29" s="74" t="n">
        <x:v>24</x:v>
      </x:c>
      <x:c r="F29" s="75" t="n">
        <x:v>14.7</x:v>
      </x:c>
      <x:c r="G29" s="76" t="n">
        <x:v>0</x:v>
      </x:c>
      <x:c r="H29" s="76" t="n">
        <x:v>0</x:v>
      </x:c>
      <x:c r="I29" s="76" t="n">
        <x:v>0</x:v>
      </x:c>
      <x:c r="J29" s="76" t="n">
        <x:v>104</x:v>
      </x:c>
      <x:c r="K29" s="76" t="n">
        <x:v>1149</x:v>
      </x:c>
      <x:c r="L29" s="76" t="n">
        <x:v>6</x:v>
      </x:c>
      <x:c r="M29" s="76" t="n">
        <x:v>2</x:v>
      </x:c>
      <x:c r="N29" s="73" t="str">
        <x:v>https://www.thefantasyfootballers.com/2026-ultimate-draft-kit/udk-mikes-projections/?position=FLEX</x:v>
      </x:c>
    </x:row>
    <x:row r="30">
      <x:c r="A30" s="70" t="str">
        <x:v>Saquon Barkley</x:v>
      </x:c>
      <x:c r="B30" s="69" t="str">
        <x:v>RB</x:v>
      </x:c>
      <x:c r="C30" s="69" t="str">
        <x:v>PHI</x:v>
      </x:c>
      <x:c r="D30" s="74" t="n">
        <x:v>10</x:v>
      </x:c>
      <x:c r="E30" s="74" t="n">
        <x:v>25</x:v>
      </x:c>
      <x:c r="F30" s="75" t="n">
        <x:v>14.7</x:v>
      </x:c>
      <x:c r="G30" s="76" t="n">
        <x:v>268</x:v>
      </x:c>
      <x:c r="H30" s="76" t="n">
        <x:v>1233</x:v>
      </x:c>
      <x:c r="I30" s="76" t="n">
        <x:v>11</x:v>
      </x:c>
      <x:c r="J30" s="76" t="n">
        <x:v>32</x:v>
      </x:c>
      <x:c r="K30" s="76" t="n">
        <x:v>240</x:v>
      </x:c>
      <x:c r="L30" s="76" t="n">
        <x:v>1</x:v>
      </x:c>
      <x:c r="M30" s="76" t="n">
        <x:v>1</x:v>
      </x:c>
      <x:c r="N30" s="73" t="str">
        <x:v>https://www.thefantasyfootballers.com/2026-ultimate-draft-kit/udk-mikes-projections/?position=FLEX</x:v>
      </x:c>
    </x:row>
    <x:row r="31">
      <x:c r="A31" s="70" t="str">
        <x:v>Trey McBride</x:v>
      </x:c>
      <x:c r="B31" s="69" t="str">
        <x:v>TE</x:v>
      </x:c>
      <x:c r="C31" s="69" t="str">
        <x:v>ARI</x:v>
      </x:c>
      <x:c r="D31" s="74" t="n">
        <x:v>14</x:v>
      </x:c>
      <x:c r="E31" s="74" t="n">
        <x:v>26</x:v>
      </x:c>
      <x:c r="F31" s="75" t="n">
        <x:v>14.7</x:v>
      </x:c>
      <x:c r="G31" s="76" t="n">
        <x:v>0</x:v>
      </x:c>
      <x:c r="H31" s="76" t="n">
        <x:v>0</x:v>
      </x:c>
      <x:c r="I31" s="76" t="n">
        <x:v>0</x:v>
      </x:c>
      <x:c r="J31" s="76" t="n">
        <x:v>104</x:v>
      </x:c>
      <x:c r="K31" s="76" t="n">
        <x:v>1038</x:v>
      </x:c>
      <x:c r="L31" s="76" t="n">
        <x:v>7</x:v>
      </x:c>
      <x:c r="M31" s="76" t="n">
        <x:v>0</x:v>
      </x:c>
      <x:c r="N31" s="73" t="str">
        <x:v>https://www.thefantasyfootballers.com/2026-ultimate-draft-kit/udk-mikes-projections/?position=FLEX</x:v>
      </x:c>
    </x:row>
    <x:row r="32">
      <x:c r="A32" s="70" t="str">
        <x:v>George Pickens</x:v>
      </x:c>
      <x:c r="B32" s="69" t="str">
        <x:v>WR</x:v>
      </x:c>
      <x:c r="C32" s="69" t="str">
        <x:v>DAL</x:v>
      </x:c>
      <x:c r="D32" s="74" t="n">
        <x:v>14</x:v>
      </x:c>
      <x:c r="E32" s="74" t="n">
        <x:v>27</x:v>
      </x:c>
      <x:c r="F32" s="75" t="n">
        <x:v>14.7</x:v>
      </x:c>
      <x:c r="G32" s="76" t="n">
        <x:v>0</x:v>
      </x:c>
      <x:c r="H32" s="76" t="n">
        <x:v>0</x:v>
      </x:c>
      <x:c r="I32" s="76" t="n">
        <x:v>0</x:v>
      </x:c>
      <x:c r="J32" s="76" t="n">
        <x:v>86</x:v>
      </x:c>
      <x:c r="K32" s="76" t="n">
        <x:v>1297</x:v>
      </x:c>
      <x:c r="L32" s="76" t="n">
        <x:v>7</x:v>
      </x:c>
      <x:c r="M32" s="76" t="n">
        <x:v>3</x:v>
      </x:c>
      <x:c r="N32" s="73" t="str">
        <x:v>https://www.thefantasyfootballers.com/2026-ultimate-draft-kit/udk-mikes-projections/?position=FLEX</x:v>
      </x:c>
    </x:row>
    <x:row r="33">
      <x:c r="A33" s="70" t="str">
        <x:v>Omarion Hampton</x:v>
      </x:c>
      <x:c r="B33" s="69" t="str">
        <x:v>RB</x:v>
      </x:c>
      <x:c r="C33" s="69" t="str">
        <x:v>LAC</x:v>
      </x:c>
      <x:c r="D33" s="74" t="n">
        <x:v>7</x:v>
      </x:c>
      <x:c r="E33" s="74" t="n">
        <x:v>28</x:v>
      </x:c>
      <x:c r="F33" s="75" t="n">
        <x:v>14.6</x:v>
      </x:c>
      <x:c r="G33" s="76" t="n">
        <x:v>245</x:v>
      </x:c>
      <x:c r="H33" s="76" t="n">
        <x:v>1076</x:v>
      </x:c>
      <x:c r="I33" s="76" t="n">
        <x:v>8</x:v>
      </x:c>
      <x:c r="J33" s="76" t="n">
        <x:v>54</x:v>
      </x:c>
      <x:c r="K33" s="76" t="n">
        <x:v>329</x:v>
      </x:c>
      <x:c r="L33" s="76" t="n">
        <x:v>2</x:v>
      </x:c>
      <x:c r="M33" s="76" t="n">
        <x:v>1</x:v>
      </x:c>
      <x:c r="N33" s="73" t="str">
        <x:v>https://www.thefantasyfootballers.com/2026-ultimate-draft-kit/udk-mikes-projections/?position=FLEX</x:v>
      </x:c>
    </x:row>
    <x:row r="34">
      <x:c r="A34" s="70" t="str">
        <x:v>Ashton Jeanty</x:v>
      </x:c>
      <x:c r="B34" s="69" t="str">
        <x:v>RB</x:v>
      </x:c>
      <x:c r="C34" s="69" t="str">
        <x:v>LV</x:v>
      </x:c>
      <x:c r="D34" s="74" t="n">
        <x:v>13</x:v>
      </x:c>
      <x:c r="E34" s="74" t="n">
        <x:v>29</x:v>
      </x:c>
      <x:c r="F34" s="75" t="n">
        <x:v>14.6</x:v>
      </x:c>
      <x:c r="G34" s="76" t="n">
        <x:v>265</x:v>
      </x:c>
      <x:c r="H34" s="76" t="n">
        <x:v>1112</x:v>
      </x:c>
      <x:c r="I34" s="76" t="n">
        <x:v>7</x:v>
      </x:c>
      <x:c r="J34" s="76" t="n">
        <x:v>53</x:v>
      </x:c>
      <x:c r="K34" s="76" t="n">
        <x:v>334</x:v>
      </x:c>
      <x:c r="L34" s="76" t="n">
        <x:v>2</x:v>
      </x:c>
      <x:c r="M34" s="76" t="n">
        <x:v>2</x:v>
      </x:c>
      <x:c r="N34" s="73" t="str">
        <x:v>https://www.thefantasyfootballers.com/2026-ultimate-draft-kit/udk-mikes-projections/?position=FLEX</x:v>
      </x:c>
    </x:row>
    <x:row r="35">
      <x:c r="A35" s="70" t="str">
        <x:v>Zay Flowers</x:v>
      </x:c>
      <x:c r="B35" s="69" t="str">
        <x:v>WR</x:v>
      </x:c>
      <x:c r="C35" s="69" t="str">
        <x:v>BAL</x:v>
      </x:c>
      <x:c r="D35" s="74" t="n">
        <x:v>13</x:v>
      </x:c>
      <x:c r="E35" s="74" t="n">
        <x:v>30</x:v>
      </x:c>
      <x:c r="F35" s="75" t="n">
        <x:v>14.2</x:v>
      </x:c>
      <x:c r="G35" s="76" t="n">
        <x:v>9</x:v>
      </x:c>
      <x:c r="H35" s="76" t="n">
        <x:v>57</x:v>
      </x:c>
      <x:c r="I35" s="76" t="n">
        <x:v>1</x:v>
      </x:c>
      <x:c r="J35" s="76" t="n">
        <x:v>84</x:v>
      </x:c>
      <x:c r="K35" s="76" t="n">
        <x:v>1122</x:v>
      </x:c>
      <x:c r="L35" s="76" t="n">
        <x:v>7</x:v>
      </x:c>
      <x:c r="M35" s="76" t="n">
        <x:v>2</x:v>
      </x:c>
      <x:c r="N35" s="73" t="str">
        <x:v>https://www.thefantasyfootballers.com/2026-ultimate-draft-kit/udk-mikes-projections/?position=FLEX</x:v>
      </x:c>
    </x:row>
    <x:row r="36">
      <x:c r="A36" s="70" t="str">
        <x:v>D'Andre Swift</x:v>
      </x:c>
      <x:c r="B36" s="69" t="str">
        <x:v>RB</x:v>
      </x:c>
      <x:c r="C36" s="69" t="str">
        <x:v>CHI</x:v>
      </x:c>
      <x:c r="D36" s="74" t="n">
        <x:v>10</x:v>
      </x:c>
      <x:c r="E36" s="74" t="n">
        <x:v>31</x:v>
      </x:c>
      <x:c r="F36" s="75" t="n">
        <x:v>14.1</x:v>
      </x:c>
      <x:c r="G36" s="76" t="n">
        <x:v>245</x:v>
      </x:c>
      <x:c r="H36" s="76" t="n">
        <x:v>1153</x:v>
      </x:c>
      <x:c r="I36" s="76" t="n">
        <x:v>9</x:v>
      </x:c>
      <x:c r="J36" s="76" t="n">
        <x:v>36</x:v>
      </x:c>
      <x:c r="K36" s="76" t="n">
        <x:v>308</x:v>
      </x:c>
      <x:c r="L36" s="76" t="n">
        <x:v>1</x:v>
      </x:c>
      <x:c r="M36" s="76" t="n">
        <x:v>2</x:v>
      </x:c>
      <x:c r="N36" s="73" t="str">
        <x:v>https://www.thefantasyfootballers.com/2026-ultimate-draft-kit/udk-mikes-projections/?position=FLEX</x:v>
      </x:c>
    </x:row>
    <x:row r="37">
      <x:c r="A37" s="70" t="str">
        <x:v>Kyren Williams</x:v>
      </x:c>
      <x:c r="B37" s="69" t="str">
        <x:v>RB</x:v>
      </x:c>
      <x:c r="C37" s="69" t="str">
        <x:v>LAR</x:v>
      </x:c>
      <x:c r="D37" s="74" t="n">
        <x:v>11</x:v>
      </x:c>
      <x:c r="E37" s="74" t="n">
        <x:v>32</x:v>
      </x:c>
      <x:c r="F37" s="75" t="n">
        <x:v>13.9</x:v>
      </x:c>
      <x:c r="G37" s="76" t="n">
        <x:v>228</x:v>
      </x:c>
      <x:c r="H37" s="76" t="n">
        <x:v>1051</x:v>
      </x:c>
      <x:c r="I37" s="76" t="n">
        <x:v>9</x:v>
      </x:c>
      <x:c r="J37" s="76" t="n">
        <x:v>41</x:v>
      </x:c>
      <x:c r="K37" s="76" t="n">
        <x:v>276</x:v>
      </x:c>
      <x:c r="L37" s="76" t="n">
        <x:v>2</x:v>
      </x:c>
      <x:c r="M37" s="76" t="n">
        <x:v>3</x:v>
      </x:c>
      <x:c r="N37" s="73" t="str">
        <x:v>https://www.thefantasyfootballers.com/2026-ultimate-draft-kit/udk-mikes-projections/?position=FLEX</x:v>
      </x:c>
    </x:row>
    <x:row r="38">
      <x:c r="A38" s="70" t="str">
        <x:v>DeVonta Smith</x:v>
      </x:c>
      <x:c r="B38" s="69" t="str">
        <x:v>WR</x:v>
      </x:c>
      <x:c r="C38" s="69" t="str">
        <x:v>PHI</x:v>
      </x:c>
      <x:c r="D38" s="74" t="n">
        <x:v>10</x:v>
      </x:c>
      <x:c r="E38" s="74" t="n">
        <x:v>33</x:v>
      </x:c>
      <x:c r="F38" s="75" t="n">
        <x:v>13.8</x:v>
      </x:c>
      <x:c r="G38" s="76" t="n">
        <x:v>0</x:v>
      </x:c>
      <x:c r="H38" s="76" t="n">
        <x:v>0</x:v>
      </x:c>
      <x:c r="I38" s="76" t="n">
        <x:v>0</x:v>
      </x:c>
      <x:c r="J38" s="76" t="n">
        <x:v>85</x:v>
      </x:c>
      <x:c r="K38" s="76" t="n">
        <x:v>1092</x:v>
      </x:c>
      <x:c r="L38" s="76" t="n">
        <x:v>7</x:v>
      </x:c>
      <x:c r="M38" s="76" t="n">
        <x:v>0</x:v>
      </x:c>
      <x:c r="N38" s="73" t="str">
        <x:v>https://www.thefantasyfootballers.com/2026-ultimate-draft-kit/udk-mikes-projections/?position=FLEX</x:v>
      </x:c>
    </x:row>
    <x:row r="39">
      <x:c r="A39" s="70" t="str">
        <x:v>Jaylen Waddle</x:v>
      </x:c>
      <x:c r="B39" s="69" t="str">
        <x:v>WR</x:v>
      </x:c>
      <x:c r="C39" s="69" t="str">
        <x:v>DEN</x:v>
      </x:c>
      <x:c r="D39" s="74" t="n">
        <x:v>10</x:v>
      </x:c>
      <x:c r="E39" s="74" t="n">
        <x:v>34</x:v>
      </x:c>
      <x:c r="F39" s="75" t="n">
        <x:v>13.7</x:v>
      </x:c>
      <x:c r="G39" s="76" t="n">
        <x:v>3</x:v>
      </x:c>
      <x:c r="H39" s="76" t="n">
        <x:v>21</x:v>
      </x:c>
      <x:c r="I39" s="76" t="n">
        <x:v>0</x:v>
      </x:c>
      <x:c r="J39" s="76" t="n">
        <x:v>84</x:v>
      </x:c>
      <x:c r="K39" s="76" t="n">
        <x:v>1127</x:v>
      </x:c>
      <x:c r="L39" s="76" t="n">
        <x:v>6</x:v>
      </x:c>
      <x:c r="M39" s="76" t="n">
        <x:v>1</x:v>
      </x:c>
      <x:c r="N39" s="73" t="str">
        <x:v>https://www.thefantasyfootballers.com/2026-ultimate-draft-kit/udk-mikes-projections/?position=FLEX</x:v>
      </x:c>
    </x:row>
    <x:row r="40">
      <x:c r="A40" s="70" t="str">
        <x:v>Tetairoa McMillan</x:v>
      </x:c>
      <x:c r="B40" s="69" t="str">
        <x:v>WR</x:v>
      </x:c>
      <x:c r="C40" s="69" t="str">
        <x:v>CAR</x:v>
      </x:c>
      <x:c r="D40" s="74" t="n">
        <x:v>5</x:v>
      </x:c>
      <x:c r="E40" s="74" t="n">
        <x:v>35</x:v>
      </x:c>
      <x:c r="F40" s="75" t="n">
        <x:v>13.7</x:v>
      </x:c>
      <x:c r="G40" s="76" t="n">
        <x:v>0</x:v>
      </x:c>
      <x:c r="H40" s="76" t="n">
        <x:v>0</x:v>
      </x:c>
      <x:c r="I40" s="76" t="n">
        <x:v>0</x:v>
      </x:c>
      <x:c r="J40" s="76" t="n">
        <x:v>78</x:v>
      </x:c>
      <x:c r="K40" s="76" t="n">
        <x:v>1113</x:v>
      </x:c>
      <x:c r="L40" s="76" t="n">
        <x:v>7</x:v>
      </x:c>
      <x:c r="M40" s="76" t="n">
        <x:v>0</x:v>
      </x:c>
      <x:c r="N40" s="73" t="str">
        <x:v>https://www.thefantasyfootballers.com/2026-ultimate-draft-kit/udk-mikes-projections/?position=FLEX</x:v>
      </x:c>
    </x:row>
    <x:row r="41">
      <x:c r="A41" s="70" t="str">
        <x:v>Emeka Egbuka</x:v>
      </x:c>
      <x:c r="B41" s="69" t="str">
        <x:v>WR</x:v>
      </x:c>
      <x:c r="C41" s="69" t="str">
        <x:v>TB</x:v>
      </x:c>
      <x:c r="D41" s="74" t="n">
        <x:v>10</x:v>
      </x:c>
      <x:c r="E41" s="74" t="n">
        <x:v>36</x:v>
      </x:c>
      <x:c r="F41" s="75" t="n">
        <x:v>13.6</x:v>
      </x:c>
      <x:c r="G41" s="76" t="n">
        <x:v>2</x:v>
      </x:c>
      <x:c r="H41" s="76" t="n">
        <x:v>9</x:v>
      </x:c>
      <x:c r="I41" s="76" t="n">
        <x:v>0</x:v>
      </x:c>
      <x:c r="J41" s="76" t="n">
        <x:v>79</x:v>
      </x:c>
      <x:c r="K41" s="76" t="n">
        <x:v>1103</x:v>
      </x:c>
      <x:c r="L41" s="76" t="n">
        <x:v>7</x:v>
      </x:c>
      <x:c r="M41" s="76" t="n">
        <x:v>0</x:v>
      </x:c>
      <x:c r="N41" s="73" t="str">
        <x:v>https://www.thefantasyfootballers.com/2026-ultimate-draft-kit/udk-mikes-projections/?position=FLEX</x:v>
      </x:c>
    </x:row>
    <x:row r="42">
      <x:c r="A42" s="70" t="str">
        <x:v>Tee Higgins</x:v>
      </x:c>
      <x:c r="B42" s="69" t="str">
        <x:v>WR</x:v>
      </x:c>
      <x:c r="C42" s="69" t="str">
        <x:v>CIN</x:v>
      </x:c>
      <x:c r="D42" s="74" t="n">
        <x:v>6</x:v>
      </x:c>
      <x:c r="E42" s="74" t="n">
        <x:v>37</x:v>
      </x:c>
      <x:c r="F42" s="75" t="n">
        <x:v>13.4</x:v>
      </x:c>
      <x:c r="G42" s="76" t="n">
        <x:v>0</x:v>
      </x:c>
      <x:c r="H42" s="76" t="n">
        <x:v>0</x:v>
      </x:c>
      <x:c r="I42" s="76" t="n">
        <x:v>0</x:v>
      </x:c>
      <x:c r="J42" s="76" t="n">
        <x:v>75</x:v>
      </x:c>
      <x:c r="K42" s="76" t="n">
        <x:v>1042</x:v>
      </x:c>
      <x:c r="L42" s="76" t="n">
        <x:v>8</x:v>
      </x:c>
      <x:c r="M42" s="76" t="n">
        <x:v>0</x:v>
      </x:c>
      <x:c r="N42" s="73" t="str">
        <x:v>https://www.thefantasyfootballers.com/2026-ultimate-draft-kit/udk-mikes-projections/?position=FLEX</x:v>
      </x:c>
    </x:row>
    <x:row r="43">
      <x:c r="A43" s="70" t="str">
        <x:v>Davante Adams</x:v>
      </x:c>
      <x:c r="B43" s="69" t="str">
        <x:v>WR</x:v>
      </x:c>
      <x:c r="C43" s="69" t="str">
        <x:v>LAR</x:v>
      </x:c>
      <x:c r="D43" s="74" t="n">
        <x:v>11</x:v>
      </x:c>
      <x:c r="E43" s="74" t="n">
        <x:v>38</x:v>
      </x:c>
      <x:c r="F43" s="75" t="n">
        <x:v>13.3</x:v>
      </x:c>
      <x:c r="G43" s="76" t="n">
        <x:v>0</x:v>
      </x:c>
      <x:c r="H43" s="76" t="n">
        <x:v>0</x:v>
      </x:c>
      <x:c r="I43" s="76" t="n">
        <x:v>0</x:v>
      </x:c>
      <x:c r="J43" s="76" t="n">
        <x:v>77</x:v>
      </x:c>
      <x:c r="K43" s="76" t="n">
        <x:v>972</x:v>
      </x:c>
      <x:c r="L43" s="76" t="n">
        <x:v>9</x:v>
      </x:c>
      <x:c r="M43" s="76" t="n">
        <x:v>0</x:v>
      </x:c>
      <x:c r="N43" s="73" t="str">
        <x:v>https://www.thefantasyfootballers.com/2026-ultimate-draft-kit/udk-mikes-projections/?position=FLEX</x:v>
      </x:c>
    </x:row>
    <x:row r="44">
      <x:c r="A44" s="70" t="str">
        <x:v>Christian Watson</x:v>
      </x:c>
      <x:c r="B44" s="69" t="str">
        <x:v>WR</x:v>
      </x:c>
      <x:c r="C44" s="69" t="str">
        <x:v>GB</x:v>
      </x:c>
      <x:c r="D44" s="74" t="n">
        <x:v>11</x:v>
      </x:c>
      <x:c r="E44" s="74" t="n">
        <x:v>39</x:v>
      </x:c>
      <x:c r="F44" s="75" t="n">
        <x:v>13.2</x:v>
      </x:c>
      <x:c r="G44" s="76" t="n">
        <x:v>3</x:v>
      </x:c>
      <x:c r="H44" s="76" t="n">
        <x:v>17</x:v>
      </x:c>
      <x:c r="I44" s="76" t="n">
        <x:v>0</x:v>
      </x:c>
      <x:c r="J44" s="76" t="n">
        <x:v>65</x:v>
      </x:c>
      <x:c r="K44" s="76" t="n">
        <x:v>1110</x:v>
      </x:c>
      <x:c r="L44" s="76" t="n">
        <x:v>8</x:v>
      </x:c>
      <x:c r="M44" s="76" t="n">
        <x:v>0</x:v>
      </x:c>
      <x:c r="N44" s="73" t="str">
        <x:v>https://www.thefantasyfootballers.com/2026-ultimate-draft-kit/udk-mikes-projections/?position=FLEX</x:v>
      </x:c>
    </x:row>
    <x:row r="45">
      <x:c r="A45" s="70" t="str">
        <x:v>Javonte Williams</x:v>
      </x:c>
      <x:c r="B45" s="69" t="str">
        <x:v>RB</x:v>
      </x:c>
      <x:c r="C45" s="69" t="str">
        <x:v>DAL</x:v>
      </x:c>
      <x:c r="D45" s="74" t="n">
        <x:v>14</x:v>
      </x:c>
      <x:c r="E45" s="74" t="n">
        <x:v>40</x:v>
      </x:c>
      <x:c r="F45" s="75" t="n">
        <x:v>13.2</x:v>
      </x:c>
      <x:c r="G45" s="76" t="n">
        <x:v>240</x:v>
      </x:c>
      <x:c r="H45" s="76" t="n">
        <x:v>1058</x:v>
      </x:c>
      <x:c r="I45" s="76" t="n">
        <x:v>9</x:v>
      </x:c>
      <x:c r="J45" s="76" t="n">
        <x:v>44</x:v>
      </x:c>
      <x:c r="K45" s="76" t="n">
        <x:v>175</x:v>
      </x:c>
      <x:c r="L45" s="76" t="n">
        <x:v>1</x:v>
      </x:c>
      <x:c r="M45" s="76" t="n">
        <x:v>2</x:v>
      </x:c>
      <x:c r="N45" s="73" t="str">
        <x:v>https://www.thefantasyfootballers.com/2026-ultimate-draft-kit/udk-mikes-projections/?position=FLEX</x:v>
      </x:c>
    </x:row>
    <x:row r="46">
      <x:c r="A46" s="70" t="str">
        <x:v>Breece Hall</x:v>
      </x:c>
      <x:c r="B46" s="69" t="str">
        <x:v>RB</x:v>
      </x:c>
      <x:c r="C46" s="69" t="str">
        <x:v>NYJ</x:v>
      </x:c>
      <x:c r="D46" s="74" t="n">
        <x:v>13</x:v>
      </x:c>
      <x:c r="E46" s="74" t="n">
        <x:v>41</x:v>
      </x:c>
      <x:c r="F46" s="75" t="n">
        <x:v>13.2</x:v>
      </x:c>
      <x:c r="G46" s="76" t="n">
        <x:v>219</x:v>
      </x:c>
      <x:c r="H46" s="76" t="n">
        <x:v>965</x:v>
      </x:c>
      <x:c r="I46" s="76" t="n">
        <x:v>5</x:v>
      </x:c>
      <x:c r="J46" s="76" t="n">
        <x:v>47</x:v>
      </x:c>
      <x:c r="K46" s="76" t="n">
        <x:v>409</x:v>
      </x:c>
      <x:c r="L46" s="76" t="n">
        <x:v>2</x:v>
      </x:c>
      <x:c r="M46" s="76" t="n">
        <x:v>3</x:v>
      </x:c>
      <x:c r="N46" s="73" t="str">
        <x:v>https://www.thefantasyfootballers.com/2026-ultimate-draft-kit/udk-mikes-projections/?position=FLEX</x:v>
      </x:c>
    </x:row>
    <x:row r="47">
      <x:c r="A47" s="70" t="str">
        <x:v>Ladd McConkey</x:v>
      </x:c>
      <x:c r="B47" s="69" t="str">
        <x:v>WR</x:v>
      </x:c>
      <x:c r="C47" s="69" t="str">
        <x:v>LAC</x:v>
      </x:c>
      <x:c r="D47" s="74" t="n">
        <x:v>7</x:v>
      </x:c>
      <x:c r="E47" s="74" t="n">
        <x:v>42</x:v>
      </x:c>
      <x:c r="F47" s="75" t="n">
        <x:v>13.1</x:v>
      </x:c>
      <x:c r="G47" s="76" t="n">
        <x:v>0</x:v>
      </x:c>
      <x:c r="H47" s="76" t="n">
        <x:v>0</x:v>
      </x:c>
      <x:c r="I47" s="76" t="n">
        <x:v>0</x:v>
      </x:c>
      <x:c r="J47" s="76" t="n">
        <x:v>81</x:v>
      </x:c>
      <x:c r="K47" s="76" t="n">
        <x:v>994</x:v>
      </x:c>
      <x:c r="L47" s="76" t="n">
        <x:v>7</x:v>
      </x:c>
      <x:c r="M47" s="76" t="n">
        <x:v>1</x:v>
      </x:c>
      <x:c r="N47" s="73" t="str">
        <x:v>https://www.thefantasyfootballers.com/2026-ultimate-draft-kit/udk-mikes-projections/?position=FLEX</x:v>
      </x:c>
    </x:row>
    <x:row r="48">
      <x:c r="A48" s="70" t="str">
        <x:v>Parker Washington</x:v>
      </x:c>
      <x:c r="B48" s="69" t="str">
        <x:v>WR</x:v>
      </x:c>
      <x:c r="C48" s="69" t="str">
        <x:v>JAX</x:v>
      </x:c>
      <x:c r="D48" s="74" t="n">
        <x:v>7</x:v>
      </x:c>
      <x:c r="E48" s="74" t="n">
        <x:v>43</x:v>
      </x:c>
      <x:c r="F48" s="75" t="n">
        <x:v>13</x:v>
      </x:c>
      <x:c r="G48" s="76" t="n">
        <x:v>4</x:v>
      </x:c>
      <x:c r="H48" s="76" t="n">
        <x:v>0</x:v>
      </x:c>
      <x:c r="I48" s="76" t="n">
        <x:v>0</x:v>
      </x:c>
      <x:c r="J48" s="76" t="n">
        <x:v>77</x:v>
      </x:c>
      <x:c r="K48" s="76" t="n">
        <x:v>1027</x:v>
      </x:c>
      <x:c r="L48" s="76" t="n">
        <x:v>7</x:v>
      </x:c>
      <x:c r="M48" s="76" t="n">
        <x:v>0</x:v>
      </x:c>
      <x:c r="N48" s="73" t="str">
        <x:v>https://www.thefantasyfootballers.com/2026-ultimate-draft-kit/udk-mikes-projections/?position=FLEX</x:v>
      </x:c>
    </x:row>
    <x:row r="49">
      <x:c r="A49" s="70" t="str">
        <x:v>Carnell Tate</x:v>
      </x:c>
      <x:c r="B49" s="69" t="str">
        <x:v>WR</x:v>
      </x:c>
      <x:c r="C49" s="69" t="str">
        <x:v>TEN</x:v>
      </x:c>
      <x:c r="D49" s="74" t="n">
        <x:v>9</x:v>
      </x:c>
      <x:c r="E49" s="74" t="n">
        <x:v>44</x:v>
      </x:c>
      <x:c r="F49" s="75" t="n">
        <x:v>13</x:v>
      </x:c>
      <x:c r="G49" s="76" t="n">
        <x:v>0</x:v>
      </x:c>
      <x:c r="H49" s="76" t="n">
        <x:v>0</x:v>
      </x:c>
      <x:c r="I49" s="76" t="n">
        <x:v>0</x:v>
      </x:c>
      <x:c r="J49" s="76" t="n">
        <x:v>80</x:v>
      </x:c>
      <x:c r="K49" s="76" t="n">
        <x:v>976</x:v>
      </x:c>
      <x:c r="L49" s="76" t="n">
        <x:v>7</x:v>
      </x:c>
      <x:c r="M49" s="76" t="n">
        <x:v>0</x:v>
      </x:c>
      <x:c r="N49" s="73" t="str">
        <x:v>https://www.thefantasyfootballers.com/2026-ultimate-draft-kit/udk-mikes-projections/?position=FLEX</x:v>
      </x:c>
    </x:row>
    <x:row r="50">
      <x:c r="A50" s="70" t="str">
        <x:v>Bhayshul Tuten</x:v>
      </x:c>
      <x:c r="B50" s="69" t="str">
        <x:v>RB</x:v>
      </x:c>
      <x:c r="C50" s="69" t="str">
        <x:v>JAX</x:v>
      </x:c>
      <x:c r="D50" s="74" t="n">
        <x:v>7</x:v>
      </x:c>
      <x:c r="E50" s="74" t="n">
        <x:v>45</x:v>
      </x:c>
      <x:c r="F50" s="75" t="n">
        <x:v>13</x:v>
      </x:c>
      <x:c r="G50" s="76" t="n">
        <x:v>204</x:v>
      </x:c>
      <x:c r="H50" s="76" t="n">
        <x:v>856</x:v>
      </x:c>
      <x:c r="I50" s="76" t="n">
        <x:v>8</x:v>
      </x:c>
      <x:c r="J50" s="76" t="n">
        <x:v>45</x:v>
      </x:c>
      <x:c r="K50" s="76" t="n">
        <x:v>344</x:v>
      </x:c>
      <x:c r="L50" s="76" t="n">
        <x:v>2</x:v>
      </x:c>
      <x:c r="M50" s="76" t="n">
        <x:v>1</x:v>
      </x:c>
      <x:c r="N50" s="73" t="str">
        <x:v>https://www.thefantasyfootballers.com/2026-ultimate-draft-kit/udk-mikes-projections/?position=FLEX</x:v>
      </x:c>
    </x:row>
    <x:row r="51">
      <x:c r="A51" s="70" t="str">
        <x:v>Luther Burden III</x:v>
      </x:c>
      <x:c r="B51" s="69" t="str">
        <x:v>WR</x:v>
      </x:c>
      <x:c r="C51" s="69" t="str">
        <x:v>CHI</x:v>
      </x:c>
      <x:c r="D51" s="74" t="n">
        <x:v>10</x:v>
      </x:c>
      <x:c r="E51" s="74" t="n">
        <x:v>46</x:v>
      </x:c>
      <x:c r="F51" s="75" t="n">
        <x:v>12.9</x:v>
      </x:c>
      <x:c r="G51" s="76" t="n">
        <x:v>6</x:v>
      </x:c>
      <x:c r="H51" s="76" t="n">
        <x:v>37</x:v>
      </x:c>
      <x:c r="I51" s="76" t="n">
        <x:v>0</x:v>
      </x:c>
      <x:c r="J51" s="76" t="n">
        <x:v>77</x:v>
      </x:c>
      <x:c r="K51" s="76" t="n">
        <x:v>1061</x:v>
      </x:c>
      <x:c r="L51" s="76" t="n">
        <x:v>5</x:v>
      </x:c>
      <x:c r="M51" s="76" t="n">
        <x:v>0</x:v>
      </x:c>
      <x:c r="N51" s="73" t="str">
        <x:v>https://www.thefantasyfootballers.com/2026-ultimate-draft-kit/udk-mikes-projections/?position=FLEX</x:v>
      </x:c>
    </x:row>
    <x:row r="52">
      <x:c r="A52" s="70" t="str">
        <x:v>Bucky Irving</x:v>
      </x:c>
      <x:c r="B52" s="69" t="str">
        <x:v>RB</x:v>
      </x:c>
      <x:c r="C52" s="69" t="str">
        <x:v>TB</x:v>
      </x:c>
      <x:c r="D52" s="74" t="n">
        <x:v>10</x:v>
      </x:c>
      <x:c r="E52" s="74" t="n">
        <x:v>47</x:v>
      </x:c>
      <x:c r="F52" s="75" t="n">
        <x:v>12.9</x:v>
      </x:c>
      <x:c r="G52" s="76" t="n">
        <x:v>235</x:v>
      </x:c>
      <x:c r="H52" s="76" t="n">
        <x:v>985</x:v>
      </x:c>
      <x:c r="I52" s="76" t="n">
        <x:v>6</x:v>
      </x:c>
      <x:c r="J52" s="76" t="n">
        <x:v>42</x:v>
      </x:c>
      <x:c r="K52" s="76" t="n">
        <x:v>360</x:v>
      </x:c>
      <x:c r="L52" s="76" t="n">
        <x:v>2</x:v>
      </x:c>
      <x:c r="M52" s="76" t="n">
        <x:v>1</x:v>
      </x:c>
      <x:c r="N52" s="73" t="str">
        <x:v>https://www.thefantasyfootballers.com/2026-ultimate-draft-kit/udk-mikes-projections/?position=FLEX</x:v>
      </x:c>
    </x:row>
    <x:row r="53">
      <x:c r="A53" s="70" t="str">
        <x:v>Cam Skattebo</x:v>
      </x:c>
      <x:c r="B53" s="69" t="str">
        <x:v>RB</x:v>
      </x:c>
      <x:c r="C53" s="69" t="str">
        <x:v>NYG</x:v>
      </x:c>
      <x:c r="D53" s="74" t="n">
        <x:v>8</x:v>
      </x:c>
      <x:c r="E53" s="74" t="n">
        <x:v>48</x:v>
      </x:c>
      <x:c r="F53" s="75" t="n">
        <x:v>12.8</x:v>
      </x:c>
      <x:c r="G53" s="76" t="n">
        <x:v>233</x:v>
      </x:c>
      <x:c r="H53" s="76" t="n">
        <x:v>954</x:v>
      </x:c>
      <x:c r="I53" s="76" t="n">
        <x:v>7</x:v>
      </x:c>
      <x:c r="J53" s="76" t="n">
        <x:v>40</x:v>
      </x:c>
      <x:c r="K53" s="76" t="n">
        <x:v>334</x:v>
      </x:c>
      <x:c r="L53" s="76" t="n">
        <x:v>2</x:v>
      </x:c>
      <x:c r="M53" s="76" t="n">
        <x:v>1</x:v>
      </x:c>
      <x:c r="N53" s="73" t="str">
        <x:v>https://www.thefantasyfootballers.com/2026-ultimate-draft-kit/udk-mikes-projections/?position=FLEX</x:v>
      </x:c>
    </x:row>
    <x:row r="54">
      <x:c r="A54" s="70" t="str">
        <x:v>Mike Evans</x:v>
      </x:c>
      <x:c r="B54" s="69" t="str">
        <x:v>WR</x:v>
      </x:c>
      <x:c r="C54" s="69" t="str">
        <x:v>SF</x:v>
      </x:c>
      <x:c r="D54" s="74" t="n">
        <x:v>8</x:v>
      </x:c>
      <x:c r="E54" s="74" t="n">
        <x:v>49</x:v>
      </x:c>
      <x:c r="F54" s="75" t="n">
        <x:v>12.7</x:v>
      </x:c>
      <x:c r="G54" s="76" t="n">
        <x:v>0</x:v>
      </x:c>
      <x:c r="H54" s="76" t="n">
        <x:v>0</x:v>
      </x:c>
      <x:c r="I54" s="76" t="n">
        <x:v>0</x:v>
      </x:c>
      <x:c r="J54" s="76" t="n">
        <x:v>69</x:v>
      </x:c>
      <x:c r="K54" s="76" t="n">
        <x:v>989</x:v>
      </x:c>
      <x:c r="L54" s="76" t="n">
        <x:v>8</x:v>
      </x:c>
      <x:c r="M54" s="76" t="n">
        <x:v>0</x:v>
      </x:c>
      <x:c r="N54" s="73" t="str">
        <x:v>https://www.thefantasyfootballers.com/2026-ultimate-draft-kit/udk-mikes-projections/?position=FLEX</x:v>
      </x:c>
    </x:row>
    <x:row r="55">
      <x:c r="A55" s="70" t="str">
        <x:v>Travis Etienne Jr.</x:v>
      </x:c>
      <x:c r="B55" s="69" t="str">
        <x:v>RB</x:v>
      </x:c>
      <x:c r="C55" s="69" t="str">
        <x:v>NO</x:v>
      </x:c>
      <x:c r="D55" s="74" t="n">
        <x:v>8</x:v>
      </x:c>
      <x:c r="E55" s="74" t="n">
        <x:v>50</x:v>
      </x:c>
      <x:c r="F55" s="75" t="n">
        <x:v>12.7</x:v>
      </x:c>
      <x:c r="G55" s="76" t="n">
        <x:v>219</x:v>
      </x:c>
      <x:c r="H55" s="76" t="n">
        <x:v>963</x:v>
      </x:c>
      <x:c r="I55" s="76" t="n">
        <x:v>6</x:v>
      </x:c>
      <x:c r="J55" s="76" t="n">
        <x:v>41</x:v>
      </x:c>
      <x:c r="K55" s="76" t="n">
        <x:v>322</x:v>
      </x:c>
      <x:c r="L55" s="76" t="n">
        <x:v>2</x:v>
      </x:c>
      <x:c r="M55" s="76" t="n">
        <x:v>1</x:v>
      </x:c>
      <x:c r="N55" s="73" t="str">
        <x:v>https://www.thefantasyfootballers.com/2026-ultimate-draft-kit/udk-mikes-projections/?position=FLEX</x:v>
      </x:c>
    </x:row>
    <x:row r="56">
      <x:c r="A56" s="70" t="str">
        <x:v>Terry McLaurin</x:v>
      </x:c>
      <x:c r="B56" s="69" t="str">
        <x:v>WR</x:v>
      </x:c>
      <x:c r="C56" s="69" t="str">
        <x:v>WAS</x:v>
      </x:c>
      <x:c r="D56" s="74" t="n">
        <x:v>7</x:v>
      </x:c>
      <x:c r="E56" s="74" t="n">
        <x:v>51</x:v>
      </x:c>
      <x:c r="F56" s="75" t="n">
        <x:v>12.7</x:v>
      </x:c>
      <x:c r="G56" s="76" t="n">
        <x:v>0</x:v>
      </x:c>
      <x:c r="H56" s="76" t="n">
        <x:v>0</x:v>
      </x:c>
      <x:c r="I56" s="76" t="n">
        <x:v>0</x:v>
      </x:c>
      <x:c r="J56" s="76" t="n">
        <x:v>72</x:v>
      </x:c>
      <x:c r="K56" s="76" t="n">
        <x:v>1015</x:v>
      </x:c>
      <x:c r="L56" s="76" t="n">
        <x:v>7</x:v>
      </x:c>
      <x:c r="M56" s="76" t="n">
        <x:v>0</x:v>
      </x:c>
      <x:c r="N56" s="73" t="str">
        <x:v>https://www.thefantasyfootballers.com/2026-ultimate-draft-kit/udk-mikes-projections/?position=FLEX</x:v>
      </x:c>
    </x:row>
    <x:row r="57">
      <x:c r="A57" s="70" t="str">
        <x:v>Jameson Williams</x:v>
      </x:c>
      <x:c r="B57" s="69" t="str">
        <x:v>WR</x:v>
      </x:c>
      <x:c r="C57" s="69" t="str">
        <x:v>DET</x:v>
      </x:c>
      <x:c r="D57" s="74" t="n">
        <x:v>6</x:v>
      </x:c>
      <x:c r="E57" s="74" t="n">
        <x:v>52</x:v>
      </x:c>
      <x:c r="F57" s="75" t="n">
        <x:v>12.7</x:v>
      </x:c>
      <x:c r="G57" s="76" t="n">
        <x:v>6</x:v>
      </x:c>
      <x:c r="H57" s="76" t="n">
        <x:v>31</x:v>
      </x:c>
      <x:c r="I57" s="76" t="n">
        <x:v>0</x:v>
      </x:c>
      <x:c r="J57" s="76" t="n">
        <x:v>63</x:v>
      </x:c>
      <x:c r="K57" s="76" t="n">
        <x:v>1059</x:v>
      </x:c>
      <x:c r="L57" s="76" t="n">
        <x:v>7</x:v>
      </x:c>
      <x:c r="M57" s="76" t="n">
        <x:v>0</x:v>
      </x:c>
      <x:c r="N57" s="73" t="str">
        <x:v>https://www.thefantasyfootballers.com/2026-ultimate-draft-kit/udk-mikes-projections/?position=FLEX</x:v>
      </x:c>
    </x:row>
    <x:row r="58">
      <x:c r="A58" s="70" t="str">
        <x:v>David Montgomery</x:v>
      </x:c>
      <x:c r="B58" s="69" t="str">
        <x:v>RB</x:v>
      </x:c>
      <x:c r="C58" s="69" t="str">
        <x:v>HOU</x:v>
      </x:c>
      <x:c r="D58" s="74" t="n">
        <x:v>8</x:v>
      </x:c>
      <x:c r="E58" s="74" t="n">
        <x:v>53</x:v>
      </x:c>
      <x:c r="F58" s="75" t="n">
        <x:v>12.5</x:v>
      </x:c>
      <x:c r="G58" s="76" t="n">
        <x:v>231</x:v>
      </x:c>
      <x:c r="H58" s="76" t="n">
        <x:v>1014</x:v>
      </x:c>
      <x:c r="I58" s="76" t="n">
        <x:v>7</x:v>
      </x:c>
      <x:c r="J58" s="76" t="n">
        <x:v>36</x:v>
      </x:c>
      <x:c r="K58" s="76" t="n">
        <x:v>303</x:v>
      </x:c>
      <x:c r="L58" s="76" t="n">
        <x:v>1</x:v>
      </x:c>
      <x:c r="M58" s="76" t="n">
        <x:v>2</x:v>
      </x:c>
      <x:c r="N58" s="73" t="str">
        <x:v>https://www.thefantasyfootballers.com/2026-ultimate-draft-kit/udk-mikes-projections/?position=FLEX</x:v>
      </x:c>
    </x:row>
    <x:row r="59">
      <x:c r="A59" s="70" t="str">
        <x:v>Quentin Johnston</x:v>
      </x:c>
      <x:c r="B59" s="69" t="str">
        <x:v>WR</x:v>
      </x:c>
      <x:c r="C59" s="69" t="str">
        <x:v>LAC</x:v>
      </x:c>
      <x:c r="D59" s="74" t="n">
        <x:v>7</x:v>
      </x:c>
      <x:c r="E59" s="74" t="n">
        <x:v>54</x:v>
      </x:c>
      <x:c r="F59" s="75" t="n">
        <x:v>12.4</x:v>
      </x:c>
      <x:c r="G59" s="76" t="n">
        <x:v>2</x:v>
      </x:c>
      <x:c r="H59" s="76" t="n">
        <x:v>7</x:v>
      </x:c>
      <x:c r="I59" s="76" t="n">
        <x:v>0</x:v>
      </x:c>
      <x:c r="J59" s="76" t="n">
        <x:v>70</x:v>
      </x:c>
      <x:c r="K59" s="76" t="n">
        <x:v>932</x:v>
      </x:c>
      <x:c r="L59" s="76" t="n">
        <x:v>8</x:v>
      </x:c>
      <x:c r="M59" s="76" t="n">
        <x:v>0</x:v>
      </x:c>
      <x:c r="N59" s="73" t="str">
        <x:v>https://www.thefantasyfootballers.com/2026-ultimate-draft-kit/udk-mikes-projections/?position=FLEX</x:v>
      </x:c>
    </x:row>
    <x:row r="60">
      <x:c r="A60" s="70" t="str">
        <x:v>MarShawn Lloyd</x:v>
      </x:c>
      <x:c r="B60" s="69" t="str">
        <x:v>RB</x:v>
      </x:c>
      <x:c r="C60" s="69" t="str">
        <x:v>GB</x:v>
      </x:c>
      <x:c r="D60" s="74" t="n">
        <x:v>11</x:v>
      </x:c>
      <x:c r="E60" s="74" t="n">
        <x:v>55</x:v>
      </x:c>
      <x:c r="F60" s="75" t="n">
        <x:v>12.4</x:v>
      </x:c>
      <x:c r="G60" s="76" t="n">
        <x:v>241</x:v>
      </x:c>
      <x:c r="H60" s="76" t="n">
        <x:v>989</x:v>
      </x:c>
      <x:c r="I60" s="76" t="n">
        <x:v>7</x:v>
      </x:c>
      <x:c r="J60" s="76" t="n">
        <x:v>37</x:v>
      </x:c>
      <x:c r="K60" s="76" t="n">
        <x:v>255</x:v>
      </x:c>
      <x:c r="L60" s="76" t="n">
        <x:v>1</x:v>
      </x:c>
      <x:c r="M60" s="76" t="n">
        <x:v>0</x:v>
      </x:c>
      <x:c r="N60" s="73" t="str">
        <x:v>https://www.thefantasyfootballers.com/2026-ultimate-draft-kit/udk-mikes-projections/?position=FLEX</x:v>
      </x:c>
    </x:row>
    <x:row r="61">
      <x:c r="A61" s="70" t="str">
        <x:v>Chris Godwin Jr.</x:v>
      </x:c>
      <x:c r="B61" s="69" t="str">
        <x:v>WR</x:v>
      </x:c>
      <x:c r="C61" s="69" t="str">
        <x:v>TB</x:v>
      </x:c>
      <x:c r="D61" s="74" t="n">
        <x:v>10</x:v>
      </x:c>
      <x:c r="E61" s="74" t="n">
        <x:v>56</x:v>
      </x:c>
      <x:c r="F61" s="75" t="n">
        <x:v>12.4</x:v>
      </x:c>
      <x:c r="G61" s="76" t="n">
        <x:v>0</x:v>
      </x:c>
      <x:c r="H61" s="76" t="n">
        <x:v>0</x:v>
      </x:c>
      <x:c r="I61" s="76" t="n">
        <x:v>0</x:v>
      </x:c>
      <x:c r="J61" s="76" t="n">
        <x:v>83</x:v>
      </x:c>
      <x:c r="K61" s="76" t="n">
        <x:v>943</x:v>
      </x:c>
      <x:c r="L61" s="76" t="n">
        <x:v>6</x:v>
      </x:c>
      <x:c r="M61" s="76" t="n">
        <x:v>0</x:v>
      </x:c>
      <x:c r="N61" s="73" t="str">
        <x:v>https://www.thefantasyfootballers.com/2026-ultimate-draft-kit/udk-mikes-projections/?position=FLEX</x:v>
      </x:c>
    </x:row>
    <x:row r="62">
      <x:c r="A62" s="70" t="str">
        <x:v>Stefon Diggs</x:v>
      </x:c>
      <x:c r="B62" s="69" t="str">
        <x:v>WR</x:v>
      </x:c>
      <x:c r="C62" s="69" t="str">
        <x:v>WAS</x:v>
      </x:c>
      <x:c r="D62" s="74" t="n">
        <x:v>7</x:v>
      </x:c>
      <x:c r="E62" s="74" t="n">
        <x:v>57</x:v>
      </x:c>
      <x:c r="F62" s="75" t="n">
        <x:v>12.2</x:v>
      </x:c>
      <x:c r="G62" s="76" t="n">
        <x:v>0</x:v>
      </x:c>
      <x:c r="H62" s="76" t="n">
        <x:v>0</x:v>
      </x:c>
      <x:c r="I62" s="76" t="n">
        <x:v>0</x:v>
      </x:c>
      <x:c r="J62" s="76" t="n">
        <x:v>85</x:v>
      </x:c>
      <x:c r="K62" s="76" t="n">
        <x:v>897</x:v>
      </x:c>
      <x:c r="L62" s="76" t="n">
        <x:v>5</x:v>
      </x:c>
      <x:c r="M62" s="76" t="n">
        <x:v>0</x:v>
      </x:c>
      <x:c r="N62" s="73" t="str">
        <x:v>https://www.thefantasyfootballers.com/2026-ultimate-draft-kit/udk-mikes-projections/?position=FLEX</x:v>
      </x:c>
    </x:row>
    <x:row r="63">
      <x:c r="A63" s="70" t="str">
        <x:v>Alec Pierce</x:v>
      </x:c>
      <x:c r="B63" s="69" t="str">
        <x:v>WR</x:v>
      </x:c>
      <x:c r="C63" s="69" t="str">
        <x:v>IND</x:v>
      </x:c>
      <x:c r="D63" s="74" t="n">
        <x:v>13</x:v>
      </x:c>
      <x:c r="E63" s="74" t="n">
        <x:v>58</x:v>
      </x:c>
      <x:c r="F63" s="75" t="n">
        <x:v>12</x:v>
      </x:c>
      <x:c r="G63" s="76" t="n">
        <x:v>0</x:v>
      </x:c>
      <x:c r="H63" s="76" t="n">
        <x:v>0</x:v>
      </x:c>
      <x:c r="I63" s="76" t="n">
        <x:v>0</x:v>
      </x:c>
      <x:c r="J63" s="76" t="n">
        <x:v>58</x:v>
      </x:c>
      <x:c r="K63" s="76" t="n">
        <x:v>1078</x:v>
      </x:c>
      <x:c r="L63" s="76" t="n">
        <x:v>7</x:v>
      </x:c>
      <x:c r="M63" s="76" t="n">
        <x:v>0</x:v>
      </x:c>
      <x:c r="N63" s="73" t="str">
        <x:v>https://www.thefantasyfootballers.com/2026-ultimate-draft-kit/udk-mikes-projections/?position=FLEX</x:v>
      </x:c>
    </x:row>
    <x:row r="64">
      <x:c r="A64" s="70" t="str">
        <x:v>J.K. Dobbins</x:v>
      </x:c>
      <x:c r="B64" s="69" t="str">
        <x:v>RB</x:v>
      </x:c>
      <x:c r="C64" s="69" t="str">
        <x:v>DEN</x:v>
      </x:c>
      <x:c r="D64" s="74" t="n">
        <x:v>10</x:v>
      </x:c>
      <x:c r="E64" s="74" t="n">
        <x:v>59</x:v>
      </x:c>
      <x:c r="F64" s="75" t="n">
        <x:v>12</x:v>
      </x:c>
      <x:c r="G64" s="76" t="n">
        <x:v>251</x:v>
      </x:c>
      <x:c r="H64" s="76" t="n">
        <x:v>1157</x:v>
      </x:c>
      <x:c r="I64" s="76" t="n">
        <x:v>9</x:v>
      </x:c>
      <x:c r="J64" s="76" t="n">
        <x:v>20</x:v>
      </x:c>
      <x:c r="K64" s="76" t="n">
        <x:v>100</x:v>
      </x:c>
      <x:c r="L64" s="76" t="n">
        <x:v>0</x:v>
      </x:c>
      <x:c r="M64" s="76" t="n">
        <x:v>0</x:v>
      </x:c>
      <x:c r="N64" s="73" t="str">
        <x:v>https://www.thefantasyfootballers.com/2026-ultimate-draft-kit/udk-mikes-projections/?position=FLEX</x:v>
      </x:c>
    </x:row>
    <x:row r="65">
      <x:c r="A65" s="70" t="str">
        <x:v>DK Metcalf</x:v>
      </x:c>
      <x:c r="B65" s="69" t="str">
        <x:v>WR</x:v>
      </x:c>
      <x:c r="C65" s="69" t="str">
        <x:v>PIT</x:v>
      </x:c>
      <x:c r="D65" s="74" t="n">
        <x:v>9</x:v>
      </x:c>
      <x:c r="E65" s="74" t="n">
        <x:v>60</x:v>
      </x:c>
      <x:c r="F65" s="75" t="n">
        <x:v>11.9</x:v>
      </x:c>
      <x:c r="G65" s="76" t="n">
        <x:v>0</x:v>
      </x:c>
      <x:c r="H65" s="76" t="n">
        <x:v>0</x:v>
      </x:c>
      <x:c r="I65" s="76" t="n">
        <x:v>0</x:v>
      </x:c>
      <x:c r="J65" s="76" t="n">
        <x:v>68</x:v>
      </x:c>
      <x:c r="K65" s="76" t="n">
        <x:v>951</x:v>
      </x:c>
      <x:c r="L65" s="76" t="n">
        <x:v>7</x:v>
      </x:c>
      <x:c r="M65" s="76" t="n">
        <x:v>1</x:v>
      </x:c>
      <x:c r="N65" s="73" t="str">
        <x:v>https://www.thefantasyfootballers.com/2026-ultimate-draft-kit/udk-mikes-projections/?position=FLEX</x:v>
      </x:c>
    </x:row>
    <x:row r="66">
      <x:c r="A66" s="70" t="str">
        <x:v>Tyler Warren</x:v>
      </x:c>
      <x:c r="B66" s="69" t="str">
        <x:v>TE</x:v>
      </x:c>
      <x:c r="C66" s="69" t="str">
        <x:v>IND</x:v>
      </x:c>
      <x:c r="D66" s="74" t="n">
        <x:v>13</x:v>
      </x:c>
      <x:c r="E66" s="74" t="n">
        <x:v>61</x:v>
      </x:c>
      <x:c r="F66" s="75" t="n">
        <x:v>11.8</x:v>
      </x:c>
      <x:c r="G66" s="76" t="n">
        <x:v>0</x:v>
      </x:c>
      <x:c r="H66" s="76" t="n">
        <x:v>0</x:v>
      </x:c>
      <x:c r="I66" s="76" t="n">
        <x:v>0</x:v>
      </x:c>
      <x:c r="J66" s="76" t="n">
        <x:v>80</x:v>
      </x:c>
      <x:c r="K66" s="76" t="n">
        <x:v>860</x:v>
      </x:c>
      <x:c r="L66" s="76" t="n">
        <x:v>6</x:v>
      </x:c>
      <x:c r="M66" s="76" t="n">
        <x:v>0</x:v>
      </x:c>
      <x:c r="N66" s="73" t="str">
        <x:v>https://www.thefantasyfootballers.com/2026-ultimate-draft-kit/udk-mikes-projections/?position=FLEX</x:v>
      </x:c>
    </x:row>
    <x:row r="67">
      <x:c r="A67" s="70" t="str">
        <x:v>George Kittle</x:v>
      </x:c>
      <x:c r="B67" s="69" t="str">
        <x:v>TE</x:v>
      </x:c>
      <x:c r="C67" s="69" t="str">
        <x:v>SF</x:v>
      </x:c>
      <x:c r="D67" s="74" t="n">
        <x:v>8</x:v>
      </x:c>
      <x:c r="E67" s="74" t="n">
        <x:v>62</x:v>
      </x:c>
      <x:c r="F67" s="75" t="n">
        <x:v>11.8</x:v>
      </x:c>
      <x:c r="G67" s="76" t="n">
        <x:v>0</x:v>
      </x:c>
      <x:c r="H67" s="76" t="n">
        <x:v>0</x:v>
      </x:c>
      <x:c r="I67" s="76" t="n">
        <x:v>0</x:v>
      </x:c>
      <x:c r="J67" s="76" t="n">
        <x:v>79</x:v>
      </x:c>
      <x:c r="K67" s="76" t="n">
        <x:v>864</x:v>
      </x:c>
      <x:c r="L67" s="76" t="n">
        <x:v>6</x:v>
      </x:c>
      <x:c r="M67" s="76" t="n">
        <x:v>0</x:v>
      </x:c>
      <x:c r="N67" s="73" t="str">
        <x:v>https://www.thefantasyfootballers.com/2026-ultimate-draft-kit/udk-mikes-projections/?position=FLEX</x:v>
      </x:c>
    </x:row>
    <x:row r="68">
      <x:c r="A68" s="70" t="str">
        <x:v>DJ Moore</x:v>
      </x:c>
      <x:c r="B68" s="69" t="str">
        <x:v>WR</x:v>
      </x:c>
      <x:c r="C68" s="69" t="str">
        <x:v>BUF</x:v>
      </x:c>
      <x:c r="D68" s="74" t="n">
        <x:v>7</x:v>
      </x:c>
      <x:c r="E68" s="74" t="n">
        <x:v>63</x:v>
      </x:c>
      <x:c r="F68" s="75" t="n">
        <x:v>11.8</x:v>
      </x:c>
      <x:c r="G68" s="76" t="n">
        <x:v>12</x:v>
      </x:c>
      <x:c r="H68" s="76" t="n">
        <x:v>62</x:v>
      </x:c>
      <x:c r="I68" s="76" t="n">
        <x:v>1</x:v>
      </x:c>
      <x:c r="J68" s="76" t="n">
        <x:v>65</x:v>
      </x:c>
      <x:c r="K68" s="76" t="n">
        <x:v>898</x:v>
      </x:c>
      <x:c r="L68" s="76" t="n">
        <x:v>6</x:v>
      </x:c>
      <x:c r="M68" s="76" t="n">
        <x:v>0</x:v>
      </x:c>
      <x:c r="N68" s="73" t="str">
        <x:v>https://www.thefantasyfootballers.com/2026-ultimate-draft-kit/udk-mikes-projections/?position=FLEX</x:v>
      </x:c>
    </x:row>
    <x:row r="69">
      <x:c r="A69" s="70" t="str">
        <x:v>Colston Loveland</x:v>
      </x:c>
      <x:c r="B69" s="69" t="str">
        <x:v>TE</x:v>
      </x:c>
      <x:c r="C69" s="69" t="str">
        <x:v>CHI</x:v>
      </x:c>
      <x:c r="D69" s="74" t="n">
        <x:v>10</x:v>
      </x:c>
      <x:c r="E69" s="74" t="n">
        <x:v>64</x:v>
      </x:c>
      <x:c r="F69" s="75" t="n">
        <x:v>11.7</x:v>
      </x:c>
      <x:c r="G69" s="76" t="n">
        <x:v>0</x:v>
      </x:c>
      <x:c r="H69" s="76" t="n">
        <x:v>0</x:v>
      </x:c>
      <x:c r="I69" s="76" t="n">
        <x:v>0</x:v>
      </x:c>
      <x:c r="J69" s="76" t="n">
        <x:v>72</x:v>
      </x:c>
      <x:c r="K69" s="76" t="n">
        <x:v>873</x:v>
      </x:c>
      <x:c r="L69" s="76" t="n">
        <x:v>7</x:v>
      </x:c>
      <x:c r="M69" s="76" t="n">
        <x:v>0</x:v>
      </x:c>
      <x:c r="N69" s="73" t="str">
        <x:v>https://www.thefantasyfootballers.com/2026-ultimate-draft-kit/udk-mikes-projections/?position=FLEX</x:v>
      </x:c>
    </x:row>
    <x:row r="70">
      <x:c r="A70" s="70" t="str">
        <x:v>Rico Dowdle</x:v>
      </x:c>
      <x:c r="B70" s="69" t="str">
        <x:v>RB</x:v>
      </x:c>
      <x:c r="C70" s="69" t="str">
        <x:v>PIT</x:v>
      </x:c>
      <x:c r="D70" s="74" t="n">
        <x:v>9</x:v>
      </x:c>
      <x:c r="E70" s="74" t="n">
        <x:v>65</x:v>
      </x:c>
      <x:c r="F70" s="75" t="n">
        <x:v>11.6</x:v>
      </x:c>
      <x:c r="G70" s="76" t="n">
        <x:v>228</x:v>
      </x:c>
      <x:c r="H70" s="76" t="n">
        <x:v>1028</x:v>
      </x:c>
      <x:c r="I70" s="76" t="n">
        <x:v>5</x:v>
      </x:c>
      <x:c r="J70" s="76" t="n">
        <x:v>33</x:v>
      </x:c>
      <x:c r="K70" s="76" t="n">
        <x:v>244</x:v>
      </x:c>
      <x:c r="L70" s="76" t="n">
        <x:v>2</x:v>
      </x:c>
      <x:c r="M70" s="76" t="n">
        <x:v>1</x:v>
      </x:c>
      <x:c r="N70" s="73" t="str">
        <x:v>https://www.thefantasyfootballers.com/2026-ultimate-draft-kit/udk-mikes-projections/?position=FLEX</x:v>
      </x:c>
    </x:row>
    <x:row r="71">
      <x:c r="A71" s="70" t="str">
        <x:v>Quinshon Judkins</x:v>
      </x:c>
      <x:c r="B71" s="69" t="str">
        <x:v>RB</x:v>
      </x:c>
      <x:c r="C71" s="69" t="str">
        <x:v>CLE</x:v>
      </x:c>
      <x:c r="D71" s="74" t="n">
        <x:v>11</x:v>
      </x:c>
      <x:c r="E71" s="74" t="n">
        <x:v>66</x:v>
      </x:c>
      <x:c r="F71" s="75" t="n">
        <x:v>11.6</x:v>
      </x:c>
      <x:c r="G71" s="76" t="n">
        <x:v>291</x:v>
      </x:c>
      <x:c r="H71" s="76" t="n">
        <x:v>1105</x:v>
      </x:c>
      <x:c r="I71" s="76" t="n">
        <x:v>7</x:v>
      </x:c>
      <x:c r="J71" s="76" t="n">
        <x:v>27</x:v>
      </x:c>
      <x:c r="K71" s="76" t="n">
        <x:v>176</x:v>
      </x:c>
      <x:c r="L71" s="76" t="n">
        <x:v>1</x:v>
      </x:c>
      <x:c r="M71" s="76" t="n">
        <x:v>0</x:v>
      </x:c>
      <x:c r="N71" s="73" t="str">
        <x:v>https://www.thefantasyfootballers.com/2026-ultimate-draft-kit/udk-mikes-projections/?position=FLEX</x:v>
      </x:c>
    </x:row>
    <x:row r="72">
      <x:c r="A72" s="70" t="str">
        <x:v>De'Zhaun Stribling</x:v>
      </x:c>
      <x:c r="B72" s="69" t="str">
        <x:v>WR</x:v>
      </x:c>
      <x:c r="C72" s="69" t="str">
        <x:v>SF</x:v>
      </x:c>
      <x:c r="D72" s="74" t="n">
        <x:v>8</x:v>
      </x:c>
      <x:c r="E72" s="74" t="n">
        <x:v>67</x:v>
      </x:c>
      <x:c r="F72" s="75" t="n">
        <x:v>11.6</x:v>
      </x:c>
      <x:c r="G72" s="76" t="n">
        <x:v>0</x:v>
      </x:c>
      <x:c r="H72" s="76" t="n">
        <x:v>0</x:v>
      </x:c>
      <x:c r="I72" s="76" t="n">
        <x:v>0</x:v>
      </x:c>
      <x:c r="J72" s="76" t="n">
        <x:v>74</x:v>
      </x:c>
      <x:c r="K72" s="76" t="n">
        <x:v>901</x:v>
      </x:c>
      <x:c r="L72" s="76" t="n">
        <x:v>5</x:v>
      </x:c>
      <x:c r="M72" s="76" t="n">
        <x:v>0</x:v>
      </x:c>
      <x:c r="N72" s="73" t="str">
        <x:v>https://www.thefantasyfootballers.com/2026-ultimate-draft-kit/udk-mikes-projections/?position=FLEX</x:v>
      </x:c>
    </x:row>
    <x:row r="73">
      <x:c r="A73" s="70" t="str">
        <x:v>Michael Wilson</x:v>
      </x:c>
      <x:c r="B73" s="69" t="str">
        <x:v>WR</x:v>
      </x:c>
      <x:c r="C73" s="69" t="str">
        <x:v>ARI</x:v>
      </x:c>
      <x:c r="D73" s="74" t="n">
        <x:v>14</x:v>
      </x:c>
      <x:c r="E73" s="74" t="n">
        <x:v>68</x:v>
      </x:c>
      <x:c r="F73" s="75" t="n">
        <x:v>11.5</x:v>
      </x:c>
      <x:c r="G73" s="76" t="n">
        <x:v>0</x:v>
      </x:c>
      <x:c r="H73" s="76" t="n">
        <x:v>0</x:v>
      </x:c>
      <x:c r="I73" s="76" t="n">
        <x:v>0</x:v>
      </x:c>
      <x:c r="J73" s="76" t="n">
        <x:v>70</x:v>
      </x:c>
      <x:c r="K73" s="76" t="n">
        <x:v>906</x:v>
      </x:c>
      <x:c r="L73" s="76" t="n">
        <x:v>6</x:v>
      </x:c>
      <x:c r="M73" s="76" t="n">
        <x:v>0</x:v>
      </x:c>
      <x:c r="N73" s="73" t="str">
        <x:v>https://www.thefantasyfootballers.com/2026-ultimate-draft-kit/udk-mikes-projections/?position=FLEX</x:v>
      </x:c>
    </x:row>
    <x:row r="74">
      <x:c r="A74" s="70" t="str">
        <x:v>TreVeyon Henderson</x:v>
      </x:c>
      <x:c r="B74" s="69" t="str">
        <x:v>RB</x:v>
      </x:c>
      <x:c r="C74" s="69" t="str">
        <x:v>NE</x:v>
      </x:c>
      <x:c r="D74" s="74" t="n">
        <x:v>11</x:v>
      </x:c>
      <x:c r="E74" s="74" t="n">
        <x:v>69</x:v>
      </x:c>
      <x:c r="F74" s="75" t="n">
        <x:v>11.5</x:v>
      </x:c>
      <x:c r="G74" s="76" t="n">
        <x:v>188</x:v>
      </x:c>
      <x:c r="H74" s="76" t="n">
        <x:v>921</x:v>
      </x:c>
      <x:c r="I74" s="76" t="n">
        <x:v>8</x:v>
      </x:c>
      <x:c r="J74" s="76" t="n">
        <x:v>32</x:v>
      </x:c>
      <x:c r="K74" s="76" t="n">
        <x:v>203</x:v>
      </x:c>
      <x:c r="L74" s="76" t="n">
        <x:v>1</x:v>
      </x:c>
      <x:c r="M74" s="76" t="n">
        <x:v>1</x:v>
      </x:c>
      <x:c r="N74" s="73" t="str">
        <x:v>https://www.thefantasyfootballers.com/2026-ultimate-draft-kit/udk-mikes-projections/?position=FLEX</x:v>
      </x:c>
    </x:row>
    <x:row r="75">
      <x:c r="A75" s="70" t="str">
        <x:v>Rome Odunze</x:v>
      </x:c>
      <x:c r="B75" s="69" t="str">
        <x:v>WR</x:v>
      </x:c>
      <x:c r="C75" s="69" t="str">
        <x:v>CHI</x:v>
      </x:c>
      <x:c r="D75" s="74" t="n">
        <x:v>10</x:v>
      </x:c>
      <x:c r="E75" s="74" t="n">
        <x:v>70</x:v>
      </x:c>
      <x:c r="F75" s="75" t="n">
        <x:v>11.5</x:v>
      </x:c>
      <x:c r="G75" s="76" t="n">
        <x:v>0</x:v>
      </x:c>
      <x:c r="H75" s="76" t="n">
        <x:v>0</x:v>
      </x:c>
      <x:c r="I75" s="76" t="n">
        <x:v>0</x:v>
      </x:c>
      <x:c r="J75" s="76" t="n">
        <x:v>67</x:v>
      </x:c>
      <x:c r="K75" s="76" t="n">
        <x:v>947</x:v>
      </x:c>
      <x:c r="L75" s="76" t="n">
        <x:v>6</x:v>
      </x:c>
      <x:c r="M75" s="76" t="n">
        <x:v>1</x:v>
      </x:c>
      <x:c r="N75" s="73" t="str">
        <x:v>https://www.thefantasyfootballers.com/2026-ultimate-draft-kit/udk-mikes-projections/?position=FLEX</x:v>
      </x:c>
    </x:row>
    <x:row r="76">
      <x:c r="A76" s="70" t="str">
        <x:v>Harold Fannin Jr.</x:v>
      </x:c>
      <x:c r="B76" s="69" t="str">
        <x:v>TE</x:v>
      </x:c>
      <x:c r="C76" s="69" t="str">
        <x:v>CLE</x:v>
      </x:c>
      <x:c r="D76" s="74" t="n">
        <x:v>11</x:v>
      </x:c>
      <x:c r="E76" s="74" t="n">
        <x:v>71</x:v>
      </x:c>
      <x:c r="F76" s="75" t="n">
        <x:v>11.5</x:v>
      </x:c>
      <x:c r="G76" s="76" t="n">
        <x:v>7</x:v>
      </x:c>
      <x:c r="H76" s="76" t="n">
        <x:v>13</x:v>
      </x:c>
      <x:c r="I76" s="76" t="n">
        <x:v>0</x:v>
      </x:c>
      <x:c r="J76" s="76" t="n">
        <x:v>77</x:v>
      </x:c>
      <x:c r="K76" s="76" t="n">
        <x:v>795</x:v>
      </x:c>
      <x:c r="L76" s="76" t="n">
        <x:v>6</x:v>
      </x:c>
      <x:c r="M76" s="76" t="n">
        <x:v>1</x:v>
      </x:c>
      <x:c r="N76" s="73" t="str">
        <x:v>https://www.thefantasyfootballers.com/2026-ultimate-draft-kit/udk-mikes-projections/?position=FLEX</x:v>
      </x:c>
    </x:row>
    <x:row r="77">
      <x:c r="A77" s="70" t="str">
        <x:v>Brian Thomas Jr.</x:v>
      </x:c>
      <x:c r="B77" s="69" t="str">
        <x:v>WR</x:v>
      </x:c>
      <x:c r="C77" s="69" t="str">
        <x:v>JAX</x:v>
      </x:c>
      <x:c r="D77" s="74" t="n">
        <x:v>7</x:v>
      </x:c>
      <x:c r="E77" s="74" t="n">
        <x:v>72</x:v>
      </x:c>
      <x:c r="F77" s="75" t="n">
        <x:v>11.4</x:v>
      </x:c>
      <x:c r="G77" s="76" t="n">
        <x:v>4</x:v>
      </x:c>
      <x:c r="H77" s="76" t="n">
        <x:v>31</x:v>
      </x:c>
      <x:c r="I77" s="76" t="n">
        <x:v>0</x:v>
      </x:c>
      <x:c r="J77" s="76" t="n">
        <x:v>66</x:v>
      </x:c>
      <x:c r="K77" s="76" t="n">
        <x:v>963</x:v>
      </x:c>
      <x:c r="L77" s="76" t="n">
        <x:v>5</x:v>
      </x:c>
      <x:c r="M77" s="76" t="n">
        <x:v>0</x:v>
      </x:c>
      <x:c r="N77" s="73" t="str">
        <x:v>https://www.thefantasyfootballers.com/2026-ultimate-draft-kit/udk-mikes-projections/?position=FLEX</x:v>
      </x:c>
    </x:row>
    <x:row r="78">
      <x:c r="A78" s="70" t="str">
        <x:v>Marvin Harrison Jr.</x:v>
      </x:c>
      <x:c r="B78" s="69" t="str">
        <x:v>WR</x:v>
      </x:c>
      <x:c r="C78" s="69" t="str">
        <x:v>ARI</x:v>
      </x:c>
      <x:c r="D78" s="74" t="n">
        <x:v>14</x:v>
      </x:c>
      <x:c r="E78" s="74" t="n">
        <x:v>73</x:v>
      </x:c>
      <x:c r="F78" s="75" t="n">
        <x:v>11.2</x:v>
      </x:c>
      <x:c r="G78" s="76" t="n">
        <x:v>0</x:v>
      </x:c>
      <x:c r="H78" s="76" t="n">
        <x:v>0</x:v>
      </x:c>
      <x:c r="I78" s="76" t="n">
        <x:v>0</x:v>
      </x:c>
      <x:c r="J78" s="76" t="n">
        <x:v>62</x:v>
      </x:c>
      <x:c r="K78" s="76" t="n">
        <x:v>886</x:v>
      </x:c>
      <x:c r="L78" s="76" t="n">
        <x:v>7</x:v>
      </x:c>
      <x:c r="M78" s="76" t="n">
        <x:v>0</x:v>
      </x:c>
      <x:c r="N78" s="73" t="str">
        <x:v>https://www.thefantasyfootballers.com/2026-ultimate-draft-kit/udk-mikes-projections/?position=FLEX</x:v>
      </x:c>
    </x:row>
    <x:row r="79">
      <x:c r="A79" s="70" t="str">
        <x:v>Tucker Kraft</x:v>
      </x:c>
      <x:c r="B79" s="69" t="str">
        <x:v>TE</x:v>
      </x:c>
      <x:c r="C79" s="69" t="str">
        <x:v>GB</x:v>
      </x:c>
      <x:c r="D79" s="74" t="n">
        <x:v>11</x:v>
      </x:c>
      <x:c r="E79" s="74" t="n">
        <x:v>74</x:v>
      </x:c>
      <x:c r="F79" s="75" t="n">
        <x:v>11.1</x:v>
      </x:c>
      <x:c r="G79" s="76" t="n">
        <x:v>0</x:v>
      </x:c>
      <x:c r="H79" s="76" t="n">
        <x:v>0</x:v>
      </x:c>
      <x:c r="I79" s="76" t="n">
        <x:v>0</x:v>
      </x:c>
      <x:c r="J79" s="76" t="n">
        <x:v>61</x:v>
      </x:c>
      <x:c r="K79" s="76" t="n">
        <x:v>839</x:v>
      </x:c>
      <x:c r="L79" s="76" t="n">
        <x:v>7</x:v>
      </x:c>
      <x:c r="M79" s="76" t="n">
        <x:v>0</x:v>
      </x:c>
      <x:c r="N79" s="73" t="str">
        <x:v>https://www.thefantasyfootballers.com/2026-ultimate-draft-kit/udk-mikes-projections/?position=FLEX</x:v>
      </x:c>
    </x:row>
    <x:row r="80">
      <x:c r="A80" s="70" t="str">
        <x:v>Courtland Sutton</x:v>
      </x:c>
      <x:c r="B80" s="69" t="str">
        <x:v>WR</x:v>
      </x:c>
      <x:c r="C80" s="69" t="str">
        <x:v>DEN</x:v>
      </x:c>
      <x:c r="D80" s="74" t="n">
        <x:v>10</x:v>
      </x:c>
      <x:c r="E80" s="74" t="n">
        <x:v>75</x:v>
      </x:c>
      <x:c r="F80" s="75" t="n">
        <x:v>11.1</x:v>
      </x:c>
      <x:c r="G80" s="76" t="n">
        <x:v>0</x:v>
      </x:c>
      <x:c r="H80" s="76" t="n">
        <x:v>0</x:v>
      </x:c>
      <x:c r="I80" s="76" t="n">
        <x:v>0</x:v>
      </x:c>
      <x:c r="J80" s="76" t="n">
        <x:v>67</x:v>
      </x:c>
      <x:c r="K80" s="76" t="n">
        <x:v>907</x:v>
      </x:c>
      <x:c r="L80" s="76" t="n">
        <x:v>6</x:v>
      </x:c>
      <x:c r="M80" s="76" t="n">
        <x:v>1</x:v>
      </x:c>
      <x:c r="N80" s="73" t="str">
        <x:v>https://www.thefantasyfootballers.com/2026-ultimate-draft-kit/udk-mikes-projections/?position=FLEX</x:v>
      </x:c>
    </x:row>
    <x:row r="81">
      <x:c r="A81" s="70" t="str">
        <x:v>Michael Pittman Jr.</x:v>
      </x:c>
      <x:c r="B81" s="69" t="str">
        <x:v>WR</x:v>
      </x:c>
      <x:c r="C81" s="69" t="str">
        <x:v>PIT</x:v>
      </x:c>
      <x:c r="D81" s="74" t="n">
        <x:v>9</x:v>
      </x:c>
      <x:c r="E81" s="74" t="n">
        <x:v>76</x:v>
      </x:c>
      <x:c r="F81" s="75" t="n">
        <x:v>11</x:v>
      </x:c>
      <x:c r="G81" s="76" t="n">
        <x:v>0</x:v>
      </x:c>
      <x:c r="H81" s="76" t="n">
        <x:v>0</x:v>
      </x:c>
      <x:c r="I81" s="76" t="n">
        <x:v>0</x:v>
      </x:c>
      <x:c r="J81" s="76" t="n">
        <x:v>78</x:v>
      </x:c>
      <x:c r="K81" s="76" t="n">
        <x:v>818</x:v>
      </x:c>
      <x:c r="L81" s="76" t="n">
        <x:v>5</x:v>
      </x:c>
      <x:c r="M81" s="76" t="n">
        <x:v>1</x:v>
      </x:c>
      <x:c r="N81" s="73" t="str">
        <x:v>https://www.thefantasyfootballers.com/2026-ultimate-draft-kit/udk-mikes-projections/?position=FLEX</x:v>
      </x:c>
    </x:row>
    <x:row r="82">
      <x:c r="A82" s="70" t="str">
        <x:v>Jordan Addison</x:v>
      </x:c>
      <x:c r="B82" s="69" t="str">
        <x:v>WR</x:v>
      </x:c>
      <x:c r="C82" s="69" t="str">
        <x:v>MIN</x:v>
      </x:c>
      <x:c r="D82" s="74" t="n">
        <x:v>6</x:v>
      </x:c>
      <x:c r="E82" s="74" t="n">
        <x:v>77</x:v>
      </x:c>
      <x:c r="F82" s="75" t="n">
        <x:v>11</x:v>
      </x:c>
      <x:c r="G82" s="76" t="n">
        <x:v>2</x:v>
      </x:c>
      <x:c r="H82" s="76" t="n">
        <x:v>25</x:v>
      </x:c>
      <x:c r="I82" s="76" t="n">
        <x:v>0</x:v>
      </x:c>
      <x:c r="J82" s="76" t="n">
        <x:v>60</x:v>
      </x:c>
      <x:c r="K82" s="76" t="n">
        <x:v>823</x:v>
      </x:c>
      <x:c r="L82" s="76" t="n">
        <x:v>7</x:v>
      </x:c>
      <x:c r="M82" s="76" t="n">
        <x:v>0</x:v>
      </x:c>
      <x:c r="N82" s="73" t="str">
        <x:v>https://www.thefantasyfootballers.com/2026-ultimate-draft-kit/udk-mikes-projections/?position=FLEX</x:v>
      </x:c>
    </x:row>
    <x:row r="83">
      <x:c r="A83" s="70" t="str">
        <x:v>Sam LaPorta</x:v>
      </x:c>
      <x:c r="B83" s="69" t="str">
        <x:v>TE</x:v>
      </x:c>
      <x:c r="C83" s="69" t="str">
        <x:v>DET</x:v>
      </x:c>
      <x:c r="D83" s="74" t="n">
        <x:v>6</x:v>
      </x:c>
      <x:c r="E83" s="74" t="n">
        <x:v>78</x:v>
      </x:c>
      <x:c r="F83" s="75" t="n">
        <x:v>10.9</x:v>
      </x:c>
      <x:c r="G83" s="76" t="n">
        <x:v>0</x:v>
      </x:c>
      <x:c r="H83" s="76" t="n">
        <x:v>0</x:v>
      </x:c>
      <x:c r="I83" s="76" t="n">
        <x:v>0</x:v>
      </x:c>
      <x:c r="J83" s="76" t="n">
        <x:v>71</x:v>
      </x:c>
      <x:c r="K83" s="76" t="n">
        <x:v>821</x:v>
      </x:c>
      <x:c r="L83" s="76" t="n">
        <x:v>6</x:v>
      </x:c>
      <x:c r="M83" s="76" t="n">
        <x:v>0</x:v>
      </x:c>
      <x:c r="N83" s="73" t="str">
        <x:v>https://www.thefantasyfootballers.com/2026-ultimate-draft-kit/udk-mikes-projections/?position=FLEX</x:v>
      </x:c>
    </x:row>
    <x:row r="84">
      <x:c r="A84" s="70" t="str">
        <x:v>Jacory Croskey-Merritt</x:v>
      </x:c>
      <x:c r="B84" s="69" t="str">
        <x:v>RB</x:v>
      </x:c>
      <x:c r="C84" s="69" t="str">
        <x:v>WAS</x:v>
      </x:c>
      <x:c r="D84" s="74" t="n">
        <x:v>7</x:v>
      </x:c>
      <x:c r="E84" s="74" t="n">
        <x:v>79</x:v>
      </x:c>
      <x:c r="F84" s="75" t="n">
        <x:v>10.7</x:v>
      </x:c>
      <x:c r="G84" s="76" t="n">
        <x:v>239</x:v>
      </x:c>
      <x:c r="H84" s="76" t="n">
        <x:v>1050</x:v>
      </x:c>
      <x:c r="I84" s="76" t="n">
        <x:v>7</x:v>
      </x:c>
      <x:c r="J84" s="76" t="n">
        <x:v>20</x:v>
      </x:c>
      <x:c r="K84" s="76" t="n">
        <x:v>146</x:v>
      </x:c>
      <x:c r="L84" s="76" t="n">
        <x:v>1</x:v>
      </x:c>
      <x:c r="M84" s="76" t="n">
        <x:v>3</x:v>
      </x:c>
      <x:c r="N84" s="73" t="str">
        <x:v>https://www.thefantasyfootballers.com/2026-ultimate-draft-kit/udk-mikes-projections/?position=FLEX</x:v>
      </x:c>
    </x:row>
    <x:row r="85">
      <x:c r="A85" s="70" t="str">
        <x:v>Wan'Dale Robinson</x:v>
      </x:c>
      <x:c r="B85" s="69" t="str">
        <x:v>WR</x:v>
      </x:c>
      <x:c r="C85" s="69" t="str">
        <x:v>TEN</x:v>
      </x:c>
      <x:c r="D85" s="74" t="n">
        <x:v>9</x:v>
      </x:c>
      <x:c r="E85" s="74" t="n">
        <x:v>80</x:v>
      </x:c>
      <x:c r="F85" s="75" t="n">
        <x:v>10.6</x:v>
      </x:c>
      <x:c r="G85" s="76" t="n">
        <x:v>4</x:v>
      </x:c>
      <x:c r="H85" s="76" t="n">
        <x:v>23</x:v>
      </x:c>
      <x:c r="I85" s="76" t="n">
        <x:v>0</x:v>
      </x:c>
      <x:c r="J85" s="76" t="n">
        <x:v>78</x:v>
      </x:c>
      <x:c r="K85" s="76" t="n">
        <x:v>782</x:v>
      </x:c>
      <x:c r="L85" s="76" t="n">
        <x:v>3</x:v>
      </x:c>
      <x:c r="M85" s="76" t="n">
        <x:v>0</x:v>
      </x:c>
      <x:c r="N85" s="73" t="str">
        <x:v>https://www.thefantasyfootballers.com/2026-ultimate-draft-kit/udk-mikes-projections/?position=FLEX</x:v>
      </x:c>
    </x:row>
    <x:row r="86">
      <x:c r="A86" s="70" t="str">
        <x:v>Rhamondre Stevenson</x:v>
      </x:c>
      <x:c r="B86" s="69" t="str">
        <x:v>RB</x:v>
      </x:c>
      <x:c r="C86" s="69" t="str">
        <x:v>NE</x:v>
      </x:c>
      <x:c r="D86" s="74" t="n">
        <x:v>11</x:v>
      </x:c>
      <x:c r="E86" s="74" t="n">
        <x:v>81</x:v>
      </x:c>
      <x:c r="F86" s="75" t="n">
        <x:v>10.6</x:v>
      </x:c>
      <x:c r="G86" s="76" t="n">
        <x:v>194</x:v>
      </x:c>
      <x:c r="H86" s="76" t="n">
        <x:v>852</x:v>
      </x:c>
      <x:c r="I86" s="76" t="n">
        <x:v>6</x:v>
      </x:c>
      <x:c r="J86" s="76" t="n">
        <x:v>33</x:v>
      </x:c>
      <x:c r="K86" s="76" t="n">
        <x:v>241</x:v>
      </x:c>
      <x:c r="L86" s="76" t="n">
        <x:v>1</x:v>
      </x:c>
      <x:c r="M86" s="76" t="n">
        <x:v>4</x:v>
      </x:c>
      <x:c r="N86" s="73" t="str">
        <x:v>https://www.thefantasyfootballers.com/2026-ultimate-draft-kit/udk-mikes-projections/?position=FLEX</x:v>
      </x:c>
    </x:row>
    <x:row r="87">
      <x:c r="A87" s="70" t="str">
        <x:v>Jadarian Price</x:v>
      </x:c>
      <x:c r="B87" s="69" t="str">
        <x:v>RB</x:v>
      </x:c>
      <x:c r="C87" s="69" t="str">
        <x:v>SEA</x:v>
      </x:c>
      <x:c r="D87" s="74" t="n">
        <x:v>11</x:v>
      </x:c>
      <x:c r="E87" s="74" t="n">
        <x:v>82</x:v>
      </x:c>
      <x:c r="F87" s="75" t="n">
        <x:v>10.4</x:v>
      </x:c>
      <x:c r="G87" s="76" t="n">
        <x:v>185</x:v>
      </x:c>
      <x:c r="H87" s="76" t="n">
        <x:v>795</x:v>
      </x:c>
      <x:c r="I87" s="76" t="n">
        <x:v>6</x:v>
      </x:c>
      <x:c r="J87" s="76" t="n">
        <x:v>34</x:v>
      </x:c>
      <x:c r="K87" s="76" t="n">
        <x:v>238</x:v>
      </x:c>
      <x:c r="L87" s="76" t="n">
        <x:v>1</x:v>
      </x:c>
      <x:c r="M87" s="76" t="n">
        <x:v>0</x:v>
      </x:c>
      <x:c r="N87" s="73" t="str">
        <x:v>https://www.thefantasyfootballers.com/2026-ultimate-draft-kit/udk-mikes-projections/?position=FLEX</x:v>
      </x:c>
    </x:row>
    <x:row r="88">
      <x:c r="A88" s="70" t="str">
        <x:v>Kenny Gainwell</x:v>
      </x:c>
      <x:c r="B88" s="69" t="str">
        <x:v>RB</x:v>
      </x:c>
      <x:c r="C88" s="69" t="str">
        <x:v>TB</x:v>
      </x:c>
      <x:c r="D88" s="74" t="n">
        <x:v>10</x:v>
      </x:c>
      <x:c r="E88" s="74" t="n">
        <x:v>83</x:v>
      </x:c>
      <x:c r="F88" s="75" t="n">
        <x:v>10.4</x:v>
      </x:c>
      <x:c r="G88" s="76" t="n">
        <x:v>184</x:v>
      </x:c>
      <x:c r="H88" s="76" t="n">
        <x:v>736</x:v>
      </x:c>
      <x:c r="I88" s="76" t="n">
        <x:v>5</x:v>
      </x:c>
      <x:c r="J88" s="76" t="n">
        <x:v>36</x:v>
      </x:c>
      <x:c r="K88" s="76" t="n">
        <x:v>287</x:v>
      </x:c>
      <x:c r="L88" s="76" t="n">
        <x:v>1</x:v>
      </x:c>
      <x:c r="M88" s="76" t="n">
        <x:v>0</x:v>
      </x:c>
      <x:c r="N88" s="73" t="str">
        <x:v>https://www.thefantasyfootballers.com/2026-ultimate-draft-kit/udk-mikes-projections/?position=FLEX</x:v>
      </x:c>
    </x:row>
    <x:row r="89">
      <x:c r="A89" s="70" t="str">
        <x:v>Malik Washington</x:v>
      </x:c>
      <x:c r="B89" s="69" t="str">
        <x:v>WR</x:v>
      </x:c>
      <x:c r="C89" s="69" t="str">
        <x:v>MIA</x:v>
      </x:c>
      <x:c r="D89" s="74" t="n">
        <x:v>6</x:v>
      </x:c>
      <x:c r="E89" s="74" t="n">
        <x:v>84</x:v>
      </x:c>
      <x:c r="F89" s="75" t="n">
        <x:v>10.4</x:v>
      </x:c>
      <x:c r="G89" s="76" t="n">
        <x:v>12</x:v>
      </x:c>
      <x:c r="H89" s="76" t="n">
        <x:v>78</x:v>
      </x:c>
      <x:c r="I89" s="76" t="n">
        <x:v>1</x:v>
      </x:c>
      <x:c r="J89" s="76" t="n">
        <x:v>78</x:v>
      </x:c>
      <x:c r="K89" s="76" t="n">
        <x:v>662</x:v>
      </x:c>
      <x:c r="L89" s="76" t="n">
        <x:v>4</x:v>
      </x:c>
      <x:c r="M89" s="76" t="n">
        <x:v>1</x:v>
      </x:c>
      <x:c r="N89" s="73" t="str">
        <x:v>https://www.thefantasyfootballers.com/2026-ultimate-draft-kit/udk-mikes-projections/?position=FLEX</x:v>
      </x:c>
    </x:row>
    <x:row r="90">
      <x:c r="A90" s="70" t="str">
        <x:v>Tre Tucker</x:v>
      </x:c>
      <x:c r="B90" s="69" t="str">
        <x:v>WR</x:v>
      </x:c>
      <x:c r="C90" s="69" t="str">
        <x:v>LV</x:v>
      </x:c>
      <x:c r="D90" s="74" t="n">
        <x:v>13</x:v>
      </x:c>
      <x:c r="E90" s="74" t="n">
        <x:v>85</x:v>
      </x:c>
      <x:c r="F90" s="75" t="n">
        <x:v>10.3</x:v>
      </x:c>
      <x:c r="G90" s="76" t="n">
        <x:v>10</x:v>
      </x:c>
      <x:c r="H90" s="76" t="n">
        <x:v>54</x:v>
      </x:c>
      <x:c r="I90" s="76" t="n">
        <x:v>0</x:v>
      </x:c>
      <x:c r="J90" s="76" t="n">
        <x:v>62</x:v>
      </x:c>
      <x:c r="K90" s="76" t="n">
        <x:v>771</x:v>
      </x:c>
      <x:c r="L90" s="76" t="n">
        <x:v>5</x:v>
      </x:c>
      <x:c r="M90" s="76" t="n">
        <x:v>0</x:v>
      </x:c>
      <x:c r="N90" s="73" t="str">
        <x:v>https://www.thefantasyfootballers.com/2026-ultimate-draft-kit/udk-mikes-projections/?position=FLEX</x:v>
      </x:c>
    </x:row>
    <x:row r="91">
      <x:c r="A91" s="70" t="str">
        <x:v>Keenan Allen</x:v>
      </x:c>
      <x:c r="B91" s="69" t="str">
        <x:v>WR</x:v>
      </x:c>
      <x:c r="C91" s="69" t="str">
        <x:v>IND</x:v>
      </x:c>
      <x:c r="D91" s="74" t="n">
        <x:v>13</x:v>
      </x:c>
      <x:c r="E91" s="74" t="n">
        <x:v>86</x:v>
      </x:c>
      <x:c r="F91" s="75" t="n">
        <x:v>10.2</x:v>
      </x:c>
      <x:c r="G91" s="76" t="n">
        <x:v>0</x:v>
      </x:c>
      <x:c r="H91" s="76" t="n">
        <x:v>0</x:v>
      </x:c>
      <x:c r="I91" s="76" t="n">
        <x:v>0</x:v>
      </x:c>
      <x:c r="J91" s="76" t="n">
        <x:v>75</x:v>
      </x:c>
      <x:c r="K91" s="76" t="n">
        <x:v>727</x:v>
      </x:c>
      <x:c r="L91" s="76" t="n">
        <x:v>4</x:v>
      </x:c>
      <x:c r="M91" s="76" t="n">
        <x:v>0</x:v>
      </x:c>
      <x:c r="N91" s="73" t="str">
        <x:v>https://www.thefantasyfootballers.com/2026-ultimate-draft-kit/udk-mikes-projections/?position=FLEX</x:v>
      </x:c>
    </x:row>
    <x:row r="92">
      <x:c r="A92" s="70" t="str">
        <x:v>Tank Dell</x:v>
      </x:c>
      <x:c r="B92" s="69" t="str">
        <x:v>WR</x:v>
      </x:c>
      <x:c r="C92" s="69" t="str">
        <x:v>HOU</x:v>
      </x:c>
      <x:c r="D92" s="74" t="n">
        <x:v>8</x:v>
      </x:c>
      <x:c r="E92" s="74" t="n">
        <x:v>87</x:v>
      </x:c>
      <x:c r="F92" s="75" t="n">
        <x:v>10.2</x:v>
      </x:c>
      <x:c r="G92" s="76" t="n">
        <x:v>10</x:v>
      </x:c>
      <x:c r="H92" s="76" t="n">
        <x:v>46</x:v>
      </x:c>
      <x:c r="I92" s="76" t="n">
        <x:v>0</x:v>
      </x:c>
      <x:c r="J92" s="76" t="n">
        <x:v>57</x:v>
      </x:c>
      <x:c r="K92" s="76" t="n">
        <x:v>782</x:v>
      </x:c>
      <x:c r="L92" s="76" t="n">
        <x:v>5</x:v>
      </x:c>
      <x:c r="M92" s="76" t="n">
        <x:v>0</x:v>
      </x:c>
      <x:c r="N92" s="73" t="str">
        <x:v>https://www.thefantasyfootballers.com/2026-ultimate-draft-kit/udk-mikes-projections/?position=FLEX</x:v>
      </x:c>
    </x:row>
    <x:row r="93">
      <x:c r="A93" s="70" t="str">
        <x:v>Jayden Reed</x:v>
      </x:c>
      <x:c r="B93" s="69" t="str">
        <x:v>WR</x:v>
      </x:c>
      <x:c r="C93" s="69" t="str">
        <x:v>GB</x:v>
      </x:c>
      <x:c r="D93" s="74" t="n">
        <x:v>11</x:v>
      </x:c>
      <x:c r="E93" s="74" t="n">
        <x:v>88</x:v>
      </x:c>
      <x:c r="F93" s="75" t="n">
        <x:v>10.2</x:v>
      </x:c>
      <x:c r="G93" s="76" t="n">
        <x:v>10</x:v>
      </x:c>
      <x:c r="H93" s="76" t="n">
        <x:v>87</x:v>
      </x:c>
      <x:c r="I93" s="76" t="n">
        <x:v>1</x:v>
      </x:c>
      <x:c r="J93" s="76" t="n">
        <x:v>55</x:v>
      </x:c>
      <x:c r="K93" s="76" t="n">
        <x:v>726</x:v>
      </x:c>
      <x:c r="L93" s="76" t="n">
        <x:v>5</x:v>
      </x:c>
      <x:c r="M93" s="76" t="n">
        <x:v>0</x:v>
      </x:c>
      <x:c r="N93" s="73" t="str">
        <x:v>https://www.thefantasyfootballers.com/2026-ultimate-draft-kit/udk-mikes-projections/?position=FLEX</x:v>
      </x:c>
    </x:row>
    <x:row r="94">
      <x:c r="A94" s="70" t="str">
        <x:v>Jonathon Brooks</x:v>
      </x:c>
      <x:c r="B94" s="69" t="str">
        <x:v>RB</x:v>
      </x:c>
      <x:c r="C94" s="69" t="str">
        <x:v>CAR</x:v>
      </x:c>
      <x:c r="D94" s="74" t="n">
        <x:v>5</x:v>
      </x:c>
      <x:c r="E94" s="74" t="n">
        <x:v>89</x:v>
      </x:c>
      <x:c r="F94" s="75" t="n">
        <x:v>10.1</x:v>
      </x:c>
      <x:c r="G94" s="76" t="n">
        <x:v>213</x:v>
      </x:c>
      <x:c r="H94" s="76" t="n">
        <x:v>851</x:v>
      </x:c>
      <x:c r="I94" s="76" t="n">
        <x:v>6</x:v>
      </x:c>
      <x:c r="J94" s="76" t="n">
        <x:v>27</x:v>
      </x:c>
      <x:c r="K94" s="76" t="n">
        <x:v>191</x:v>
      </x:c>
      <x:c r="L94" s="76" t="n">
        <x:v>1</x:v>
      </x:c>
      <x:c r="M94" s="76" t="n">
        <x:v>0</x:v>
      </x:c>
      <x:c r="N94" s="73" t="str">
        <x:v>https://www.thefantasyfootballers.com/2026-ultimate-draft-kit/udk-mikes-projections/?position=FLEX</x:v>
      </x:c>
    </x:row>
    <x:row r="95">
      <x:c r="A95" s="70" t="str">
        <x:v>Jaylen Warren</x:v>
      </x:c>
      <x:c r="B95" s="69" t="str">
        <x:v>RB</x:v>
      </x:c>
      <x:c r="C95" s="69" t="str">
        <x:v>PIT</x:v>
      </x:c>
      <x:c r="D95" s="74" t="n">
        <x:v>9</x:v>
      </x:c>
      <x:c r="E95" s="74" t="n">
        <x:v>90</x:v>
      </x:c>
      <x:c r="F95" s="75" t="n">
        <x:v>10.1</x:v>
      </x:c>
      <x:c r="G95" s="76" t="n">
        <x:v>134</x:v>
      </x:c>
      <x:c r="H95" s="76" t="n">
        <x:v>618</x:v>
      </x:c>
      <x:c r="I95" s="76" t="n">
        <x:v>3</x:v>
      </x:c>
      <x:c r="J95" s="76" t="n">
        <x:v>50</x:v>
      </x:c>
      <x:c r="K95" s="76" t="n">
        <x:v>369</x:v>
      </x:c>
      <x:c r="L95" s="76" t="n">
        <x:v>1</x:v>
      </x:c>
      <x:c r="M95" s="76" t="n">
        <x:v>2</x:v>
      </x:c>
      <x:c r="N95" s="73" t="str">
        <x:v>https://www.thefantasyfootballers.com/2026-ultimate-draft-kit/udk-mikes-projections/?position=FLEX</x:v>
      </x:c>
    </x:row>
    <x:row r="96">
      <x:c r="A96" s="70" t="str">
        <x:v>Tony Pollard</x:v>
      </x:c>
      <x:c r="B96" s="69" t="str">
        <x:v>RB</x:v>
      </x:c>
      <x:c r="C96" s="69" t="str">
        <x:v>TEN</x:v>
      </x:c>
      <x:c r="D96" s="74" t="n">
        <x:v>9</x:v>
      </x:c>
      <x:c r="E96" s="74" t="n">
        <x:v>91</x:v>
      </x:c>
      <x:c r="F96" s="75" t="n">
        <x:v>10.1</x:v>
      </x:c>
      <x:c r="G96" s="76" t="n">
        <x:v>213</x:v>
      </x:c>
      <x:c r="H96" s="76" t="n">
        <x:v>918</x:v>
      </x:c>
      <x:c r="I96" s="76" t="n">
        <x:v>5</x:v>
      </x:c>
      <x:c r="J96" s="76" t="n">
        <x:v>29</x:v>
      </x:c>
      <x:c r="K96" s="76" t="n">
        <x:v>199</x:v>
      </x:c>
      <x:c r="L96" s="76" t="n">
        <x:v>1</x:v>
      </x:c>
      <x:c r="M96" s="76" t="n">
        <x:v>3</x:v>
      </x:c>
      <x:c r="N96" s="73" t="str">
        <x:v>https://www.thefantasyfootballers.com/2026-ultimate-draft-kit/udk-mikes-projections/?position=FLEX</x:v>
      </x:c>
    </x:row>
    <x:row r="97">
      <x:c r="A97" s="70" t="str">
        <x:v>Kayshon Boutte</x:v>
      </x:c>
      <x:c r="B97" s="69" t="str">
        <x:v>WR</x:v>
      </x:c>
      <x:c r="C97" s="69" t="str">
        <x:v>HOU</x:v>
      </x:c>
      <x:c r="D97" s="74" t="n">
        <x:v>8</x:v>
      </x:c>
      <x:c r="E97" s="74" t="n">
        <x:v>92</x:v>
      </x:c>
      <x:c r="F97" s="75" t="n">
        <x:v>9.9</x:v>
      </x:c>
      <x:c r="G97" s="76" t="n">
        <x:v>0</x:v>
      </x:c>
      <x:c r="H97" s="76" t="n">
        <x:v>0</x:v>
      </x:c>
      <x:c r="I97" s="76" t="n">
        <x:v>0</x:v>
      </x:c>
      <x:c r="J97" s="76" t="n">
        <x:v>58</x:v>
      </x:c>
      <x:c r="K97" s="76" t="n">
        <x:v>810</x:v>
      </x:c>
      <x:c r="L97" s="76" t="n">
        <x:v>5</x:v>
      </x:c>
      <x:c r="M97" s="76" t="n">
        <x:v>0</x:v>
      </x:c>
      <x:c r="N97" s="73" t="str">
        <x:v>https://www.thefantasyfootballers.com/2026-ultimate-draft-kit/udk-mikes-projections/?position=FLEX</x:v>
      </x:c>
    </x:row>
    <x:row r="98">
      <x:c r="A98" s="70" t="str">
        <x:v>Travis Kelce</x:v>
      </x:c>
      <x:c r="B98" s="69" t="str">
        <x:v>TE</x:v>
      </x:c>
      <x:c r="C98" s="69" t="str">
        <x:v>KC</x:v>
      </x:c>
      <x:c r="D98" s="74" t="n">
        <x:v>5</x:v>
      </x:c>
      <x:c r="E98" s="74" t="n">
        <x:v>93</x:v>
      </x:c>
      <x:c r="F98" s="75" t="n">
        <x:v>9.9</x:v>
      </x:c>
      <x:c r="G98" s="76" t="n">
        <x:v>0</x:v>
      </x:c>
      <x:c r="H98" s="76" t="n">
        <x:v>0</x:v>
      </x:c>
      <x:c r="I98" s="76" t="n">
        <x:v>0</x:v>
      </x:c>
      <x:c r="J98" s="76" t="n">
        <x:v>68</x:v>
      </x:c>
      <x:c r="K98" s="76" t="n">
        <x:v>741</x:v>
      </x:c>
      <x:c r="L98" s="76" t="n">
        <x:v>5</x:v>
      </x:c>
      <x:c r="M98" s="76" t="n">
        <x:v>1</x:v>
      </x:c>
      <x:c r="N98" s="73" t="str">
        <x:v>https://www.thefantasyfootballers.com/2026-ultimate-draft-kit/udk-mikes-projections/?position=FLEX</x:v>
      </x:c>
    </x:row>
    <x:row r="99">
      <x:c r="A99" s="70" t="str">
        <x:v>Romeo Doubs</x:v>
      </x:c>
      <x:c r="B99" s="69" t="str">
        <x:v>WR</x:v>
      </x:c>
      <x:c r="C99" s="69" t="str">
        <x:v>NE</x:v>
      </x:c>
      <x:c r="D99" s="74" t="n">
        <x:v>11</x:v>
      </x:c>
      <x:c r="E99" s="74" t="n">
        <x:v>94</x:v>
      </x:c>
      <x:c r="F99" s="75" t="n">
        <x:v>9.8</x:v>
      </x:c>
      <x:c r="G99" s="76" t="n">
        <x:v>0</x:v>
      </x:c>
      <x:c r="H99" s="76" t="n">
        <x:v>0</x:v>
      </x:c>
      <x:c r="I99" s="76" t="n">
        <x:v>0</x:v>
      </x:c>
      <x:c r="J99" s="76" t="n">
        <x:v>60</x:v>
      </x:c>
      <x:c r="K99" s="76" t="n">
        <x:v>743</x:v>
      </x:c>
      <x:c r="L99" s="76" t="n">
        <x:v>6</x:v>
      </x:c>
      <x:c r="M99" s="76" t="n">
        <x:v>1</x:v>
      </x:c>
      <x:c r="N99" s="73" t="str">
        <x:v>https://www.thefantasyfootballers.com/2026-ultimate-draft-kit/udk-mikes-projections/?position=FLEX</x:v>
      </x:c>
    </x:row>
    <x:row r="100">
      <x:c r="A100" s="70" t="str">
        <x:v>Chuba Hubbard</x:v>
      </x:c>
      <x:c r="B100" s="69" t="str">
        <x:v>RB</x:v>
      </x:c>
      <x:c r="C100" s="69" t="str">
        <x:v>CAR</x:v>
      </x:c>
      <x:c r="D100" s="74" t="n">
        <x:v>5</x:v>
      </x:c>
      <x:c r="E100" s="74" t="n">
        <x:v>95</x:v>
      </x:c>
      <x:c r="F100" s="75" t="n">
        <x:v>9.8</x:v>
      </x:c>
      <x:c r="G100" s="76" t="n">
        <x:v>213</x:v>
      </x:c>
      <x:c r="H100" s="76" t="n">
        <x:v>893</x:v>
      </x:c>
      <x:c r="I100" s="76" t="n">
        <x:v>5</x:v>
      </x:c>
      <x:c r="J100" s="76" t="n">
        <x:v>28</x:v>
      </x:c>
      <x:c r="K100" s="76" t="n">
        <x:v>175</x:v>
      </x:c>
      <x:c r="L100" s="76" t="n">
        <x:v>1</x:v>
      </x:c>
      <x:c r="M100" s="76" t="n">
        <x:v>2</x:v>
      </x:c>
      <x:c r="N100" s="73" t="str">
        <x:v>https://www.thefantasyfootballers.com/2026-ultimate-draft-kit/udk-mikes-projections/?position=FLEX</x:v>
      </x:c>
    </x:row>
    <x:row r="101">
      <x:c r="A101" s="70" t="str">
        <x:v>Josh Downs</x:v>
      </x:c>
      <x:c r="B101" s="69" t="str">
        <x:v>WR</x:v>
      </x:c>
      <x:c r="C101" s="69" t="str">
        <x:v>IND</x:v>
      </x:c>
      <x:c r="D101" s="74" t="n">
        <x:v>13</x:v>
      </x:c>
      <x:c r="E101" s="74" t="n">
        <x:v>96</x:v>
      </x:c>
      <x:c r="F101" s="75" t="n">
        <x:v>9.6</x:v>
      </x:c>
      <x:c r="G101" s="76" t="n">
        <x:v>0</x:v>
      </x:c>
      <x:c r="H101" s="76" t="n">
        <x:v>0</x:v>
      </x:c>
      <x:c r="I101" s="76" t="n">
        <x:v>0</x:v>
      </x:c>
      <x:c r="J101" s="76" t="n">
        <x:v>69</x:v>
      </x:c>
      <x:c r="K101" s="76" t="n">
        <x:v>693</x:v>
      </x:c>
      <x:c r="L101" s="76" t="n">
        <x:v>4</x:v>
      </x:c>
      <x:c r="M101" s="76" t="n">
        <x:v>0</x:v>
      </x:c>
      <x:c r="N101" s="73" t="str">
        <x:v>https://www.thefantasyfootballers.com/2026-ultimate-draft-kit/udk-mikes-projections/?position=FLEX</x:v>
      </x:c>
    </x:row>
    <x:row r="102">
      <x:c r="A102" s="70" t="str">
        <x:v>Jakobi Meyers</x:v>
      </x:c>
      <x:c r="B102" s="69" t="str">
        <x:v>WR</x:v>
      </x:c>
      <x:c r="C102" s="69" t="str">
        <x:v>JAX</x:v>
      </x:c>
      <x:c r="D102" s="74" t="n">
        <x:v>7</x:v>
      </x:c>
      <x:c r="E102" s="74" t="n">
        <x:v>97</x:v>
      </x:c>
      <x:c r="F102" s="75" t="n">
        <x:v>9.5</x:v>
      </x:c>
      <x:c r="G102" s="76" t="n">
        <x:v>3</x:v>
      </x:c>
      <x:c r="H102" s="76" t="n">
        <x:v>12</x:v>
      </x:c>
      <x:c r="I102" s="76" t="n">
        <x:v>0</x:v>
      </x:c>
      <x:c r="J102" s="76" t="n">
        <x:v>65</x:v>
      </x:c>
      <x:c r="K102" s="76" t="n">
        <x:v>748</x:v>
      </x:c>
      <x:c r="L102" s="76" t="n">
        <x:v>3</x:v>
      </x:c>
      <x:c r="M102" s="76" t="n">
        <x:v>0</x:v>
      </x:c>
      <x:c r="N102" s="73" t="str">
        <x:v>https://www.thefantasyfootballers.com/2026-ultimate-draft-kit/udk-mikes-projections/?position=FLEX</x:v>
      </x:c>
    </x:row>
    <x:row r="103">
      <x:c r="A103" s="70" t="str">
        <x:v>Kyle Monangai</x:v>
      </x:c>
      <x:c r="B103" s="69" t="str">
        <x:v>RB</x:v>
      </x:c>
      <x:c r="C103" s="69" t="str">
        <x:v>CHI</x:v>
      </x:c>
      <x:c r="D103" s="74" t="n">
        <x:v>10</x:v>
      </x:c>
      <x:c r="E103" s="74" t="n">
        <x:v>98</x:v>
      </x:c>
      <x:c r="F103" s="75" t="n">
        <x:v>9.4</x:v>
      </x:c>
      <x:c r="G103" s="76" t="n">
        <x:v>178</x:v>
      </x:c>
      <x:c r="H103" s="76" t="n">
        <x:v>819</x:v>
      </x:c>
      <x:c r="I103" s="76" t="n">
        <x:v>6</x:v>
      </x:c>
      <x:c r="J103" s="76" t="n">
        <x:v>21</x:v>
      </x:c>
      <x:c r="K103" s="76" t="n">
        <x:v>186</x:v>
      </x:c>
      <x:c r="L103" s="76" t="n">
        <x:v>1</x:v>
      </x:c>
      <x:c r="M103" s="76" t="n">
        <x:v>0</x:v>
      </x:c>
      <x:c r="N103" s="73" t="str">
        <x:v>https://www.thefantasyfootballers.com/2026-ultimate-draft-kit/udk-mikes-projections/?position=FLEX</x:v>
      </x:c>
    </x:row>
    <x:row r="104">
      <x:c r="A104" s="70" t="str">
        <x:v>Xavier Worthy</x:v>
      </x:c>
      <x:c r="B104" s="69" t="str">
        <x:v>WR</x:v>
      </x:c>
      <x:c r="C104" s="69" t="str">
        <x:v>KC</x:v>
      </x:c>
      <x:c r="D104" s="74" t="n">
        <x:v>5</x:v>
      </x:c>
      <x:c r="E104" s="74" t="n">
        <x:v>99</x:v>
      </x:c>
      <x:c r="F104" s="75" t="n">
        <x:v>9.4</x:v>
      </x:c>
      <x:c r="G104" s="76" t="n">
        <x:v>14</x:v>
      </x:c>
      <x:c r="H104" s="76" t="n">
        <x:v>93</x:v>
      </x:c>
      <x:c r="I104" s="76" t="n">
        <x:v>1</x:v>
      </x:c>
      <x:c r="J104" s="76" t="n">
        <x:v>54</x:v>
      </x:c>
      <x:c r="K104" s="76" t="n">
        <x:v>669</x:v>
      </x:c>
      <x:c r="L104" s="76" t="n">
        <x:v>4</x:v>
      </x:c>
      <x:c r="M104" s="76" t="n">
        <x:v>0</x:v>
      </x:c>
      <x:c r="N104" s="73" t="str">
        <x:v>https://www.thefantasyfootballers.com/2026-ultimate-draft-kit/udk-mikes-projections/?position=FLEX</x:v>
      </x:c>
    </x:row>
    <x:row r="105">
      <x:c r="A105" s="70" t="str">
        <x:v>Juwan Johnson</x:v>
      </x:c>
      <x:c r="B105" s="69" t="str">
        <x:v>TE</x:v>
      </x:c>
      <x:c r="C105" s="69" t="str">
        <x:v>NO</x:v>
      </x:c>
      <x:c r="D105" s="74" t="n">
        <x:v>8</x:v>
      </x:c>
      <x:c r="E105" s="74" t="n">
        <x:v>100</x:v>
      </x:c>
      <x:c r="F105" s="75" t="n">
        <x:v>9.4</x:v>
      </x:c>
      <x:c r="G105" s="76" t="n">
        <x:v>0</x:v>
      </x:c>
      <x:c r="H105" s="76" t="n">
        <x:v>0</x:v>
      </x:c>
      <x:c r="I105" s="76" t="n">
        <x:v>0</x:v>
      </x:c>
      <x:c r="J105" s="76" t="n">
        <x:v>61</x:v>
      </x:c>
      <x:c r="K105" s="76" t="n">
        <x:v>679</x:v>
      </x:c>
      <x:c r="L105" s="76" t="n">
        <x:v>5</x:v>
      </x:c>
      <x:c r="M105" s="76" t="n">
        <x:v>1</x:v>
      </x:c>
      <x:c r="N105" s="73" t="str">
        <x:v>https://www.thefantasyfootballers.com/2026-ultimate-draft-kit/udk-mikes-projections/?position=FLEX</x:v>
      </x:c>
    </x:row>
    <x:row r="106">
      <x:c r="A106" s="70" t="str">
        <x:v>Dalton Schultz</x:v>
      </x:c>
      <x:c r="B106" s="69" t="str">
        <x:v>TE</x:v>
      </x:c>
      <x:c r="C106" s="69" t="str">
        <x:v>HOU</x:v>
      </x:c>
      <x:c r="D106" s="74" t="n">
        <x:v>8</x:v>
      </x:c>
      <x:c r="E106" s="74" t="n">
        <x:v>101</x:v>
      </x:c>
      <x:c r="F106" s="75" t="n">
        <x:v>9.4</x:v>
      </x:c>
      <x:c r="G106" s="76" t="n">
        <x:v>0</x:v>
      </x:c>
      <x:c r="H106" s="76" t="n">
        <x:v>0</x:v>
      </x:c>
      <x:c r="I106" s="76" t="n">
        <x:v>0</x:v>
      </x:c>
      <x:c r="J106" s="76" t="n">
        <x:v>68</x:v>
      </x:c>
      <x:c r="K106" s="76" t="n">
        <x:v>669</x:v>
      </x:c>
      <x:c r="L106" s="76" t="n">
        <x:v>4</x:v>
      </x:c>
      <x:c r="M106" s="76" t="n">
        <x:v>1</x:v>
      </x:c>
      <x:c r="N106" s="73" t="str">
        <x:v>https://www.thefantasyfootballers.com/2026-ultimate-draft-kit/udk-mikes-projections/?position=FLEX</x:v>
      </x:c>
    </x:row>
    <x:row r="107">
      <x:c r="A107" s="70" t="str">
        <x:v>Jalen Coker</x:v>
      </x:c>
      <x:c r="B107" s="69" t="str">
        <x:v>WR</x:v>
      </x:c>
      <x:c r="C107" s="69" t="str">
        <x:v>CAR</x:v>
      </x:c>
      <x:c r="D107" s="74" t="n">
        <x:v>5</x:v>
      </x:c>
      <x:c r="E107" s="74" t="n">
        <x:v>102</x:v>
      </x:c>
      <x:c r="F107" s="75" t="n">
        <x:v>9.3</x:v>
      </x:c>
      <x:c r="G107" s="76" t="n">
        <x:v>0</x:v>
      </x:c>
      <x:c r="H107" s="76" t="n">
        <x:v>0</x:v>
      </x:c>
      <x:c r="I107" s="76" t="n">
        <x:v>0</x:v>
      </x:c>
      <x:c r="J107" s="76" t="n">
        <x:v>58</x:v>
      </x:c>
      <x:c r="K107" s="76" t="n">
        <x:v>754</x:v>
      </x:c>
      <x:c r="L107" s="76" t="n">
        <x:v>4</x:v>
      </x:c>
      <x:c r="M107" s="76" t="n">
        <x:v>1</x:v>
      </x:c>
      <x:c r="N107" s="73" t="str">
        <x:v>https://www.thefantasyfootballers.com/2026-ultimate-draft-kit/udk-mikes-projections/?position=FLEX</x:v>
      </x:c>
    </x:row>
    <x:row r="108">
      <x:c r="A108" s="70" t="str">
        <x:v>Khalil Shakir</x:v>
      </x:c>
      <x:c r="B108" s="69" t="str">
        <x:v>WR</x:v>
      </x:c>
      <x:c r="C108" s="69" t="str">
        <x:v>BUF</x:v>
      </x:c>
      <x:c r="D108" s="74" t="n">
        <x:v>7</x:v>
      </x:c>
      <x:c r="E108" s="74" t="n">
        <x:v>103</x:v>
      </x:c>
      <x:c r="F108" s="75" t="n">
        <x:v>9.3</x:v>
      </x:c>
      <x:c r="G108" s="76" t="n">
        <x:v>0</x:v>
      </x:c>
      <x:c r="H108" s="76" t="n">
        <x:v>0</x:v>
      </x:c>
      <x:c r="I108" s="76" t="n">
        <x:v>0</x:v>
      </x:c>
      <x:c r="J108" s="76" t="n">
        <x:v>65</x:v>
      </x:c>
      <x:c r="K108" s="76" t="n">
        <x:v>725</x:v>
      </x:c>
      <x:c r="L108" s="76" t="n">
        <x:v>4</x:v>
      </x:c>
      <x:c r="M108" s="76" t="n">
        <x:v>1</x:v>
      </x:c>
      <x:c r="N108" s="73" t="str">
        <x:v>https://www.thefantasyfootballers.com/2026-ultimate-draft-kit/udk-mikes-projections/?position=FLEX</x:v>
      </x:c>
    </x:row>
    <x:row r="109">
      <x:c r="A109" s="70" t="str">
        <x:v>Rachaad White</x:v>
      </x:c>
      <x:c r="B109" s="69" t="str">
        <x:v>RB</x:v>
      </x:c>
      <x:c r="C109" s="69" t="str">
        <x:v>WAS</x:v>
      </x:c>
      <x:c r="D109" s="74" t="n">
        <x:v>7</x:v>
      </x:c>
      <x:c r="E109" s="74" t="n">
        <x:v>104</x:v>
      </x:c>
      <x:c r="F109" s="75" t="n">
        <x:v>9.3</x:v>
      </x:c>
      <x:c r="G109" s="76" t="n">
        <x:v>93</x:v>
      </x:c>
      <x:c r="H109" s="76" t="n">
        <x:v>379</x:v>
      </x:c>
      <x:c r="I109" s="76" t="n">
        <x:v>2</x:v>
      </x:c>
      <x:c r="J109" s="76" t="n">
        <x:v>56</x:v>
      </x:c>
      <x:c r="K109" s="76" t="n">
        <x:v>395</x:v>
      </x:c>
      <x:c r="L109" s="76" t="n">
        <x:v>3</x:v>
      </x:c>
      <x:c r="M109" s="76" t="n">
        <x:v>2</x:v>
      </x:c>
      <x:c r="N109" s="73" t="str">
        <x:v>https://www.thefantasyfootballers.com/2026-ultimate-draft-kit/udk-mikes-projections/?position=FLEX</x:v>
      </x:c>
    </x:row>
    <x:row r="110">
      <x:c r="A110" s="70" t="str">
        <x:v>Jordan Mason</x:v>
      </x:c>
      <x:c r="B110" s="69" t="str">
        <x:v>RB</x:v>
      </x:c>
      <x:c r="C110" s="69" t="str">
        <x:v>MIN</x:v>
      </x:c>
      <x:c r="D110" s="74" t="n">
        <x:v>6</x:v>
      </x:c>
      <x:c r="E110" s="74" t="n">
        <x:v>105</x:v>
      </x:c>
      <x:c r="F110" s="75" t="n">
        <x:v>9.2</x:v>
      </x:c>
      <x:c r="G110" s="76" t="n">
        <x:v>208</x:v>
      </x:c>
      <x:c r="H110" s="76" t="n">
        <x:v>979</x:v>
      </x:c>
      <x:c r="I110" s="76" t="n">
        <x:v>7</x:v>
      </x:c>
      <x:c r="J110" s="76" t="n">
        <x:v>13</x:v>
      </x:c>
      <x:c r="K110" s="76" t="n">
        <x:v>84</x:v>
      </x:c>
      <x:c r="L110" s="76" t="n">
        <x:v>0</x:v>
      </x:c>
      <x:c r="M110" s="76" t="n">
        <x:v>2</x:v>
      </x:c>
      <x:c r="N110" s="73" t="str">
        <x:v>https://www.thefantasyfootballers.com/2026-ultimate-draft-kit/udk-mikes-projections/?position=FLEX</x:v>
      </x:c>
    </x:row>
    <x:row r="111">
      <x:c r="A111" s="70" t="str">
        <x:v>Rashid Shaheed</x:v>
      </x:c>
      <x:c r="B111" s="69" t="str">
        <x:v>WR</x:v>
      </x:c>
      <x:c r="C111" s="69" t="str">
        <x:v>SEA</x:v>
      </x:c>
      <x:c r="D111" s="74" t="n">
        <x:v>11</x:v>
      </x:c>
      <x:c r="E111" s="74" t="n">
        <x:v>106</x:v>
      </x:c>
      <x:c r="F111" s="75" t="n">
        <x:v>9.2</x:v>
      </x:c>
      <x:c r="G111" s="76" t="n">
        <x:v>5</x:v>
      </x:c>
      <x:c r="H111" s="76" t="n">
        <x:v>35</x:v>
      </x:c>
      <x:c r="I111" s="76" t="n">
        <x:v>0</x:v>
      </x:c>
      <x:c r="J111" s="76" t="n">
        <x:v>53</x:v>
      </x:c>
      <x:c r="K111" s="76" t="n">
        <x:v>730</x:v>
      </x:c>
      <x:c r="L111" s="76" t="n">
        <x:v>4</x:v>
      </x:c>
      <x:c r="M111" s="76" t="n">
        <x:v>0</x:v>
      </x:c>
      <x:c r="N111" s="73" t="str">
        <x:v>https://www.thefantasyfootballers.com/2026-ultimate-draft-kit/udk-mikes-projections/?position=FLEX</x:v>
      </x:c>
    </x:row>
    <x:row r="112">
      <x:c r="A112" s="70" t="str">
        <x:v>Kyle Pitts Sr.</x:v>
      </x:c>
      <x:c r="B112" s="69" t="str">
        <x:v>TE</x:v>
      </x:c>
      <x:c r="C112" s="69" t="str">
        <x:v>ATL</x:v>
      </x:c>
      <x:c r="D112" s="74" t="n">
        <x:v>11</x:v>
      </x:c>
      <x:c r="E112" s="74" t="n">
        <x:v>107</x:v>
      </x:c>
      <x:c r="F112" s="75" t="n">
        <x:v>9.1</x:v>
      </x:c>
      <x:c r="G112" s="76" t="n">
        <x:v>0</x:v>
      </x:c>
      <x:c r="H112" s="76" t="n">
        <x:v>0</x:v>
      </x:c>
      <x:c r="I112" s="76" t="n">
        <x:v>0</x:v>
      </x:c>
      <x:c r="J112" s="76" t="n">
        <x:v>62</x:v>
      </x:c>
      <x:c r="K112" s="76" t="n">
        <x:v>731</x:v>
      </x:c>
      <x:c r="L112" s="76" t="n">
        <x:v>3</x:v>
      </x:c>
      <x:c r="M112" s="76" t="n">
        <x:v>0</x:v>
      </x:c>
      <x:c r="N112" s="73" t="str">
        <x:v>https://www.thefantasyfootballers.com/2026-ultimate-draft-kit/udk-mikes-projections/?position=FLEX</x:v>
      </x:c>
    </x:row>
    <x:row r="113">
      <x:c r="A113" s="70" t="str">
        <x:v>Dalton Kincaid</x:v>
      </x:c>
      <x:c r="B113" s="69" t="str">
        <x:v>TE</x:v>
      </x:c>
      <x:c r="C113" s="69" t="str">
        <x:v>BUF</x:v>
      </x:c>
      <x:c r="D113" s="74" t="n">
        <x:v>7</x:v>
      </x:c>
      <x:c r="E113" s="74" t="n">
        <x:v>108</x:v>
      </x:c>
      <x:c r="F113" s="75" t="n">
        <x:v>9.1</x:v>
      </x:c>
      <x:c r="G113" s="76" t="n">
        <x:v>0</x:v>
      </x:c>
      <x:c r="H113" s="76" t="n">
        <x:v>0</x:v>
      </x:c>
      <x:c r="I113" s="76" t="n">
        <x:v>0</x:v>
      </x:c>
      <x:c r="J113" s="76" t="n">
        <x:v>62</x:v>
      </x:c>
      <x:c r="K113" s="76" t="n">
        <x:v>708</x:v>
      </x:c>
      <x:c r="L113" s="76" t="n">
        <x:v>4</x:v>
      </x:c>
      <x:c r="M113" s="76" t="n">
        <x:v>1</x:v>
      </x:c>
      <x:c r="N113" s="73" t="str">
        <x:v>https://www.thefantasyfootballers.com/2026-ultimate-draft-kit/udk-mikes-projections/?position=FLEX</x:v>
      </x:c>
    </x:row>
    <x:row r="114">
      <x:c r="A114" s="70" t="str">
        <x:v>RJ Harvey</x:v>
      </x:c>
      <x:c r="B114" s="69" t="str">
        <x:v>RB</x:v>
      </x:c>
      <x:c r="C114" s="69" t="str">
        <x:v>DEN</x:v>
      </x:c>
      <x:c r="D114" s="74" t="n">
        <x:v>10</x:v>
      </x:c>
      <x:c r="E114" s="74" t="n">
        <x:v>109</x:v>
      </x:c>
      <x:c r="F114" s="75" t="n">
        <x:v>9</x:v>
      </x:c>
      <x:c r="G114" s="76" t="n">
        <x:v>121</x:v>
      </x:c>
      <x:c r="H114" s="76" t="n">
        <x:v>449</x:v>
      </x:c>
      <x:c r="I114" s="76" t="n">
        <x:v>3</x:v>
      </x:c>
      <x:c r="J114" s="76" t="n">
        <x:v>44</x:v>
      </x:c>
      <x:c r="K114" s="76" t="n">
        <x:v>331</x:v>
      </x:c>
      <x:c r="L114" s="76" t="n">
        <x:v>2</x:v>
      </x:c>
      <x:c r="M114" s="76" t="n">
        <x:v>1</x:v>
      </x:c>
      <x:c r="N114" s="73" t="str">
        <x:v>https://www.thefantasyfootballers.com/2026-ultimate-draft-kit/udk-mikes-projections/?position=FLEX</x:v>
      </x:c>
    </x:row>
    <x:row r="115">
      <x:c r="A115" s="70" t="str">
        <x:v>Dallas Goedert</x:v>
      </x:c>
      <x:c r="B115" s="69" t="str">
        <x:v>TE</x:v>
      </x:c>
      <x:c r="C115" s="69" t="str">
        <x:v>PHI</x:v>
      </x:c>
      <x:c r="D115" s="74" t="n">
        <x:v>10</x:v>
      </x:c>
      <x:c r="E115" s="74" t="n">
        <x:v>110</x:v>
      </x:c>
      <x:c r="F115" s="75" t="n">
        <x:v>9</x:v>
      </x:c>
      <x:c r="G115" s="76" t="n">
        <x:v>0</x:v>
      </x:c>
      <x:c r="H115" s="76" t="n">
        <x:v>0</x:v>
      </x:c>
      <x:c r="I115" s="76" t="n">
        <x:v>0</x:v>
      </x:c>
      <x:c r="J115" s="76" t="n">
        <x:v>63</x:v>
      </x:c>
      <x:c r="K115" s="76" t="n">
        <x:v>631</x:v>
      </x:c>
      <x:c r="L115" s="76" t="n">
        <x:v>5</x:v>
      </x:c>
      <x:c r="M115" s="76" t="n">
        <x:v>1</x:v>
      </x:c>
      <x:c r="N115" s="73" t="str">
        <x:v>https://www.thefantasyfootballers.com/2026-ultimate-draft-kit/udk-mikes-projections/?position=FLEX</x:v>
      </x:c>
    </x:row>
    <x:row r="116">
      <x:c r="A116" s="70" t="str">
        <x:v>Hunter Henry</x:v>
      </x:c>
      <x:c r="B116" s="69" t="str">
        <x:v>TE</x:v>
      </x:c>
      <x:c r="C116" s="69" t="str">
        <x:v>NE</x:v>
      </x:c>
      <x:c r="D116" s="74" t="n">
        <x:v>11</x:v>
      </x:c>
      <x:c r="E116" s="74" t="n">
        <x:v>111</x:v>
      </x:c>
      <x:c r="F116" s="75" t="n">
        <x:v>8.8</x:v>
      </x:c>
      <x:c r="G116" s="76" t="n">
        <x:v>0</x:v>
      </x:c>
      <x:c r="H116" s="76" t="n">
        <x:v>0</x:v>
      </x:c>
      <x:c r="I116" s="76" t="n">
        <x:v>0</x:v>
      </x:c>
      <x:c r="J116" s="76" t="n">
        <x:v>54</x:v>
      </x:c>
      <x:c r="K116" s="76" t="n">
        <x:v>629</x:v>
      </x:c>
      <x:c r="L116" s="76" t="n">
        <x:v>5</x:v>
      </x:c>
      <x:c r="M116" s="76" t="n">
        <x:v>0</x:v>
      </x:c>
      <x:c r="N116" s="73" t="str">
        <x:v>https://www.thefantasyfootballers.com/2026-ultimate-draft-kit/udk-mikes-projections/?position=FLEX</x:v>
      </x:c>
    </x:row>
    <x:row r="117">
      <x:c r="A117" s="70" t="str">
        <x:v>Brenton Strange</x:v>
      </x:c>
      <x:c r="B117" s="69" t="str">
        <x:v>TE</x:v>
      </x:c>
      <x:c r="C117" s="69" t="str">
        <x:v>JAX</x:v>
      </x:c>
      <x:c r="D117" s="74" t="n">
        <x:v>7</x:v>
      </x:c>
      <x:c r="E117" s="74" t="n">
        <x:v>112</x:v>
      </x:c>
      <x:c r="F117" s="75" t="n">
        <x:v>8.8</x:v>
      </x:c>
      <x:c r="G117" s="76" t="n">
        <x:v>0</x:v>
      </x:c>
      <x:c r="H117" s="76" t="n">
        <x:v>0</x:v>
      </x:c>
      <x:c r="I117" s="76" t="n">
        <x:v>0</x:v>
      </x:c>
      <x:c r="J117" s="76" t="n">
        <x:v>59</x:v>
      </x:c>
      <x:c r="K117" s="76" t="n">
        <x:v>650</x:v>
      </x:c>
      <x:c r="L117" s="76" t="n">
        <x:v>4</x:v>
      </x:c>
      <x:c r="M117" s="76" t="n">
        <x:v>0</x:v>
      </x:c>
      <x:c r="N117" s="73" t="str">
        <x:v>https://www.thefantasyfootballers.com/2026-ultimate-draft-kit/udk-mikes-projections/?position=FLEX</x:v>
      </x:c>
    </x:row>
    <x:row r="118">
      <x:c r="A118" s="70" t="str">
        <x:v>Jake Ferguson</x:v>
      </x:c>
      <x:c r="B118" s="69" t="str">
        <x:v>TE</x:v>
      </x:c>
      <x:c r="C118" s="69" t="str">
        <x:v>DAL</x:v>
      </x:c>
      <x:c r="D118" s="74" t="n">
        <x:v>14</x:v>
      </x:c>
      <x:c r="E118" s="74" t="n">
        <x:v>113</x:v>
      </x:c>
      <x:c r="F118" s="75" t="n">
        <x:v>8.6</x:v>
      </x:c>
      <x:c r="G118" s="76" t="n">
        <x:v>0</x:v>
      </x:c>
      <x:c r="H118" s="76" t="n">
        <x:v>0</x:v>
      </x:c>
      <x:c r="I118" s="76" t="n">
        <x:v>0</x:v>
      </x:c>
      <x:c r="J118" s="76" t="n">
        <x:v>68</x:v>
      </x:c>
      <x:c r="K118" s="76" t="n">
        <x:v>574</x:v>
      </x:c>
      <x:c r="L118" s="76" t="n">
        <x:v>4</x:v>
      </x:c>
      <x:c r="M118" s="76" t="n">
        <x:v>2</x:v>
      </x:c>
      <x:c r="N118" s="73" t="str">
        <x:v>https://www.thefantasyfootballers.com/2026-ultimate-draft-kit/udk-mikes-projections/?position=FLEX</x:v>
      </x:c>
    </x:row>
    <x:row r="119">
      <x:c r="A119" s="70" t="str">
        <x:v>KC Concepcion</x:v>
      </x:c>
      <x:c r="B119" s="69" t="str">
        <x:v>WR</x:v>
      </x:c>
      <x:c r="C119" s="69" t="str">
        <x:v>CLE</x:v>
      </x:c>
      <x:c r="D119" s="74" t="n">
        <x:v>11</x:v>
      </x:c>
      <x:c r="E119" s="74" t="n">
        <x:v>114</x:v>
      </x:c>
      <x:c r="F119" s="75" t="n">
        <x:v>8.6</x:v>
      </x:c>
      <x:c r="G119" s="76" t="n">
        <x:v>0</x:v>
      </x:c>
      <x:c r="H119" s="76" t="n">
        <x:v>0</x:v>
      </x:c>
      <x:c r="I119" s="76" t="n">
        <x:v>0</x:v>
      </x:c>
      <x:c r="J119" s="76" t="n">
        <x:v>55</x:v>
      </x:c>
      <x:c r="K119" s="76" t="n">
        <x:v>670</x:v>
      </x:c>
      <x:c r="L119" s="76" t="n">
        <x:v>4</x:v>
      </x:c>
      <x:c r="M119" s="76" t="n">
        <x:v>0</x:v>
      </x:c>
      <x:c r="N119" s="73" t="str">
        <x:v>https://www.thefantasyfootballers.com/2026-ultimate-draft-kit/udk-mikes-projections/?position=FLEX</x:v>
      </x:c>
    </x:row>
    <x:row r="120">
      <x:c r="A120" s="70" t="str">
        <x:v>Aaron Jones Sr.</x:v>
      </x:c>
      <x:c r="B120" s="69" t="str">
        <x:v>RB</x:v>
      </x:c>
      <x:c r="C120" s="69" t="str">
        <x:v>MIN</x:v>
      </x:c>
      <x:c r="D120" s="74" t="n">
        <x:v>6</x:v>
      </x:c>
      <x:c r="E120" s="74" t="n">
        <x:v>115</x:v>
      </x:c>
      <x:c r="F120" s="75" t="n">
        <x:v>8.5</x:v>
      </x:c>
      <x:c r="G120" s="76" t="n">
        <x:v>133</x:v>
      </x:c>
      <x:c r="H120" s="76" t="n">
        <x:v>599</x:v>
      </x:c>
      <x:c r="I120" s="76" t="n">
        <x:v>4</x:v>
      </x:c>
      <x:c r="J120" s="76" t="n">
        <x:v>32</x:v>
      </x:c>
      <x:c r="K120" s="76" t="n">
        <x:v>246</x:v>
      </x:c>
      <x:c r="L120" s="76" t="n">
        <x:v>2</x:v>
      </x:c>
      <x:c r="M120" s="76" t="n">
        <x:v>3</x:v>
      </x:c>
      <x:c r="N120" s="73" t="str">
        <x:v>https://www.thefantasyfootballers.com/2026-ultimate-draft-kit/udk-mikes-projections/?position=FLEX</x:v>
      </x:c>
    </x:row>
    <x:row r="121">
      <x:c r="A121" s="70" t="str">
        <x:v>Mark Andrews</x:v>
      </x:c>
      <x:c r="B121" s="69" t="str">
        <x:v>TE</x:v>
      </x:c>
      <x:c r="C121" s="69" t="str">
        <x:v>BAL</x:v>
      </x:c>
      <x:c r="D121" s="74" t="n">
        <x:v>13</x:v>
      </x:c>
      <x:c r="E121" s="74" t="n">
        <x:v>116</x:v>
      </x:c>
      <x:c r="F121" s="75" t="n">
        <x:v>8.4</x:v>
      </x:c>
      <x:c r="G121" s="76" t="n">
        <x:v>6</x:v>
      </x:c>
      <x:c r="H121" s="76" t="n">
        <x:v>24</x:v>
      </x:c>
      <x:c r="I121" s="76" t="n">
        <x:v>0</x:v>
      </x:c>
      <x:c r="J121" s="76" t="n">
        <x:v>52</x:v>
      </x:c>
      <x:c r="K121" s="76" t="n">
        <x:v>580</x:v>
      </x:c>
      <x:c r="L121" s="76" t="n">
        <x:v>5</x:v>
      </x:c>
      <x:c r="M121" s="76" t="n">
        <x:v>1</x:v>
      </x:c>
      <x:c r="N121" s="73" t="str">
        <x:v>https://www.thefantasyfootballers.com/2026-ultimate-draft-kit/udk-mikes-projections/?position=FLEX</x:v>
      </x:c>
    </x:row>
    <x:row r="122">
      <x:c r="A122" s="70" t="str">
        <x:v>Isaiah Likely</x:v>
      </x:c>
      <x:c r="B122" s="69" t="str">
        <x:v>TE</x:v>
      </x:c>
      <x:c r="C122" s="69" t="str">
        <x:v>NYG</x:v>
      </x:c>
      <x:c r="D122" s="74" t="n">
        <x:v>8</x:v>
      </x:c>
      <x:c r="E122" s="74" t="n">
        <x:v>117</x:v>
      </x:c>
      <x:c r="F122" s="75" t="n">
        <x:v>8.4</x:v>
      </x:c>
      <x:c r="G122" s="76" t="n">
        <x:v>0</x:v>
      </x:c>
      <x:c r="H122" s="76" t="n">
        <x:v>0</x:v>
      </x:c>
      <x:c r="I122" s="76" t="n">
        <x:v>0</x:v>
      </x:c>
      <x:c r="J122" s="76" t="n">
        <x:v>53</x:v>
      </x:c>
      <x:c r="K122" s="76" t="n">
        <x:v>610</x:v>
      </x:c>
      <x:c r="L122" s="76" t="n">
        <x:v>5</x:v>
      </x:c>
      <x:c r="M122" s="76" t="n">
        <x:v>1</x:v>
      </x:c>
      <x:c r="N122" s="73" t="str">
        <x:v>https://www.thefantasyfootballers.com/2026-ultimate-draft-kit/udk-mikes-projections/?position=FLEX</x:v>
      </x:c>
    </x:row>
    <x:row r="123">
      <x:c r="A123" s="70" t="str">
        <x:v>Makai Lemon</x:v>
      </x:c>
      <x:c r="B123" s="69" t="str">
        <x:v>WR</x:v>
      </x:c>
      <x:c r="C123" s="69" t="str">
        <x:v>PHI</x:v>
      </x:c>
      <x:c r="D123" s="74" t="n">
        <x:v>10</x:v>
      </x:c>
      <x:c r="E123" s="74" t="n">
        <x:v>118</x:v>
      </x:c>
      <x:c r="F123" s="75" t="n">
        <x:v>8.4</x:v>
      </x:c>
      <x:c r="G123" s="76" t="n">
        <x:v>0</x:v>
      </x:c>
      <x:c r="H123" s="76" t="n">
        <x:v>0</x:v>
      </x:c>
      <x:c r="I123" s="76" t="n">
        <x:v>0</x:v>
      </x:c>
      <x:c r="J123" s="76" t="n">
        <x:v>54</x:v>
      </x:c>
      <x:c r="K123" s="76" t="n">
        <x:v>655</x:v>
      </x:c>
      <x:c r="L123" s="76" t="n">
        <x:v>4</x:v>
      </x:c>
      <x:c r="M123" s="76" t="n">
        <x:v>0</x:v>
      </x:c>
      <x:c r="N123" s="73" t="str">
        <x:v>https://www.thefantasyfootballers.com/2026-ultimate-draft-kit/udk-mikes-projections/?position=FLEX</x:v>
      </x:c>
    </x:row>
    <x:row r="124">
      <x:c r="A124" s="70" t="str">
        <x:v>Kenyon Sadiq</x:v>
      </x:c>
      <x:c r="B124" s="69" t="str">
        <x:v>TE</x:v>
      </x:c>
      <x:c r="C124" s="69" t="str">
        <x:v>NYJ</x:v>
      </x:c>
      <x:c r="D124" s="74" t="n">
        <x:v>13</x:v>
      </x:c>
      <x:c r="E124" s="74" t="n">
        <x:v>119</x:v>
      </x:c>
      <x:c r="F124" s="75" t="n">
        <x:v>8.3</x:v>
      </x:c>
      <x:c r="G124" s="76" t="n">
        <x:v>0</x:v>
      </x:c>
      <x:c r="H124" s="76" t="n">
        <x:v>0</x:v>
      </x:c>
      <x:c r="I124" s="76" t="n">
        <x:v>0</x:v>
      </x:c>
      <x:c r="J124" s="76" t="n">
        <x:v>56</x:v>
      </x:c>
      <x:c r="K124" s="76" t="n">
        <x:v>611</x:v>
      </x:c>
      <x:c r="L124" s="76" t="n">
        <x:v>4</x:v>
      </x:c>
      <x:c r="M124" s="76" t="n">
        <x:v>0</x:v>
      </x:c>
      <x:c r="N124" s="73" t="str">
        <x:v>https://www.thefantasyfootballers.com/2026-ultimate-draft-kit/udk-mikes-projections/?position=FLEX</x:v>
      </x:c>
    </x:row>
    <x:row r="125">
      <x:c r="A125" s="70" t="str">
        <x:v>Greg Dulcich</x:v>
      </x:c>
      <x:c r="B125" s="69" t="str">
        <x:v>TE</x:v>
      </x:c>
      <x:c r="C125" s="69" t="str">
        <x:v>MIA</x:v>
      </x:c>
      <x:c r="D125" s="74" t="n">
        <x:v>6</x:v>
      </x:c>
      <x:c r="E125" s="74" t="n">
        <x:v>120</x:v>
      </x:c>
      <x:c r="F125" s="75" t="n">
        <x:v>8.3</x:v>
      </x:c>
      <x:c r="G125" s="76" t="n">
        <x:v>0</x:v>
      </x:c>
      <x:c r="H125" s="76" t="n">
        <x:v>0</x:v>
      </x:c>
      <x:c r="I125" s="76" t="n">
        <x:v>0</x:v>
      </x:c>
      <x:c r="J125" s="76" t="n">
        <x:v>53</x:v>
      </x:c>
      <x:c r="K125" s="76" t="n">
        <x:v>628</x:v>
      </x:c>
      <x:c r="L125" s="76" t="n">
        <x:v>4</x:v>
      </x:c>
      <x:c r="M125" s="76" t="n">
        <x:v>0</x:v>
      </x:c>
      <x:c r="N125" s="73" t="str">
        <x:v>https://www.thefantasyfootballers.com/2026-ultimate-draft-kit/udk-mikes-projections/?position=FLEX</x:v>
      </x:c>
    </x:row>
    <x:row r="126">
      <x:c r="A126" s="70" t="str">
        <x:v>Chig Okonkwo</x:v>
      </x:c>
      <x:c r="B126" s="69" t="str">
        <x:v>TE</x:v>
      </x:c>
      <x:c r="C126" s="69" t="str">
        <x:v>WAS</x:v>
      </x:c>
      <x:c r="D126" s="74" t="n">
        <x:v>7</x:v>
      </x:c>
      <x:c r="E126" s="74" t="n">
        <x:v>121</x:v>
      </x:c>
      <x:c r="F126" s="75" t="n">
        <x:v>8.3</x:v>
      </x:c>
      <x:c r="G126" s="76" t="n">
        <x:v>0</x:v>
      </x:c>
      <x:c r="H126" s="76" t="n">
        <x:v>0</x:v>
      </x:c>
      <x:c r="I126" s="76" t="n">
        <x:v>0</x:v>
      </x:c>
      <x:c r="J126" s="76" t="n">
        <x:v>59</x:v>
      </x:c>
      <x:c r="K126" s="76" t="n">
        <x:v>584</x:v>
      </x:c>
      <x:c r="L126" s="76" t="n">
        <x:v>4</x:v>
      </x:c>
      <x:c r="M126" s="76" t="n">
        <x:v>0</x:v>
      </x:c>
      <x:c r="N126" s="73" t="str">
        <x:v>https://www.thefantasyfootballers.com/2026-ultimate-draft-kit/udk-mikes-projections/?position=FLEX</x:v>
      </x:c>
    </x:row>
    <x:row r="127">
      <x:c r="A127" s="70" t="str">
        <x:v>Blake Corum</x:v>
      </x:c>
      <x:c r="B127" s="69" t="str">
        <x:v>RB</x:v>
      </x:c>
      <x:c r="C127" s="69" t="str">
        <x:v>LAR</x:v>
      </x:c>
      <x:c r="D127" s="74" t="n">
        <x:v>11</x:v>
      </x:c>
      <x:c r="E127" s="74" t="n">
        <x:v>122</x:v>
      </x:c>
      <x:c r="F127" s="75" t="n">
        <x:v>8</x:v>
      </x:c>
      <x:c r="G127" s="76" t="n">
        <x:v>138</x:v>
      </x:c>
      <x:c r="H127" s="76" t="n">
        <x:v>662</x:v>
      </x:c>
      <x:c r="I127" s="76" t="n">
        <x:v>4</x:v>
      </x:c>
      <x:c r="J127" s="76" t="n">
        <x:v>24</x:v>
      </x:c>
      <x:c r="K127" s="76" t="n">
        <x:v>154</x:v>
      </x:c>
      <x:c r="L127" s="76" t="n">
        <x:v>1</x:v>
      </x:c>
      <x:c r="M127" s="76" t="n">
        <x:v>0</x:v>
      </x:c>
      <x:c r="N127" s="73" t="str">
        <x:v>https://www.thefantasyfootballers.com/2026-ultimate-draft-kit/udk-mikes-projections/?position=FLEX</x:v>
      </x:c>
    </x:row>
    <x:row r="128">
      <x:c r="A128" s="70" t="str">
        <x:v>T.J. Hockenson</x:v>
      </x:c>
      <x:c r="B128" s="69" t="str">
        <x:v>TE</x:v>
      </x:c>
      <x:c r="C128" s="69" t="str">
        <x:v>MIN</x:v>
      </x:c>
      <x:c r="D128" s="74" t="n">
        <x:v>6</x:v>
      </x:c>
      <x:c r="E128" s="74" t="n">
        <x:v>123</x:v>
      </x:c>
      <x:c r="F128" s="75" t="n">
        <x:v>8</x:v>
      </x:c>
      <x:c r="G128" s="76" t="n">
        <x:v>0</x:v>
      </x:c>
      <x:c r="H128" s="76" t="n">
        <x:v>0</x:v>
      </x:c>
      <x:c r="I128" s="76" t="n">
        <x:v>0</x:v>
      </x:c>
      <x:c r="J128" s="76" t="n">
        <x:v>61</x:v>
      </x:c>
      <x:c r="K128" s="76" t="n">
        <x:v>551</x:v>
      </x:c>
      <x:c r="L128" s="76" t="n">
        <x:v>3</x:v>
      </x:c>
      <x:c r="M128" s="76" t="n">
        <x:v>0</x:v>
      </x:c>
      <x:c r="N128" s="73" t="str">
        <x:v>https://www.thefantasyfootballers.com/2026-ultimate-draft-kit/udk-mikes-projections/?position=FLEX</x:v>
      </x:c>
    </x:row>
    <x:row r="129">
      <x:c r="A129" s="70" t="str">
        <x:v>Deebo Samuel Sr.</x:v>
      </x:c>
      <x:c r="B129" s="69" t="str">
        <x:v>WR</x:v>
      </x:c>
      <x:c r="C129" s="69" t="str">
        <x:v>SF</x:v>
      </x:c>
      <x:c r="D129" s="74" t="n">
        <x:v>8</x:v>
      </x:c>
      <x:c r="E129" s="74" t="n">
        <x:v>124</x:v>
      </x:c>
      <x:c r="F129" s="75" t="n">
        <x:v>8</x:v>
      </x:c>
      <x:c r="G129" s="76" t="n">
        <x:v>14</x:v>
      </x:c>
      <x:c r="H129" s="76" t="n">
        <x:v>56</x:v>
      </x:c>
      <x:c r="I129" s="76" t="n">
        <x:v>0</x:v>
      </x:c>
      <x:c r="J129" s="76" t="n">
        <x:v>55</x:v>
      </x:c>
      <x:c r="K129" s="76" t="n">
        <x:v>545</x:v>
      </x:c>
      <x:c r="L129" s="76" t="n">
        <x:v>3</x:v>
      </x:c>
      <x:c r="M129" s="76" t="n">
        <x:v>1</x:v>
      </x:c>
      <x:c r="N129" s="73" t="str">
        <x:v>https://www.thefantasyfootballers.com/2026-ultimate-draft-kit/udk-mikes-projections/?position=FLEX</x:v>
      </x:c>
    </x:row>
    <x:row r="130">
      <x:c r="A130" s="70" t="str">
        <x:v>Oronde Gadsden</x:v>
      </x:c>
      <x:c r="B130" s="69" t="str">
        <x:v>TE</x:v>
      </x:c>
      <x:c r="C130" s="69" t="str">
        <x:v>LAC</x:v>
      </x:c>
      <x:c r="D130" s="74" t="n">
        <x:v>7</x:v>
      </x:c>
      <x:c r="E130" s="74" t="n">
        <x:v>125</x:v>
      </x:c>
      <x:c r="F130" s="75" t="n">
        <x:v>7.9</x:v>
      </x:c>
      <x:c r="G130" s="76" t="n">
        <x:v>0</x:v>
      </x:c>
      <x:c r="H130" s="76" t="n">
        <x:v>0</x:v>
      </x:c>
      <x:c r="I130" s="76" t="n">
        <x:v>0</x:v>
      </x:c>
      <x:c r="J130" s="76" t="n">
        <x:v>49</x:v>
      </x:c>
      <x:c r="K130" s="76" t="n">
        <x:v>642</x:v>
      </x:c>
      <x:c r="L130" s="76" t="n">
        <x:v>4</x:v>
      </x:c>
      <x:c r="M130" s="76" t="n">
        <x:v>1</x:v>
      </x:c>
      <x:c r="N130" s="73" t="str">
        <x:v>https://www.thefantasyfootballers.com/2026-ultimate-draft-kit/udk-mikes-projections/?position=FLEX</x:v>
      </x:c>
    </x:row>
    <x:row r="131">
      <x:c r="A131" s="70" t="str">
        <x:v>Dontayvion Wicks</x:v>
      </x:c>
      <x:c r="B131" s="69" t="str">
        <x:v>WR</x:v>
      </x:c>
      <x:c r="C131" s="69" t="str">
        <x:v>PHI</x:v>
      </x:c>
      <x:c r="D131" s="74" t="n">
        <x:v>10</x:v>
      </x:c>
      <x:c r="E131" s="74" t="n">
        <x:v>126</x:v>
      </x:c>
      <x:c r="F131" s="75" t="n">
        <x:v>7.9</x:v>
      </x:c>
      <x:c r="G131" s="76" t="n">
        <x:v>0</x:v>
      </x:c>
      <x:c r="H131" s="76" t="n">
        <x:v>0</x:v>
      </x:c>
      <x:c r="I131" s="76" t="n">
        <x:v>0</x:v>
      </x:c>
      <x:c r="J131" s="76" t="n">
        <x:v>49</x:v>
      </x:c>
      <x:c r="K131" s="76" t="n">
        <x:v>587</x:v>
      </x:c>
      <x:c r="L131" s="76" t="n">
        <x:v>4</x:v>
      </x:c>
      <x:c r="M131" s="76" t="n">
        <x:v>0</x:v>
      </x:c>
      <x:c r="N131" s="73" t="str">
        <x:v>https://www.thefantasyfootballers.com/2026-ultimate-draft-kit/udk-mikes-projections/?position=FLEX</x:v>
      </x:c>
    </x:row>
    <x:row r="132">
      <x:c r="A132" s="70" t="str">
        <x:v>Matthew Golden</x:v>
      </x:c>
      <x:c r="B132" s="69" t="str">
        <x:v>WR</x:v>
      </x:c>
      <x:c r="C132" s="69" t="str">
        <x:v>GB</x:v>
      </x:c>
      <x:c r="D132" s="74" t="n">
        <x:v>11</x:v>
      </x:c>
      <x:c r="E132" s="74" t="n">
        <x:v>127</x:v>
      </x:c>
      <x:c r="F132" s="75" t="n">
        <x:v>7.8</x:v>
      </x:c>
      <x:c r="G132" s="76" t="n">
        <x:v>10</x:v>
      </x:c>
      <x:c r="H132" s="76" t="n">
        <x:v>49</x:v>
      </x:c>
      <x:c r="I132" s="76" t="n">
        <x:v>0</x:v>
      </x:c>
      <x:c r="J132" s="76" t="n">
        <x:v>49</x:v>
      </x:c>
      <x:c r="K132" s="76" t="n">
        <x:v>609</x:v>
      </x:c>
      <x:c r="L132" s="76" t="n">
        <x:v>3</x:v>
      </x:c>
      <x:c r="M132" s="76" t="n">
        <x:v>0</x:v>
      </x:c>
      <x:c r="N132" s="73" t="str">
        <x:v>https://www.thefantasyfootballers.com/2026-ultimate-draft-kit/udk-mikes-projections/?position=FLEX</x:v>
      </x:c>
    </x:row>
    <x:row r="133">
      <x:c r="A133" s="70" t="str">
        <x:v>Jordyn Tyson</x:v>
      </x:c>
      <x:c r="B133" s="69" t="str">
        <x:v>WR</x:v>
      </x:c>
      <x:c r="C133" s="69" t="str">
        <x:v>NO</x:v>
      </x:c>
      <x:c r="D133" s="74" t="n">
        <x:v>8</x:v>
      </x:c>
      <x:c r="E133" s="74" t="n">
        <x:v>128</x:v>
      </x:c>
      <x:c r="F133" s="75" t="n">
        <x:v>7.5</x:v>
      </x:c>
      <x:c r="G133" s="76" t="n">
        <x:v>0</x:v>
      </x:c>
      <x:c r="H133" s="76" t="n">
        <x:v>0</x:v>
      </x:c>
      <x:c r="I133" s="76" t="n">
        <x:v>0</x:v>
      </x:c>
      <x:c r="J133" s="76" t="n">
        <x:v>47</x:v>
      </x:c>
      <x:c r="K133" s="76" t="n">
        <x:v>593</x:v>
      </x:c>
      <x:c r="L133" s="76" t="n">
        <x:v>4</x:v>
      </x:c>
      <x:c r="M133" s="76" t="n">
        <x:v>0</x:v>
      </x:c>
      <x:c r="N133" s="73" t="str">
        <x:v>https://www.thefantasyfootballers.com/2026-ultimate-draft-kit/udk-mikes-projections/?position=FLEX</x:v>
      </x:c>
    </x:row>
    <x:row r="134">
      <x:c r="A134" s="70" t="str">
        <x:v>Denzel Boston</x:v>
      </x:c>
      <x:c r="B134" s="69" t="str">
        <x:v>WR</x:v>
      </x:c>
      <x:c r="C134" s="69" t="str">
        <x:v>CLE</x:v>
      </x:c>
      <x:c r="D134" s="74" t="n">
        <x:v>11</x:v>
      </x:c>
      <x:c r="E134" s="74" t="n">
        <x:v>129</x:v>
      </x:c>
      <x:c r="F134" s="75" t="n">
        <x:v>7.5</x:v>
      </x:c>
      <x:c r="G134" s="76" t="n">
        <x:v>0</x:v>
      </x:c>
      <x:c r="H134" s="76" t="n">
        <x:v>0</x:v>
      </x:c>
      <x:c r="I134" s="76" t="n">
        <x:v>0</x:v>
      </x:c>
      <x:c r="J134" s="76" t="n">
        <x:v>45</x:v>
      </x:c>
      <x:c r="K134" s="76" t="n">
        <x:v>571</x:v>
      </x:c>
      <x:c r="L134" s="76" t="n">
        <x:v>4</x:v>
      </x:c>
      <x:c r="M134" s="76" t="n">
        <x:v>0</x:v>
      </x:c>
      <x:c r="N134" s="73" t="str">
        <x:v>https://www.thefantasyfootballers.com/2026-ultimate-draft-kit/udk-mikes-projections/?position=FLEX</x:v>
      </x:c>
    </x:row>
    <x:row r="135">
      <x:c r="A135" s="70" t="str">
        <x:v>Pat Freiermuth</x:v>
      </x:c>
      <x:c r="B135" s="69" t="str">
        <x:v>TE</x:v>
      </x:c>
      <x:c r="C135" s="69" t="str">
        <x:v>PIT</x:v>
      </x:c>
      <x:c r="D135" s="74" t="n">
        <x:v>9</x:v>
      </x:c>
      <x:c r="E135" s="74" t="n">
        <x:v>130</x:v>
      </x:c>
      <x:c r="F135" s="75" t="n">
        <x:v>7.5</x:v>
      </x:c>
      <x:c r="G135" s="76" t="n">
        <x:v>0</x:v>
      </x:c>
      <x:c r="H135" s="76" t="n">
        <x:v>0</x:v>
      </x:c>
      <x:c r="I135" s="76" t="n">
        <x:v>0</x:v>
      </x:c>
      <x:c r="J135" s="76" t="n">
        <x:v>50</x:v>
      </x:c>
      <x:c r="K135" s="76" t="n">
        <x:v>540</x:v>
      </x:c>
      <x:c r="L135" s="76" t="n">
        <x:v>4</x:v>
      </x:c>
      <x:c r="M135" s="76" t="n">
        <x:v>1</x:v>
      </x:c>
      <x:c r="N135" s="73" t="str">
        <x:v>https://www.thefantasyfootballers.com/2026-ultimate-draft-kit/udk-mikes-projections/?position=FLEX</x:v>
      </x:c>
    </x:row>
    <x:row r="136">
      <x:c r="A136" s="70" t="str">
        <x:v>Chris Rodriguez Jr.</x:v>
      </x:c>
      <x:c r="B136" s="69" t="str">
        <x:v>RB</x:v>
      </x:c>
      <x:c r="C136" s="69" t="str">
        <x:v>JAX</x:v>
      </x:c>
      <x:c r="D136" s="74" t="n">
        <x:v>7</x:v>
      </x:c>
      <x:c r="E136" s="74" t="n">
        <x:v>131</x:v>
      </x:c>
      <x:c r="F136" s="75" t="n">
        <x:v>7.4</x:v>
      </x:c>
      <x:c r="G136" s="76" t="n">
        <x:v>156</x:v>
      </x:c>
      <x:c r="H136" s="76" t="n">
        <x:v>718</x:v>
      </x:c>
      <x:c r="I136" s="76" t="n">
        <x:v>6</x:v>
      </x:c>
      <x:c r="J136" s="76" t="n">
        <x:v>9</x:v>
      </x:c>
      <x:c r="K136" s="76" t="n">
        <x:v>62</x:v>
      </x:c>
      <x:c r="L136" s="76" t="n">
        <x:v>0</x:v>
      </x:c>
      <x:c r="M136" s="76" t="n">
        <x:v>0</x:v>
      </x:c>
      <x:c r="N136" s="73" t="str">
        <x:v>https://www.thefantasyfootballers.com/2026-ultimate-draft-kit/udk-mikes-projections/?position=FLEX</x:v>
      </x:c>
    </x:row>
    <x:row r="137">
      <x:c r="A137" s="70" t="str">
        <x:v>Tyler Allgeier</x:v>
      </x:c>
      <x:c r="B137" s="69" t="str">
        <x:v>RB</x:v>
      </x:c>
      <x:c r="C137" s="69" t="str">
        <x:v>ARI</x:v>
      </x:c>
      <x:c r="D137" s="74" t="n">
        <x:v>14</x:v>
      </x:c>
      <x:c r="E137" s="74" t="n">
        <x:v>132</x:v>
      </x:c>
      <x:c r="F137" s="75" t="n">
        <x:v>7.2</x:v>
      </x:c>
      <x:c r="G137" s="76" t="n">
        <x:v>139</x:v>
      </x:c>
      <x:c r="H137" s="76" t="n">
        <x:v>582</x:v>
      </x:c>
      <x:c r="I137" s="76" t="n">
        <x:v>4</x:v>
      </x:c>
      <x:c r="J137" s="76" t="n">
        <x:v>23</x:v>
      </x:c>
      <x:c r="K137" s="76" t="n">
        <x:v>147</x:v>
      </x:c>
      <x:c r="L137" s="76" t="n">
        <x:v>1</x:v>
      </x:c>
      <x:c r="M137" s="76" t="n">
        <x:v>0</x:v>
      </x:c>
      <x:c r="N137" s="73" t="str">
        <x:v>https://www.thefantasyfootballers.com/2026-ultimate-draft-kit/udk-mikes-projections/?position=FLEX</x:v>
      </x:c>
    </x:row>
    <x:row r="138">
      <x:c r="A138" s="70" t="str">
        <x:v>Cade Otton</x:v>
      </x:c>
      <x:c r="B138" s="69" t="str">
        <x:v>TE</x:v>
      </x:c>
      <x:c r="C138" s="69" t="str">
        <x:v>TB</x:v>
      </x:c>
      <x:c r="D138" s="74" t="n">
        <x:v>10</x:v>
      </x:c>
      <x:c r="E138" s="74" t="n">
        <x:v>133</x:v>
      </x:c>
      <x:c r="F138" s="75" t="n">
        <x:v>7.1</x:v>
      </x:c>
      <x:c r="G138" s="76" t="n">
        <x:v>0</x:v>
      </x:c>
      <x:c r="H138" s="76" t="n">
        <x:v>0</x:v>
      </x:c>
      <x:c r="I138" s="76" t="n">
        <x:v>0</x:v>
      </x:c>
      <x:c r="J138" s="76" t="n">
        <x:v>53</x:v>
      </x:c>
      <x:c r="K138" s="76" t="n">
        <x:v>520</x:v>
      </x:c>
      <x:c r="L138" s="76" t="n">
        <x:v>3</x:v>
      </x:c>
      <x:c r="M138" s="76" t="n">
        <x:v>1</x:v>
      </x:c>
      <x:c r="N138" s="73" t="str">
        <x:v>https://www.thefantasyfootballers.com/2026-ultimate-draft-kit/udk-mikes-projections/?position=FLEX</x:v>
      </x:c>
    </x:row>
    <x:row r="139">
      <x:c r="A139" s="70" t="str">
        <x:v>Jalen Tolbert</x:v>
      </x:c>
      <x:c r="B139" s="69" t="str">
        <x:v>WR</x:v>
      </x:c>
      <x:c r="C139" s="69" t="str">
        <x:v>MIA</x:v>
      </x:c>
      <x:c r="D139" s="74" t="n">
        <x:v>6</x:v>
      </x:c>
      <x:c r="E139" s="74" t="n">
        <x:v>134</x:v>
      </x:c>
      <x:c r="F139" s="75" t="n">
        <x:v>7.1</x:v>
      </x:c>
      <x:c r="G139" s="76" t="n">
        <x:v>0</x:v>
      </x:c>
      <x:c r="H139" s="76" t="n">
        <x:v>0</x:v>
      </x:c>
      <x:c r="I139" s="76" t="n">
        <x:v>0</x:v>
      </x:c>
      <x:c r="J139" s="76" t="n">
        <x:v>44</x:v>
      </x:c>
      <x:c r="K139" s="76" t="n">
        <x:v>529</x:v>
      </x:c>
      <x:c r="L139" s="76" t="n">
        <x:v>4</x:v>
      </x:c>
      <x:c r="M139" s="76" t="n">
        <x:v>0</x:v>
      </x:c>
      <x:c r="N139" s="73" t="str">
        <x:v>https://www.thefantasyfootballers.com/2026-ultimate-draft-kit/udk-mikes-projections/?position=FLEX</x:v>
      </x:c>
    </x:row>
    <x:row r="140">
      <x:c r="A140" s="70" t="str">
        <x:v>Ryan Flournoy</x:v>
      </x:c>
      <x:c r="B140" s="69" t="str">
        <x:v>WR</x:v>
      </x:c>
      <x:c r="C140" s="69" t="str">
        <x:v>DAL</x:v>
      </x:c>
      <x:c r="D140" s="74" t="n">
        <x:v>14</x:v>
      </x:c>
      <x:c r="E140" s="74" t="n">
        <x:v>135</x:v>
      </x:c>
      <x:c r="F140" s="75" t="n">
        <x:v>7.1</x:v>
      </x:c>
      <x:c r="G140" s="76" t="n">
        <x:v>2</x:v>
      </x:c>
      <x:c r="H140" s="76" t="n">
        <x:v>16</x:v>
      </x:c>
      <x:c r="I140" s="76" t="n">
        <x:v>0</x:v>
      </x:c>
      <x:c r="J140" s="76" t="n">
        <x:v>45</x:v>
      </x:c>
      <x:c r="K140" s="76" t="n">
        <x:v>530</x:v>
      </x:c>
      <x:c r="L140" s="76" t="n">
        <x:v>3</x:v>
      </x:c>
      <x:c r="M140" s="76" t="n">
        <x:v>0</x:v>
      </x:c>
      <x:c r="N140" s="73" t="str">
        <x:v>https://www.thefantasyfootballers.com/2026-ultimate-draft-kit/udk-mikes-projections/?position=FLEX</x:v>
      </x:c>
    </x:row>
    <x:row r="141">
      <x:c r="A141" s="70" t="str">
        <x:v>Tyjae Spears</x:v>
      </x:c>
      <x:c r="B141" s="69" t="str">
        <x:v>RB</x:v>
      </x:c>
      <x:c r="C141" s="69" t="str">
        <x:v>TEN</x:v>
      </x:c>
      <x:c r="D141" s="74" t="n">
        <x:v>9</x:v>
      </x:c>
      <x:c r="E141" s="74" t="n">
        <x:v>136</x:v>
      </x:c>
      <x:c r="F141" s="75" t="n">
        <x:v>7</x:v>
      </x:c>
      <x:c r="G141" s="76" t="n">
        <x:v>71</x:v>
      </x:c>
      <x:c r="H141" s="76" t="n">
        <x:v>282</x:v>
      </x:c>
      <x:c r="I141" s="76" t="n">
        <x:v>2</x:v>
      </x:c>
      <x:c r="J141" s="76" t="n">
        <x:v>43</x:v>
      </x:c>
      <x:c r="K141" s="76" t="n">
        <x:v>292</x:v>
      </x:c>
      <x:c r="L141" s="76" t="n">
        <x:v>1</x:v>
      </x:c>
      <x:c r="M141" s="76" t="n">
        <x:v>0</x:v>
      </x:c>
      <x:c r="N141" s="73" t="str">
        <x:v>https://www.thefantasyfootballers.com/2026-ultimate-draft-kit/udk-mikes-projections/?position=FLEX</x:v>
      </x:c>
    </x:row>
    <x:row r="142">
      <x:c r="A142" s="70" t="str">
        <x:v>Najee Harris</x:v>
      </x:c>
      <x:c r="B142" s="69" t="str">
        <x:v>RB</x:v>
      </x:c>
      <x:c r="C142" s="69" t="str">
        <x:v>NYG</x:v>
      </x:c>
      <x:c r="D142" s="74" t="n">
        <x:v>8</x:v>
      </x:c>
      <x:c r="E142" s="74" t="n">
        <x:v>137</x:v>
      </x:c>
      <x:c r="F142" s="75" t="n">
        <x:v>7</x:v>
      </x:c>
      <x:c r="G142" s="76" t="n">
        <x:v>162</x:v>
      </x:c>
      <x:c r="H142" s="76" t="n">
        <x:v>649</x:v>
      </x:c>
      <x:c r="I142" s="76" t="n">
        <x:v>5</x:v>
      </x:c>
      <x:c r="J142" s="76" t="n">
        <x:v>14</x:v>
      </x:c>
      <x:c r="K142" s="76" t="n">
        <x:v>104</x:v>
      </x:c>
      <x:c r="L142" s="76" t="n">
        <x:v>1</x:v>
      </x:c>
      <x:c r="M142" s="76" t="n">
        <x:v>0</x:v>
      </x:c>
      <x:c r="N142" s="73" t="str">
        <x:v>https://www.thefantasyfootballers.com/2026-ultimate-draft-kit/udk-mikes-projections/?position=FLEX</x:v>
      </x:c>
    </x:row>
    <x:row r="143">
      <x:c r="A143" s="70" t="str">
        <x:v>Devaughn Vele</x:v>
      </x:c>
      <x:c r="B143" s="69" t="str">
        <x:v>WR</x:v>
      </x:c>
      <x:c r="C143" s="69" t="str">
        <x:v>NO</x:v>
      </x:c>
      <x:c r="D143" s="74" t="n">
        <x:v>8</x:v>
      </x:c>
      <x:c r="E143" s="74" t="n">
        <x:v>138</x:v>
      </x:c>
      <x:c r="F143" s="75" t="n">
        <x:v>7</x:v>
      </x:c>
      <x:c r="G143" s="76" t="n">
        <x:v>0</x:v>
      </x:c>
      <x:c r="H143" s="76" t="n">
        <x:v>0</x:v>
      </x:c>
      <x:c r="I143" s="76" t="n">
        <x:v>0</x:v>
      </x:c>
      <x:c r="J143" s="76" t="n">
        <x:v>46</x:v>
      </x:c>
      <x:c r="K143" s="76" t="n">
        <x:v>532</x:v>
      </x:c>
      <x:c r="L143" s="76" t="n">
        <x:v>3</x:v>
      </x:c>
      <x:c r="M143" s="76" t="n">
        <x:v>0</x:v>
      </x:c>
      <x:c r="N143" s="73" t="str">
        <x:v>https://www.thefantasyfootballers.com/2026-ultimate-draft-kit/udk-mikes-projections/?position=FLEX</x:v>
      </x:c>
    </x:row>
    <x:row r="144">
      <x:c r="A144" s="70" t="str">
        <x:v>David Njoku</x:v>
      </x:c>
      <x:c r="B144" s="69" t="str">
        <x:v>TE</x:v>
      </x:c>
      <x:c r="C144" s="69" t="str">
        <x:v>LAC</x:v>
      </x:c>
      <x:c r="D144" s="74" t="n">
        <x:v>7</x:v>
      </x:c>
      <x:c r="E144" s="74" t="n">
        <x:v>139</x:v>
      </x:c>
      <x:c r="F144" s="75" t="n">
        <x:v>6.9</x:v>
      </x:c>
      <x:c r="G144" s="76" t="n">
        <x:v>0</x:v>
      </x:c>
      <x:c r="H144" s="76" t="n">
        <x:v>0</x:v>
      </x:c>
      <x:c r="I144" s="76" t="n">
        <x:v>0</x:v>
      </x:c>
      <x:c r="J144" s="76" t="n">
        <x:v>48</x:v>
      </x:c>
      <x:c r="K144" s="76" t="n">
        <x:v>466</x:v>
      </x:c>
      <x:c r="L144" s="76" t="n">
        <x:v>4</x:v>
      </x:c>
      <x:c r="M144" s="76" t="n">
        <x:v>0</x:v>
      </x:c>
      <x:c r="N144" s="73" t="str">
        <x:v>https://www.thefantasyfootballers.com/2026-ultimate-draft-kit/udk-mikes-projections/?position=FLEX</x:v>
      </x:c>
    </x:row>
    <x:row r="145">
      <x:c r="A145" s="70" t="str">
        <x:v>Germie Bernard</x:v>
      </x:c>
      <x:c r="B145" s="69" t="str">
        <x:v>WR</x:v>
      </x:c>
      <x:c r="C145" s="69" t="str">
        <x:v>PIT</x:v>
      </x:c>
      <x:c r="D145" s="74" t="n">
        <x:v>9</x:v>
      </x:c>
      <x:c r="E145" s="74" t="n">
        <x:v>140</x:v>
      </x:c>
      <x:c r="F145" s="75" t="n">
        <x:v>6.9</x:v>
      </x:c>
      <x:c r="G145" s="76" t="n">
        <x:v>0</x:v>
      </x:c>
      <x:c r="H145" s="76" t="n">
        <x:v>0</x:v>
      </x:c>
      <x:c r="I145" s="76" t="n">
        <x:v>0</x:v>
      </x:c>
      <x:c r="J145" s="76" t="n">
        <x:v>44</x:v>
      </x:c>
      <x:c r="K145" s="76" t="n">
        <x:v>540</x:v>
      </x:c>
      <x:c r="L145" s="76" t="n">
        <x:v>3</x:v>
      </x:c>
      <x:c r="M145" s="76" t="n">
        <x:v>0</x:v>
      </x:c>
      <x:c r="N145" s="73" t="str">
        <x:v>https://www.thefantasyfootballers.com/2026-ultimate-draft-kit/udk-mikes-projections/?position=FLEX</x:v>
      </x:c>
    </x:row>
    <x:row r="146">
      <x:c r="A146" s="70" t="str">
        <x:v>Pat Bryant</x:v>
      </x:c>
      <x:c r="B146" s="69" t="str">
        <x:v>WR</x:v>
      </x:c>
      <x:c r="C146" s="69" t="str">
        <x:v>DEN</x:v>
      </x:c>
      <x:c r="D146" s="74" t="n">
        <x:v>10</x:v>
      </x:c>
      <x:c r="E146" s="74" t="n">
        <x:v>141</x:v>
      </x:c>
      <x:c r="F146" s="75" t="n">
        <x:v>6.8</x:v>
      </x:c>
      <x:c r="G146" s="76" t="n">
        <x:v>0</x:v>
      </x:c>
      <x:c r="H146" s="76" t="n">
        <x:v>0</x:v>
      </x:c>
      <x:c r="I146" s="76" t="n">
        <x:v>0</x:v>
      </x:c>
      <x:c r="J146" s="76" t="n">
        <x:v>43</x:v>
      </x:c>
      <x:c r="K146" s="76" t="n">
        <x:v>530</x:v>
      </x:c>
      <x:c r="L146" s="76" t="n">
        <x:v>3</x:v>
      </x:c>
      <x:c r="M146" s="76" t="n">
        <x:v>0</x:v>
      </x:c>
      <x:c r="N146" s="73" t="str">
        <x:v>https://www.thefantasyfootballers.com/2026-ultimate-draft-kit/udk-mikes-projections/?position=FLEX</x:v>
      </x:c>
    </x:row>
    <x:row r="147">
      <x:c r="A147" s="70" t="str">
        <x:v>Ja'Kobi Lane</x:v>
      </x:c>
      <x:c r="B147" s="69" t="str">
        <x:v>WR</x:v>
      </x:c>
      <x:c r="C147" s="69" t="str">
        <x:v>BAL</x:v>
      </x:c>
      <x:c r="D147" s="74" t="n">
        <x:v>13</x:v>
      </x:c>
      <x:c r="E147" s="74" t="n">
        <x:v>142</x:v>
      </x:c>
      <x:c r="F147" s="75" t="n">
        <x:v>6.8</x:v>
      </x:c>
      <x:c r="G147" s="76" t="n">
        <x:v>0</x:v>
      </x:c>
      <x:c r="H147" s="76" t="n">
        <x:v>0</x:v>
      </x:c>
      <x:c r="I147" s="76" t="n">
        <x:v>0</x:v>
      </x:c>
      <x:c r="J147" s="76" t="n">
        <x:v>43</x:v>
      </x:c>
      <x:c r="K147" s="76" t="n">
        <x:v>529</x:v>
      </x:c>
      <x:c r="L147" s="76" t="n">
        <x:v>3</x:v>
      </x:c>
      <x:c r="M147" s="76" t="n">
        <x:v>0</x:v>
      </x:c>
      <x:c r="N147" s="73" t="str">
        <x:v>https://www.thefantasyfootballers.com/2026-ultimate-draft-kit/udk-mikes-projections/?position=FLEX</x:v>
      </x:c>
    </x:row>
    <x:row r="148">
      <x:c r="A148" s="70" t="str">
        <x:v>Calvin Ridley</x:v>
      </x:c>
      <x:c r="B148" s="69" t="str">
        <x:v>WR</x:v>
      </x:c>
      <x:c r="C148" s="69" t="str">
        <x:v>TEN</x:v>
      </x:c>
      <x:c r="D148" s="74" t="n">
        <x:v>9</x:v>
      </x:c>
      <x:c r="E148" s="74" t="n">
        <x:v>143</x:v>
      </x:c>
      <x:c r="F148" s="75" t="n">
        <x:v>6.8</x:v>
      </x:c>
      <x:c r="G148" s="76" t="n">
        <x:v>4</x:v>
      </x:c>
      <x:c r="H148" s="76" t="n">
        <x:v>20</x:v>
      </x:c>
      <x:c r="I148" s="76" t="n">
        <x:v>0</x:v>
      </x:c>
      <x:c r="J148" s="76" t="n">
        <x:v>36</x:v>
      </x:c>
      <x:c r="K148" s="76" t="n">
        <x:v>535</x:v>
      </x:c>
      <x:c r="L148" s="76" t="n">
        <x:v>4</x:v>
      </x:c>
      <x:c r="M148" s="76" t="n">
        <x:v>0</x:v>
      </x:c>
      <x:c r="N148" s="73" t="str">
        <x:v>https://www.thefantasyfootballers.com/2026-ultimate-draft-kit/udk-mikes-projections/?position=FLEX</x:v>
      </x:c>
    </x:row>
    <x:row r="149">
      <x:c r="A149" s="70" t="str">
        <x:v>Luke Musgrave</x:v>
      </x:c>
      <x:c r="B149" s="69" t="str">
        <x:v>TE</x:v>
      </x:c>
      <x:c r="C149" s="69" t="str">
        <x:v>GB</x:v>
      </x:c>
      <x:c r="D149" s="74" t="n">
        <x:v>11</x:v>
      </x:c>
      <x:c r="E149" s="74" t="n">
        <x:v>144</x:v>
      </x:c>
      <x:c r="F149" s="75" t="n">
        <x:v>6.7</x:v>
      </x:c>
      <x:c r="G149" s="76" t="n">
        <x:v>0</x:v>
      </x:c>
      <x:c r="H149" s="76" t="n">
        <x:v>0</x:v>
      </x:c>
      <x:c r="I149" s="76" t="n">
        <x:v>0</x:v>
      </x:c>
      <x:c r="J149" s="76" t="n">
        <x:v>50</x:v>
      </x:c>
      <x:c r="K149" s="76" t="n">
        <x:v>500</x:v>
      </x:c>
      <x:c r="L149" s="76" t="n">
        <x:v>2</x:v>
      </x:c>
      <x:c r="M149" s="76" t="n">
        <x:v>0</x:v>
      </x:c>
      <x:c r="N149" s="73" t="str">
        <x:v>https://www.thefantasyfootballers.com/2026-ultimate-draft-kit/udk-mikes-projections/?position=FLEX</x:v>
      </x:c>
    </x:row>
    <x:row r="150">
      <x:c r="A150" s="70" t="str">
        <x:v>Isiah Pacheco</x:v>
      </x:c>
      <x:c r="B150" s="69" t="str">
        <x:v>RB</x:v>
      </x:c>
      <x:c r="C150" s="69" t="str">
        <x:v>DET</x:v>
      </x:c>
      <x:c r="D150" s="74" t="n">
        <x:v>6</x:v>
      </x:c>
      <x:c r="E150" s="74" t="n">
        <x:v>145</x:v>
      </x:c>
      <x:c r="F150" s="75" t="n">
        <x:v>6.7</x:v>
      </x:c>
      <x:c r="G150" s="76" t="n">
        <x:v>126</x:v>
      </x:c>
      <x:c r="H150" s="76" t="n">
        <x:v>529</x:v>
      </x:c>
      <x:c r="I150" s="76" t="n">
        <x:v>3</x:v>
      </x:c>
      <x:c r="J150" s="76" t="n">
        <x:v>24</x:v>
      </x:c>
      <x:c r="K150" s="76" t="n">
        <x:v>146</x:v>
      </x:c>
      <x:c r="L150" s="76" t="n">
        <x:v>1</x:v>
      </x:c>
      <x:c r="M150" s="76" t="n">
        <x:v>0</x:v>
      </x:c>
      <x:c r="N150" s="73" t="str">
        <x:v>https://www.thefantasyfootballers.com/2026-ultimate-draft-kit/udk-mikes-projections/?position=FLEX</x:v>
      </x:c>
    </x:row>
    <x:row r="151">
      <x:c r="A151" s="70" t="str">
        <x:v>Omar Cooper Jr.</x:v>
      </x:c>
      <x:c r="B151" s="69" t="str">
        <x:v>WR</x:v>
      </x:c>
      <x:c r="C151" s="69" t="str">
        <x:v>NYJ</x:v>
      </x:c>
      <x:c r="D151" s="74" t="n">
        <x:v>13</x:v>
      </x:c>
      <x:c r="E151" s="74" t="n">
        <x:v>146</x:v>
      </x:c>
      <x:c r="F151" s="75" t="n">
        <x:v>6.7</x:v>
      </x:c>
      <x:c r="G151" s="76" t="n">
        <x:v>0</x:v>
      </x:c>
      <x:c r="H151" s="76" t="n">
        <x:v>0</x:v>
      </x:c>
      <x:c r="I151" s="76" t="n">
        <x:v>0</x:v>
      </x:c>
      <x:c r="J151" s="76" t="n">
        <x:v>43</x:v>
      </x:c>
      <x:c r="K151" s="76" t="n">
        <x:v>523</x:v>
      </x:c>
      <x:c r="L151" s="76" t="n">
        <x:v>3</x:v>
      </x:c>
      <x:c r="M151" s="76" t="n">
        <x:v>0</x:v>
      </x:c>
      <x:c r="N151" s="73" t="str">
        <x:v>https://www.thefantasyfootballers.com/2026-ultimate-draft-kit/udk-mikes-projections/?position=FLEX</x:v>
      </x:c>
    </x:row>
    <x:row r="152">
      <x:c r="A152" s="70" t="str">
        <x:v>Jerry Jeudy</x:v>
      </x:c>
      <x:c r="B152" s="69" t="str">
        <x:v>WR</x:v>
      </x:c>
      <x:c r="C152" s="69" t="str">
        <x:v>CLE</x:v>
      </x:c>
      <x:c r="D152" s="74" t="n">
        <x:v>11</x:v>
      </x:c>
      <x:c r="E152" s="74" t="n">
        <x:v>147</x:v>
      </x:c>
      <x:c r="F152" s="75" t="n">
        <x:v>6.7</x:v>
      </x:c>
      <x:c r="G152" s="76" t="n">
        <x:v>0</x:v>
      </x:c>
      <x:c r="H152" s="76" t="n">
        <x:v>0</x:v>
      </x:c>
      <x:c r="I152" s="76" t="n">
        <x:v>0</x:v>
      </x:c>
      <x:c r="J152" s="76" t="n">
        <x:v>43</x:v>
      </x:c>
      <x:c r="K152" s="76" t="n">
        <x:v>580</x:v>
      </x:c>
      <x:c r="L152" s="76" t="n">
        <x:v>2</x:v>
      </x:c>
      <x:c r="M152" s="76" t="n">
        <x:v>1</x:v>
      </x:c>
      <x:c r="N152" s="73" t="str">
        <x:v>https://www.thefantasyfootballers.com/2026-ultimate-draft-kit/udk-mikes-projections/?position=FLEX</x:v>
      </x:c>
    </x:row>
    <x:row r="153">
      <x:c r="A153" s="70" t="str">
        <x:v>AJ Barner</x:v>
      </x:c>
      <x:c r="B153" s="69" t="str">
        <x:v>TE</x:v>
      </x:c>
      <x:c r="C153" s="69" t="str">
        <x:v>SEA</x:v>
      </x:c>
      <x:c r="D153" s="74" t="n">
        <x:v>11</x:v>
      </x:c>
      <x:c r="E153" s="74" t="n">
        <x:v>148</x:v>
      </x:c>
      <x:c r="F153" s="75" t="n">
        <x:v>6.7</x:v>
      </x:c>
      <x:c r="G153" s="76" t="n">
        <x:v>10</x:v>
      </x:c>
      <x:c r="H153" s="76" t="n">
        <x:v>14</x:v>
      </x:c>
      <x:c r="I153" s="76" t="n">
        <x:v>0</x:v>
      </x:c>
      <x:c r="J153" s="76" t="n">
        <x:v>46</x:v>
      </x:c>
      <x:c r="K153" s="76" t="n">
        <x:v>459</x:v>
      </x:c>
      <x:c r="L153" s="76" t="n">
        <x:v>4</x:v>
      </x:c>
      <x:c r="M153" s="76" t="n">
        <x:v>2</x:v>
      </x:c>
      <x:c r="N153" s="73" t="str">
        <x:v>https://www.thefantasyfootballers.com/2026-ultimate-draft-kit/udk-mikes-projections/?position=FLEX</x:v>
      </x:c>
    </x:row>
    <x:row r="154">
      <x:c r="A154" s="70" t="str">
        <x:v>Mike Washington Jr.</x:v>
      </x:c>
      <x:c r="B154" s="69" t="str">
        <x:v>RB</x:v>
      </x:c>
      <x:c r="C154" s="69" t="str">
        <x:v>LV</x:v>
      </x:c>
      <x:c r="D154" s="74" t="n">
        <x:v>13</x:v>
      </x:c>
      <x:c r="E154" s="74" t="n">
        <x:v>149</x:v>
      </x:c>
      <x:c r="F154" s="75" t="n">
        <x:v>6.6</x:v>
      </x:c>
      <x:c r="G154" s="76" t="n">
        <x:v>82</x:v>
      </x:c>
      <x:c r="H154" s="76" t="n">
        <x:v>385</x:v>
      </x:c>
      <x:c r="I154" s="76" t="n">
        <x:v>3</x:v>
      </x:c>
      <x:c r="J154" s="76" t="n">
        <x:v>30</x:v>
      </x:c>
      <x:c r="K154" s="76" t="n">
        <x:v>212</x:v>
      </x:c>
      <x:c r="L154" s="76" t="n">
        <x:v>1</x:v>
      </x:c>
      <x:c r="M154" s="76" t="n">
        <x:v>0</x:v>
      </x:c>
      <x:c r="N154" s="73" t="str">
        <x:v>https://www.thefantasyfootballers.com/2026-ultimate-draft-kit/udk-mikes-projections/?position=FLEX</x:v>
      </x:c>
    </x:row>
    <x:row r="155">
      <x:c r="A155" s="70" t="str">
        <x:v>Cole Kmet</x:v>
      </x:c>
      <x:c r="B155" s="69" t="str">
        <x:v>TE</x:v>
      </x:c>
      <x:c r="C155" s="69" t="str">
        <x:v>CHI</x:v>
      </x:c>
      <x:c r="D155" s="74" t="n">
        <x:v>10</x:v>
      </x:c>
      <x:c r="E155" s="74" t="n">
        <x:v>150</x:v>
      </x:c>
      <x:c r="F155" s="75" t="n">
        <x:v>6.6</x:v>
      </x:c>
      <x:c r="G155" s="76" t="n">
        <x:v>0</x:v>
      </x:c>
      <x:c r="H155" s="76" t="n">
        <x:v>0</x:v>
      </x:c>
      <x:c r="I155" s="76" t="n">
        <x:v>0</x:v>
      </x:c>
      <x:c r="J155" s="76" t="n">
        <x:v>45</x:v>
      </x:c>
      <x:c r="K155" s="76" t="n">
        <x:v>469</x:v>
      </x:c>
      <x:c r="L155" s="76" t="n">
        <x:v>3</x:v>
      </x:c>
      <x:c r="M155" s="76" t="n">
        <x:v>0</x:v>
      </x:c>
      <x:c r="N155" s="73" t="str">
        <x:v>https://www.thefantasyfootballers.com/2026-ultimate-draft-kit/udk-mikes-projections/?position=FLEX</x:v>
      </x:c>
    </x:row>
    <x:row r="156">
      <x:c r="A156" s="70" t="str">
        <x:v>Kyle Williams</x:v>
      </x:c>
      <x:c r="B156" s="69" t="str">
        <x:v>WR</x:v>
      </x:c>
      <x:c r="C156" s="69" t="str">
        <x:v>NE</x:v>
      </x:c>
      <x:c r="D156" s="74" t="n">
        <x:v>11</x:v>
      </x:c>
      <x:c r="E156" s="74" t="n">
        <x:v>151</x:v>
      </x:c>
      <x:c r="F156" s="75" t="n">
        <x:v>6.6</x:v>
      </x:c>
      <x:c r="G156" s="76" t="n">
        <x:v>2</x:v>
      </x:c>
      <x:c r="H156" s="76" t="n">
        <x:v>3</x:v>
      </x:c>
      <x:c r="I156" s="76" t="n">
        <x:v>0</x:v>
      </x:c>
      <x:c r="J156" s="76" t="n">
        <x:v>35</x:v>
      </x:c>
      <x:c r="K156" s="76" t="n">
        <x:v>529</x:v>
      </x:c>
      <x:c r="L156" s="76" t="n">
        <x:v>4</x:v>
      </x:c>
      <x:c r="M156" s="76" t="n">
        <x:v>0</x:v>
      </x:c>
      <x:c r="N156" s="73" t="str">
        <x:v>https://www.thefantasyfootballers.com/2026-ultimate-draft-kit/udk-mikes-projections/?position=FLEX</x:v>
      </x:c>
    </x:row>
    <x:row r="157">
      <x:c r="A157" s="70" t="str">
        <x:v>Keaton Mitchell</x:v>
      </x:c>
      <x:c r="B157" s="69" t="str">
        <x:v>RB</x:v>
      </x:c>
      <x:c r="C157" s="69" t="str">
        <x:v>LAC</x:v>
      </x:c>
      <x:c r="D157" s="74" t="n">
        <x:v>7</x:v>
      </x:c>
      <x:c r="E157" s="74" t="n">
        <x:v>152</x:v>
      </x:c>
      <x:c r="F157" s="75" t="n">
        <x:v>6.4</x:v>
      </x:c>
      <x:c r="G157" s="76" t="n">
        <x:v>96</x:v>
      </x:c>
      <x:c r="H157" s="76" t="n">
        <x:v>519</x:v>
      </x:c>
      <x:c r="I157" s="76" t="n">
        <x:v>3</x:v>
      </x:c>
      <x:c r="J157" s="76" t="n">
        <x:v>18</x:v>
      </x:c>
      <x:c r="K157" s="76" t="n">
        <x:v>163</x:v>
      </x:c>
      <x:c r="L157" s="76" t="n">
        <x:v>1</x:v>
      </x:c>
      <x:c r="M157" s="76" t="n">
        <x:v>0</x:v>
      </x:c>
      <x:c r="N157" s="73" t="str">
        <x:v>https://www.thefantasyfootballers.com/2026-ultimate-draft-kit/udk-mikes-projections/?position=FLEX</x:v>
      </x:c>
    </x:row>
    <x:row r="158">
      <x:c r="A158" s="70" t="str">
        <x:v>Mike Gesicki</x:v>
      </x:c>
      <x:c r="B158" s="69" t="str">
        <x:v>TE</x:v>
      </x:c>
      <x:c r="C158" s="69" t="str">
        <x:v>CIN</x:v>
      </x:c>
      <x:c r="D158" s="74" t="n">
        <x:v>6</x:v>
      </x:c>
      <x:c r="E158" s="74" t="n">
        <x:v>153</x:v>
      </x:c>
      <x:c r="F158" s="75" t="n">
        <x:v>6.3</x:v>
      </x:c>
      <x:c r="G158" s="76" t="n">
        <x:v>0</x:v>
      </x:c>
      <x:c r="H158" s="76" t="n">
        <x:v>0</x:v>
      </x:c>
      <x:c r="I158" s="76" t="n">
        <x:v>0</x:v>
      </x:c>
      <x:c r="J158" s="76" t="n">
        <x:v>44</x:v>
      </x:c>
      <x:c r="K158" s="76" t="n">
        <x:v>465</x:v>
      </x:c>
      <x:c r="L158" s="76" t="n">
        <x:v>3</x:v>
      </x:c>
      <x:c r="M158" s="76" t="n">
        <x:v>0</x:v>
      </x:c>
      <x:c r="N158" s="73" t="str">
        <x:v>https://www.thefantasyfootballers.com/2026-ultimate-draft-kit/udk-mikes-projections/?position=FLEX</x:v>
      </x:c>
    </x:row>
    <x:row r="159">
      <x:c r="A159" s="70" t="str">
        <x:v>Cyrus Allen</x:v>
      </x:c>
      <x:c r="B159" s="69" t="str">
        <x:v>WR</x:v>
      </x:c>
      <x:c r="C159" s="69" t="str">
        <x:v>KC</x:v>
      </x:c>
      <x:c r="D159" s="74" t="n">
        <x:v>5</x:v>
      </x:c>
      <x:c r="E159" s="74" t="n">
        <x:v>154</x:v>
      </x:c>
      <x:c r="F159" s="75" t="n">
        <x:v>6.3</x:v>
      </x:c>
      <x:c r="G159" s="76" t="n">
        <x:v>0</x:v>
      </x:c>
      <x:c r="H159" s="76" t="n">
        <x:v>0</x:v>
      </x:c>
      <x:c r="I159" s="76" t="n">
        <x:v>0</x:v>
      </x:c>
      <x:c r="J159" s="76" t="n">
        <x:v>38</x:v>
      </x:c>
      <x:c r="K159" s="76" t="n">
        <x:v>480</x:v>
      </x:c>
      <x:c r="L159" s="76" t="n">
        <x:v>4</x:v>
      </x:c>
      <x:c r="M159" s="76" t="n">
        <x:v>0</x:v>
      </x:c>
      <x:c r="N159" s="73" t="str">
        <x:v>https://www.thefantasyfootballers.com/2026-ultimate-draft-kit/udk-mikes-projections/?position=FLEX</x:v>
      </x:c>
    </x:row>
    <x:row r="160">
      <x:c r="A160" s="70" t="str">
        <x:v>Jalen McMillan</x:v>
      </x:c>
      <x:c r="B160" s="69" t="str">
        <x:v>WR</x:v>
      </x:c>
      <x:c r="C160" s="69" t="str">
        <x:v>TB</x:v>
      </x:c>
      <x:c r="D160" s="74" t="n">
        <x:v>10</x:v>
      </x:c>
      <x:c r="E160" s="74" t="n">
        <x:v>155</x:v>
      </x:c>
      <x:c r="F160" s="75" t="n">
        <x:v>6.2</x:v>
      </x:c>
      <x:c r="G160" s="76" t="n">
        <x:v>2</x:v>
      </x:c>
      <x:c r="H160" s="76" t="n">
        <x:v>17</x:v>
      </x:c>
      <x:c r="I160" s="76" t="n">
        <x:v>0</x:v>
      </x:c>
      <x:c r="J160" s="76" t="n">
        <x:v>35</x:v>
      </x:c>
      <x:c r="K160" s="76" t="n">
        <x:v>453</x:v>
      </x:c>
      <x:c r="L160" s="76" t="n">
        <x:v>4</x:v>
      </x:c>
      <x:c r="M160" s="76" t="n">
        <x:v>0</x:v>
      </x:c>
      <x:c r="N160" s="73" t="str">
        <x:v>https://www.thefantasyfootballers.com/2026-ultimate-draft-kit/udk-mikes-projections/?position=FLEX</x:v>
      </x:c>
    </x:row>
    <x:row r="161">
      <x:c r="A161" s="70" t="str">
        <x:v>DeMario Douglas</x:v>
      </x:c>
      <x:c r="B161" s="69" t="str">
        <x:v>WR</x:v>
      </x:c>
      <x:c r="C161" s="69" t="str">
        <x:v>NE</x:v>
      </x:c>
      <x:c r="D161" s="74" t="n">
        <x:v>11</x:v>
      </x:c>
      <x:c r="E161" s="74" t="n">
        <x:v>156</x:v>
      </x:c>
      <x:c r="F161" s="75" t="n">
        <x:v>6.2</x:v>
      </x:c>
      <x:c r="G161" s="76" t="n">
        <x:v>7</x:v>
      </x:c>
      <x:c r="H161" s="76" t="n">
        <x:v>21</x:v>
      </x:c>
      <x:c r="I161" s="76" t="n">
        <x:v>0</x:v>
      </x:c>
      <x:c r="J161" s="76" t="n">
        <x:v>35</x:v>
      </x:c>
      <x:c r="K161" s="76" t="n">
        <x:v>488</x:v>
      </x:c>
      <x:c r="L161" s="76" t="n">
        <x:v>3</x:v>
      </x:c>
      <x:c r="M161" s="76" t="n">
        <x:v>0</x:v>
      </x:c>
      <x:c r="N161" s="73" t="str">
        <x:v>https://www.thefantasyfootballers.com/2026-ultimate-draft-kit/udk-mikes-projections/?position=FLEX</x:v>
      </x:c>
    </x:row>
    <x:row r="162">
      <x:c r="A162" s="70" t="str">
        <x:v>Darius Slayton</x:v>
      </x:c>
      <x:c r="B162" s="69" t="str">
        <x:v>WR</x:v>
      </x:c>
      <x:c r="C162" s="69" t="str">
        <x:v>NYG</x:v>
      </x:c>
      <x:c r="D162" s="74" t="n">
        <x:v>8</x:v>
      </x:c>
      <x:c r="E162" s="74" t="n">
        <x:v>157</x:v>
      </x:c>
      <x:c r="F162" s="75" t="n">
        <x:v>6.2</x:v>
      </x:c>
      <x:c r="G162" s="76" t="n">
        <x:v>0</x:v>
      </x:c>
      <x:c r="H162" s="76" t="n">
        <x:v>0</x:v>
      </x:c>
      <x:c r="I162" s="76" t="n">
        <x:v>0</x:v>
      </x:c>
      <x:c r="J162" s="76" t="n">
        <x:v>36</x:v>
      </x:c>
      <x:c r="K162" s="76" t="n">
        <x:v>543</x:v>
      </x:c>
      <x:c r="L162" s="76" t="n">
        <x:v>3</x:v>
      </x:c>
      <x:c r="M162" s="76" t="n">
        <x:v>1</x:v>
      </x:c>
      <x:c r="N162" s="73" t="str">
        <x:v>https://www.thefantasyfootballers.com/2026-ultimate-draft-kit/udk-mikes-projections/?position=FLEX</x:v>
      </x:c>
    </x:row>
    <x:row r="163">
      <x:c r="A163" s="70" t="str">
        <x:v>Michael Mayer</x:v>
      </x:c>
      <x:c r="B163" s="69" t="str">
        <x:v>TE</x:v>
      </x:c>
      <x:c r="C163" s="69" t="str">
        <x:v>LV</x:v>
      </x:c>
      <x:c r="D163" s="74" t="n">
        <x:v>13</x:v>
      </x:c>
      <x:c r="E163" s="74" t="n">
        <x:v>158</x:v>
      </x:c>
      <x:c r="F163" s="75" t="n">
        <x:v>6.1</x:v>
      </x:c>
      <x:c r="G163" s="76" t="n">
        <x:v>0</x:v>
      </x:c>
      <x:c r="H163" s="76" t="n">
        <x:v>0</x:v>
      </x:c>
      <x:c r="I163" s="76" t="n">
        <x:v>0</x:v>
      </x:c>
      <x:c r="J163" s="76" t="n">
        <x:v>46</x:v>
      </x:c>
      <x:c r="K163" s="76" t="n">
        <x:v>433</x:v>
      </x:c>
      <x:c r="L163" s="76" t="n">
        <x:v>2</x:v>
      </x:c>
      <x:c r="M163" s="76" t="n">
        <x:v>0</x:v>
      </x:c>
      <x:c r="N163" s="73" t="str">
        <x:v>https://www.thefantasyfootballers.com/2026-ultimate-draft-kit/udk-mikes-projections/?position=FLEX</x:v>
      </x:c>
    </x:row>
    <x:row r="164">
      <x:c r="A164" s="70" t="str">
        <x:v>Jalen Nailor</x:v>
      </x:c>
      <x:c r="B164" s="69" t="str">
        <x:v>WR</x:v>
      </x:c>
      <x:c r="C164" s="69" t="str">
        <x:v>LV</x:v>
      </x:c>
      <x:c r="D164" s="74" t="n">
        <x:v>13</x:v>
      </x:c>
      <x:c r="E164" s="74" t="n">
        <x:v>159</x:v>
      </x:c>
      <x:c r="F164" s="75" t="n">
        <x:v>6.1</x:v>
      </x:c>
      <x:c r="G164" s="76" t="n">
        <x:v>0</x:v>
      </x:c>
      <x:c r="H164" s="76" t="n">
        <x:v>0</x:v>
      </x:c>
      <x:c r="I164" s="76" t="n">
        <x:v>0</x:v>
      </x:c>
      <x:c r="J164" s="76" t="n">
        <x:v>32</x:v>
      </x:c>
      <x:c r="K164" s="76" t="n">
        <x:v>476</x:v>
      </x:c>
      <x:c r="L164" s="76" t="n">
        <x:v>4</x:v>
      </x:c>
      <x:c r="M164" s="76" t="n">
        <x:v>0</x:v>
      </x:c>
      <x:c r="N164" s="73" t="str">
        <x:v>https://www.thefantasyfootballers.com/2026-ultimate-draft-kit/udk-mikes-projections/?position=FLEX</x:v>
      </x:c>
    </x:row>
    <x:row r="165">
      <x:c r="A165" s="70" t="str">
        <x:v>Keon Coleman</x:v>
      </x:c>
      <x:c r="B165" s="69" t="str">
        <x:v>WR</x:v>
      </x:c>
      <x:c r="C165" s="69" t="str">
        <x:v>BUF</x:v>
      </x:c>
      <x:c r="D165" s="74" t="n">
        <x:v>7</x:v>
      </x:c>
      <x:c r="E165" s="74" t="n">
        <x:v>160</x:v>
      </x:c>
      <x:c r="F165" s="75" t="n">
        <x:v>6</x:v>
      </x:c>
      <x:c r="G165" s="76" t="n">
        <x:v>0</x:v>
      </x:c>
      <x:c r="H165" s="76" t="n">
        <x:v>0</x:v>
      </x:c>
      <x:c r="I165" s="76" t="n">
        <x:v>0</x:v>
      </x:c>
      <x:c r="J165" s="76" t="n">
        <x:v>36</x:v>
      </x:c>
      <x:c r="K165" s="76" t="n">
        <x:v>483</x:v>
      </x:c>
      <x:c r="L165" s="76" t="n">
        <x:v>3</x:v>
      </x:c>
      <x:c r="M165" s="76" t="n">
        <x:v>1</x:v>
      </x:c>
      <x:c r="N165" s="73" t="str">
        <x:v>https://www.thefantasyfootballers.com/2026-ultimate-draft-kit/udk-mikes-projections/?position=FLEX</x:v>
      </x:c>
    </x:row>
    <x:row r="166">
      <x:c r="A166" s="70" t="str">
        <x:v>Cooper Kupp</x:v>
      </x:c>
      <x:c r="B166" s="69" t="str">
        <x:v>WR</x:v>
      </x:c>
      <x:c r="C166" s="69" t="str">
        <x:v>SEA</x:v>
      </x:c>
      <x:c r="D166" s="74" t="n">
        <x:v>11</x:v>
      </x:c>
      <x:c r="E166" s="74" t="n">
        <x:v>161</x:v>
      </x:c>
      <x:c r="F166" s="75" t="n">
        <x:v>6</x:v>
      </x:c>
      <x:c r="G166" s="76" t="n">
        <x:v>0</x:v>
      </x:c>
      <x:c r="H166" s="76" t="n">
        <x:v>0</x:v>
      </x:c>
      <x:c r="I166" s="76" t="n">
        <x:v>0</x:v>
      </x:c>
      <x:c r="J166" s="76" t="n">
        <x:v>39</x:v>
      </x:c>
      <x:c r="K166" s="76" t="n">
        <x:v>462</x:v>
      </x:c>
      <x:c r="L166" s="76" t="n">
        <x:v>3</x:v>
      </x:c>
      <x:c r="M166" s="76" t="n">
        <x:v>1</x:v>
      </x:c>
      <x:c r="N166" s="73" t="str">
        <x:v>https://www.thefantasyfootballers.com/2026-ultimate-draft-kit/udk-mikes-projections/?position=FLEX</x:v>
      </x:c>
    </x:row>
    <x:row r="167">
      <x:c r="A167" s="70" t="str">
        <x:v>Evan Engram</x:v>
      </x:c>
      <x:c r="B167" s="69" t="str">
        <x:v>TE</x:v>
      </x:c>
      <x:c r="C167" s="69" t="str">
        <x:v>DEN</x:v>
      </x:c>
      <x:c r="D167" s="74" t="n">
        <x:v>10</x:v>
      </x:c>
      <x:c r="E167" s="74" t="n">
        <x:v>162</x:v>
      </x:c>
      <x:c r="F167" s="75" t="n">
        <x:v>6</x:v>
      </x:c>
      <x:c r="G167" s="76" t="n">
        <x:v>0</x:v>
      </x:c>
      <x:c r="H167" s="76" t="n">
        <x:v>0</x:v>
      </x:c>
      <x:c r="I167" s="76" t="n">
        <x:v>0</x:v>
      </x:c>
      <x:c r="J167" s="76" t="n">
        <x:v>47</x:v>
      </x:c>
      <x:c r="K167" s="76" t="n">
        <x:v>432</x:v>
      </x:c>
      <x:c r="L167" s="76" t="n">
        <x:v>2</x:v>
      </x:c>
      <x:c r="M167" s="76" t="n">
        <x:v>1</x:v>
      </x:c>
      <x:c r="N167" s="73" t="str">
        <x:v>https://www.thefantasyfootballers.com/2026-ultimate-draft-kit/udk-mikes-projections/?position=FLEX</x:v>
      </x:c>
    </x:row>
    <x:row r="168">
      <x:c r="A168" s="70" t="str">
        <x:v>Woody Marks</x:v>
      </x:c>
      <x:c r="B168" s="69" t="str">
        <x:v>RB</x:v>
      </x:c>
      <x:c r="C168" s="69" t="str">
        <x:v>HOU</x:v>
      </x:c>
      <x:c r="D168" s="74" t="n">
        <x:v>8</x:v>
      </x:c>
      <x:c r="E168" s="74" t="n">
        <x:v>163</x:v>
      </x:c>
      <x:c r="F168" s="75" t="n">
        <x:v>6</x:v>
      </x:c>
      <x:c r="G168" s="76" t="n">
        <x:v>110</x:v>
      </x:c>
      <x:c r="H168" s="76" t="n">
        <x:v>395</x:v>
      </x:c>
      <x:c r="I168" s="76" t="n">
        <x:v>2</x:v>
      </x:c>
      <x:c r="J168" s="76" t="n">
        <x:v>24</x:v>
      </x:c>
      <x:c r="K168" s="76" t="n">
        <x:v>199</x:v>
      </x:c>
      <x:c r="L168" s="76" t="n">
        <x:v>1</x:v>
      </x:c>
      <x:c r="M168" s="76" t="n">
        <x:v>1</x:v>
      </x:c>
      <x:c r="N168" s="73" t="str">
        <x:v>https://www.thefantasyfootballers.com/2026-ultimate-draft-kit/udk-mikes-projections/?position=FLEX</x:v>
      </x:c>
    </x:row>
    <x:row r="169">
      <x:c r="A169" s="70" t="str">
        <x:v>Dylan Sampson</x:v>
      </x:c>
      <x:c r="B169" s="69" t="str">
        <x:v>RB</x:v>
      </x:c>
      <x:c r="C169" s="69" t="str">
        <x:v>CLE</x:v>
      </x:c>
      <x:c r="D169" s="74" t="n">
        <x:v>11</x:v>
      </x:c>
      <x:c r="E169" s="74" t="n">
        <x:v>164</x:v>
      </x:c>
      <x:c r="F169" s="75" t="n">
        <x:v>5.8</x:v>
      </x:c>
      <x:c r="G169" s="76" t="n">
        <x:v>61</x:v>
      </x:c>
      <x:c r="H169" s="76" t="n">
        <x:v>182</x:v>
      </x:c>
      <x:c r="I169" s="76" t="n">
        <x:v>1</x:v>
      </x:c>
      <x:c r="J169" s="76" t="n">
        <x:v>36</x:v>
      </x:c>
      <x:c r="K169" s="76" t="n">
        <x:v>289</x:v>
      </x:c>
      <x:c r="L169" s="76" t="n">
        <x:v>2</x:v>
      </x:c>
      <x:c r="M169" s="76" t="n">
        <x:v>1</x:v>
      </x:c>
      <x:c r="N169" s="73" t="str">
        <x:v>https://www.thefantasyfootballers.com/2026-ultimate-draft-kit/udk-mikes-projections/?position=FLEX</x:v>
      </x:c>
    </x:row>
    <x:row r="170">
      <x:c r="A170" s="70" t="str">
        <x:v>Caleb Douglas</x:v>
      </x:c>
      <x:c r="B170" s="69" t="str">
        <x:v>WR</x:v>
      </x:c>
      <x:c r="C170" s="69" t="str">
        <x:v>MIA</x:v>
      </x:c>
      <x:c r="D170" s="74" t="n">
        <x:v>6</x:v>
      </x:c>
      <x:c r="E170" s="74" t="n">
        <x:v>165</x:v>
      </x:c>
      <x:c r="F170" s="75" t="n">
        <x:v>5.5</x:v>
      </x:c>
      <x:c r="G170" s="76" t="n">
        <x:v>0</x:v>
      </x:c>
      <x:c r="H170" s="76" t="n">
        <x:v>0</x:v>
      </x:c>
      <x:c r="I170" s="76" t="n">
        <x:v>0</x:v>
      </x:c>
      <x:c r="J170" s="76" t="n">
        <x:v>39</x:v>
      </x:c>
      <x:c r="K170" s="76" t="n">
        <x:v>406</x:v>
      </x:c>
      <x:c r="L170" s="76" t="n">
        <x:v>2</x:v>
      </x:c>
      <x:c r="M170" s="76" t="n">
        <x:v>0</x:v>
      </x:c>
      <x:c r="N170" s="73" t="str">
        <x:v>https://www.thefantasyfootballers.com/2026-ultimate-draft-kit/udk-mikes-projections/?position=FLEX</x:v>
      </x:c>
    </x:row>
    <x:row r="171">
      <x:c r="A171" s="70" t="str">
        <x:v>Jaylin Noel</x:v>
      </x:c>
      <x:c r="B171" s="69" t="str">
        <x:v>WR</x:v>
      </x:c>
      <x:c r="C171" s="69" t="str">
        <x:v>HOU</x:v>
      </x:c>
      <x:c r="D171" s="74" t="n">
        <x:v>8</x:v>
      </x:c>
      <x:c r="E171" s="74" t="n">
        <x:v>166</x:v>
      </x:c>
      <x:c r="F171" s="75" t="n">
        <x:v>5.5</x:v>
      </x:c>
      <x:c r="G171" s="76" t="n">
        <x:v>6</x:v>
      </x:c>
      <x:c r="H171" s="76" t="n">
        <x:v>12</x:v>
      </x:c>
      <x:c r="I171" s="76" t="n">
        <x:v>0</x:v>
      </x:c>
      <x:c r="J171" s="76" t="n">
        <x:v>36</x:v>
      </x:c>
      <x:c r="K171" s="76" t="n">
        <x:v>411</x:v>
      </x:c>
      <x:c r="L171" s="76" t="n">
        <x:v>3</x:v>
      </x:c>
      <x:c r="M171" s="76" t="n">
        <x:v>0</x:v>
      </x:c>
      <x:c r="N171" s="73" t="str">
        <x:v>https://www.thefantasyfootballers.com/2026-ultimate-draft-kit/udk-mikes-projections/?position=FLEX</x:v>
      </x:c>
    </x:row>
    <x:row r="172">
      <x:c r="A172" s="70" t="str">
        <x:v>Travis Hunter</x:v>
      </x:c>
      <x:c r="B172" s="69" t="str">
        <x:v>WR</x:v>
      </x:c>
      <x:c r="C172" s="69" t="str">
        <x:v>JAX</x:v>
      </x:c>
      <x:c r="D172" s="74" t="n">
        <x:v>7</x:v>
      </x:c>
      <x:c r="E172" s="74" t="n">
        <x:v>167</x:v>
      </x:c>
      <x:c r="F172" s="75" t="n">
        <x:v>5.5</x:v>
      </x:c>
      <x:c r="G172" s="76" t="n">
        <x:v>0</x:v>
      </x:c>
      <x:c r="H172" s="76" t="n">
        <x:v>0</x:v>
      </x:c>
      <x:c r="I172" s="76" t="n">
        <x:v>0</x:v>
      </x:c>
      <x:c r="J172" s="76" t="n">
        <x:v>39</x:v>
      </x:c>
      <x:c r="K172" s="76" t="n">
        <x:v>426</x:v>
      </x:c>
      <x:c r="L172" s="76" t="n">
        <x:v>2</x:v>
      </x:c>
      <x:c r="M172" s="76" t="n">
        <x:v>1</x:v>
      </x:c>
      <x:c r="N172" s="73" t="str">
        <x:v>https://www.thefantasyfootballers.com/2026-ultimate-draft-kit/udk-mikes-projections/?position=FLEX</x:v>
      </x:c>
    </x:row>
    <x:row r="173">
      <x:c r="A173" s="70" t="str">
        <x:v>Mason Taylor</x:v>
      </x:c>
      <x:c r="B173" s="69" t="str">
        <x:v>TE</x:v>
      </x:c>
      <x:c r="C173" s="69" t="str">
        <x:v>NYJ</x:v>
      </x:c>
      <x:c r="D173" s="74" t="n">
        <x:v>13</x:v>
      </x:c>
      <x:c r="E173" s="74" t="n">
        <x:v>168</x:v>
      </x:c>
      <x:c r="F173" s="75" t="n">
        <x:v>5.5</x:v>
      </x:c>
      <x:c r="G173" s="76" t="n">
        <x:v>0</x:v>
      </x:c>
      <x:c r="H173" s="76" t="n">
        <x:v>0</x:v>
      </x:c>
      <x:c r="I173" s="76" t="n">
        <x:v>0</x:v>
      </x:c>
      <x:c r="J173" s="76" t="n">
        <x:v>44</x:v>
      </x:c>
      <x:c r="K173" s="76" t="n">
        <x:v>370</x:v>
      </x:c>
      <x:c r="L173" s="76" t="n">
        <x:v>2</x:v>
      </x:c>
      <x:c r="M173" s="76" t="n">
        <x:v>0</x:v>
      </x:c>
      <x:c r="N173" s="73" t="str">
        <x:v>https://www.thefantasyfootballers.com/2026-ultimate-draft-kit/udk-mikes-projections/?position=FLEX</x:v>
      </x:c>
    </x:row>
    <x:row r="174">
      <x:c r="A174" s="70" t="str">
        <x:v>Noah Gray</x:v>
      </x:c>
      <x:c r="B174" s="69" t="str">
        <x:v>TE</x:v>
      </x:c>
      <x:c r="C174" s="69" t="str">
        <x:v>KC</x:v>
      </x:c>
      <x:c r="D174" s="74" t="n">
        <x:v>5</x:v>
      </x:c>
      <x:c r="E174" s="74" t="n">
        <x:v>169</x:v>
      </x:c>
      <x:c r="F174" s="75" t="n">
        <x:v>5.5</x:v>
      </x:c>
      <x:c r="G174" s="76" t="n">
        <x:v>0</x:v>
      </x:c>
      <x:c r="H174" s="76" t="n">
        <x:v>0</x:v>
      </x:c>
      <x:c r="I174" s="76" t="n">
        <x:v>0</x:v>
      </x:c>
      <x:c r="J174" s="76" t="n">
        <x:v>38</x:v>
      </x:c>
      <x:c r="K174" s="76" t="n">
        <x:v>386</x:v>
      </x:c>
      <x:c r="L174" s="76" t="n">
        <x:v>3</x:v>
      </x:c>
      <x:c r="M174" s="76" t="n">
        <x:v>0</x:v>
      </x:c>
      <x:c r="N174" s="73" t="str">
        <x:v>https://www.thefantasyfootballers.com/2026-ultimate-draft-kit/udk-mikes-projections/?position=FLEX</x:v>
      </x:c>
    </x:row>
    <x:row r="175">
      <x:c r="A175" s="70" t="str">
        <x:v>Adonai Mitchell</x:v>
      </x:c>
      <x:c r="B175" s="69" t="str">
        <x:v>WR</x:v>
      </x:c>
      <x:c r="C175" s="69" t="str">
        <x:v>NYJ</x:v>
      </x:c>
      <x:c r="D175" s="74" t="n">
        <x:v>13</x:v>
      </x:c>
      <x:c r="E175" s="74" t="n">
        <x:v>170</x:v>
      </x:c>
      <x:c r="F175" s="75" t="n">
        <x:v>5.4</x:v>
      </x:c>
      <x:c r="G175" s="76" t="n">
        <x:v>0</x:v>
      </x:c>
      <x:c r="H175" s="76" t="n">
        <x:v>0</x:v>
      </x:c>
      <x:c r="I175" s="76" t="n">
        <x:v>0</x:v>
      </x:c>
      <x:c r="J175" s="76" t="n">
        <x:v>35</x:v>
      </x:c>
      <x:c r="K175" s="76" t="n">
        <x:v>465</x:v>
      </x:c>
      <x:c r="L175" s="76" t="n">
        <x:v>2</x:v>
      </x:c>
      <x:c r="M175" s="76" t="n">
        <x:v>1</x:v>
      </x:c>
      <x:c r="N175" s="73" t="str">
        <x:v>https://www.thefantasyfootballers.com/2026-ultimate-draft-kit/udk-mikes-projections/?position=FLEX</x:v>
      </x:c>
    </x:row>
    <x:row r="176">
      <x:c r="A176" s="70" t="str">
        <x:v>Chris Bell</x:v>
      </x:c>
      <x:c r="B176" s="69" t="str">
        <x:v>WR</x:v>
      </x:c>
      <x:c r="C176" s="69" t="str">
        <x:v>MIA</x:v>
      </x:c>
      <x:c r="D176" s="74" t="n">
        <x:v>6</x:v>
      </x:c>
      <x:c r="E176" s="74" t="n">
        <x:v>171</x:v>
      </x:c>
      <x:c r="F176" s="75" t="n">
        <x:v>5.2</x:v>
      </x:c>
      <x:c r="G176" s="76" t="n">
        <x:v>0</x:v>
      </x:c>
      <x:c r="H176" s="76" t="n">
        <x:v>0</x:v>
      </x:c>
      <x:c r="I176" s="76" t="n">
        <x:v>0</x:v>
      </x:c>
      <x:c r="J176" s="76" t="n">
        <x:v>33</x:v>
      </x:c>
      <x:c r="K176" s="76" t="n">
        <x:v>406</x:v>
      </x:c>
      <x:c r="L176" s="76" t="n">
        <x:v>2</x:v>
      </x:c>
      <x:c r="M176" s="76" t="n">
        <x:v>0</x:v>
      </x:c>
      <x:c r="N176" s="73" t="str">
        <x:v>https://www.thefantasyfootballers.com/2026-ultimate-draft-kit/udk-mikes-projections/?position=FLEX</x:v>
      </x:c>
    </x:row>
    <x:row r="177">
      <x:c r="A177" s="70" t="str">
        <x:v>Dawson Knox</x:v>
      </x:c>
      <x:c r="B177" s="69" t="str">
        <x:v>TE</x:v>
      </x:c>
      <x:c r="C177" s="69" t="str">
        <x:v>BUF</x:v>
      </x:c>
      <x:c r="D177" s="74" t="n">
        <x:v>7</x:v>
      </x:c>
      <x:c r="E177" s="74" t="n">
        <x:v>172</x:v>
      </x:c>
      <x:c r="F177" s="75" t="n">
        <x:v>5.1</x:v>
      </x:c>
      <x:c r="G177" s="76" t="n">
        <x:v>0</x:v>
      </x:c>
      <x:c r="H177" s="76" t="n">
        <x:v>0</x:v>
      </x:c>
      <x:c r="I177" s="76" t="n">
        <x:v>0</x:v>
      </x:c>
      <x:c r="J177" s="76" t="n">
        <x:v>31</x:v>
      </x:c>
      <x:c r="K177" s="76" t="n">
        <x:v>360</x:v>
      </x:c>
      <x:c r="L177" s="76" t="n">
        <x:v>3</x:v>
      </x:c>
      <x:c r="M177" s="76" t="n">
        <x:v>0</x:v>
      </x:c>
      <x:c r="N177" s="73" t="str">
        <x:v>https://www.thefantasyfootballers.com/2026-ultimate-draft-kit/udk-mikes-projections/?position=FLEX</x:v>
      </x:c>
    </x:row>
    <x:row r="178">
      <x:c r="A178" s="70" t="str">
        <x:v>Charlie Kolar</x:v>
      </x:c>
      <x:c r="B178" s="69" t="str">
        <x:v>TE</x:v>
      </x:c>
      <x:c r="C178" s="69" t="str">
        <x:v>LAC</x:v>
      </x:c>
      <x:c r="D178" s="74" t="n">
        <x:v>7</x:v>
      </x:c>
      <x:c r="E178" s="74" t="n">
        <x:v>173</x:v>
      </x:c>
      <x:c r="F178" s="75" t="n">
        <x:v>5</x:v>
      </x:c>
      <x:c r="G178" s="76" t="n">
        <x:v>0</x:v>
      </x:c>
      <x:c r="H178" s="76" t="n">
        <x:v>0</x:v>
      </x:c>
      <x:c r="I178" s="76" t="n">
        <x:v>0</x:v>
      </x:c>
      <x:c r="J178" s="76" t="n">
        <x:v>33</x:v>
      </x:c>
      <x:c r="K178" s="76" t="n">
        <x:v>376</x:v>
      </x:c>
      <x:c r="L178" s="76" t="n">
        <x:v>3</x:v>
      </x:c>
      <x:c r="M178" s="76" t="n">
        <x:v>0</x:v>
      </x:c>
      <x:c r="N178" s="73" t="str">
        <x:v>https://www.thefantasyfootballers.com/2026-ultimate-draft-kit/udk-mikes-projections/?position=FLEX</x:v>
      </x:c>
    </x:row>
    <x:row r="179">
      <x:c r="A179" s="70" t="str">
        <x:v>Xavier Hutchinson</x:v>
      </x:c>
      <x:c r="B179" s="69" t="str">
        <x:v>WR</x:v>
      </x:c>
      <x:c r="C179" s="69" t="str">
        <x:v>HOU</x:v>
      </x:c>
      <x:c r="D179" s="74" t="n">
        <x:v>8</x:v>
      </x:c>
      <x:c r="E179" s="74" t="n">
        <x:v>174</x:v>
      </x:c>
      <x:c r="F179" s="75" t="n">
        <x:v>5</x:v>
      </x:c>
      <x:c r="G179" s="76" t="n">
        <x:v>2</x:v>
      </x:c>
      <x:c r="H179" s="76" t="n">
        <x:v>21</x:v>
      </x:c>
      <x:c r="I179" s="76" t="n">
        <x:v>0</x:v>
      </x:c>
      <x:c r="J179" s="76" t="n">
        <x:v>32</x:v>
      </x:c>
      <x:c r="K179" s="76" t="n">
        <x:v>372</x:v>
      </x:c>
      <x:c r="L179" s="76" t="n">
        <x:v>2</x:v>
      </x:c>
      <x:c r="M179" s="76" t="n">
        <x:v>0</x:v>
      </x:c>
      <x:c r="N179" s="73" t="str">
        <x:v>https://www.thefantasyfootballers.com/2026-ultimate-draft-kit/udk-mikes-projections/?position=FLEX</x:v>
      </x:c>
    </x:row>
    <x:row r="180">
      <x:c r="A180" s="70" t="str">
        <x:v>Colby Parkinson</x:v>
      </x:c>
      <x:c r="B180" s="69" t="str">
        <x:v>TE</x:v>
      </x:c>
      <x:c r="C180" s="69" t="str">
        <x:v>LAR</x:v>
      </x:c>
      <x:c r="D180" s="74" t="n">
        <x:v>11</x:v>
      </x:c>
      <x:c r="E180" s="74" t="n">
        <x:v>175</x:v>
      </x:c>
      <x:c r="F180" s="75" t="n">
        <x:v>4.9</x:v>
      </x:c>
      <x:c r="G180" s="76" t="n">
        <x:v>0</x:v>
      </x:c>
      <x:c r="H180" s="76" t="n">
        <x:v>0</x:v>
      </x:c>
      <x:c r="I180" s="76" t="n">
        <x:v>0</x:v>
      </x:c>
      <x:c r="J180" s="76" t="n">
        <x:v>33</x:v>
      </x:c>
      <x:c r="K180" s="76" t="n">
        <x:v>334</x:v>
      </x:c>
      <x:c r="L180" s="76" t="n">
        <x:v>3</x:v>
      </x:c>
      <x:c r="M180" s="76" t="n">
        <x:v>0</x:v>
      </x:c>
      <x:c r="N180" s="73" t="str">
        <x:v>https://www.thefantasyfootballers.com/2026-ultimate-draft-kit/udk-mikes-projections/?position=FLEX</x:v>
      </x:c>
    </x:row>
    <x:row r="181">
      <x:c r="A181" s="70" t="str">
        <x:v>Terrance Ferguson</x:v>
      </x:c>
      <x:c r="B181" s="69" t="str">
        <x:v>TE</x:v>
      </x:c>
      <x:c r="C181" s="69" t="str">
        <x:v>LAR</x:v>
      </x:c>
      <x:c r="D181" s="74" t="n">
        <x:v>11</x:v>
      </x:c>
      <x:c r="E181" s="74" t="n">
        <x:v>176</x:v>
      </x:c>
      <x:c r="F181" s="75" t="n">
        <x:v>4.8</x:v>
      </x:c>
      <x:c r="G181" s="76" t="n">
        <x:v>0</x:v>
      </x:c>
      <x:c r="H181" s="76" t="n">
        <x:v>0</x:v>
      </x:c>
      <x:c r="I181" s="76" t="n">
        <x:v>0</x:v>
      </x:c>
      <x:c r="J181" s="76" t="n">
        <x:v>25</x:v>
      </x:c>
      <x:c r="K181" s="76" t="n">
        <x:v>388</x:v>
      </x:c>
      <x:c r="L181" s="76" t="n">
        <x:v>3</x:v>
      </x:c>
      <x:c r="M181" s="76" t="n">
        <x:v>0</x:v>
      </x:c>
      <x:c r="N181" s="73" t="str">
        <x:v>https://www.thefantasyfootballers.com/2026-ultimate-draft-kit/udk-mikes-projections/?position=FLEX</x:v>
      </x:c>
    </x:row>
    <x:row r="182">
      <x:c r="A182" s="70" t="str">
        <x:v>Tyrone Tracy Jr.</x:v>
      </x:c>
      <x:c r="B182" s="69" t="str">
        <x:v>RB</x:v>
      </x:c>
      <x:c r="C182" s="69" t="str">
        <x:v>NYG</x:v>
      </x:c>
      <x:c r="D182" s="74" t="n">
        <x:v>8</x:v>
      </x:c>
      <x:c r="E182" s="74" t="n">
        <x:v>177</x:v>
      </x:c>
      <x:c r="F182" s="75" t="n">
        <x:v>4.8</x:v>
      </x:c>
      <x:c r="G182" s="76" t="n">
        <x:v>103</x:v>
      </x:c>
      <x:c r="H182" s="76" t="n">
        <x:v>442</x:v>
      </x:c>
      <x:c r="I182" s="76" t="n">
        <x:v>2</x:v>
      </x:c>
      <x:c r="J182" s="76" t="n">
        <x:v>14</x:v>
      </x:c>
      <x:c r="K182" s="76" t="n">
        <x:v>112</x:v>
      </x:c>
      <x:c r="L182" s="76" t="n">
        <x:v>1</x:v>
      </x:c>
      <x:c r="M182" s="76" t="n">
        <x:v>2</x:v>
      </x:c>
      <x:c r="N182" s="73" t="str">
        <x:v>https://www.thefantasyfootballers.com/2026-ultimate-draft-kit/udk-mikes-projections/?position=FLEX</x:v>
      </x:c>
    </x:row>
    <x:row r="183">
      <x:c r="A183" s="70" t="str">
        <x:v>Brian Robinson</x:v>
      </x:c>
      <x:c r="B183" s="69" t="str">
        <x:v>RB</x:v>
      </x:c>
      <x:c r="C183" s="69" t="str">
        <x:v>ATL</x:v>
      </x:c>
      <x:c r="D183" s="74" t="n">
        <x:v>11</x:v>
      </x:c>
      <x:c r="E183" s="74" t="n">
        <x:v>178</x:v>
      </x:c>
      <x:c r="F183" s="75" t="n">
        <x:v>4.8</x:v>
      </x:c>
      <x:c r="G183" s="76" t="n">
        <x:v>95</x:v>
      </x:c>
      <x:c r="H183" s="76" t="n">
        <x:v>397</x:v>
      </x:c>
      <x:c r="I183" s="76" t="n">
        <x:v>3</x:v>
      </x:c>
      <x:c r="J183" s="76" t="n">
        <x:v>14</x:v>
      </x:c>
      <x:c r="K183" s="76" t="n">
        <x:v>112</x:v>
      </x:c>
      <x:c r="L183" s="76" t="n">
        <x:v>1</x:v>
      </x:c>
      <x:c r="M183" s="76" t="n">
        <x:v>1</x:v>
      </x:c>
      <x:c r="N183" s="73" t="str">
        <x:v>https://www.thefantasyfootballers.com/2026-ultimate-draft-kit/udk-mikes-projections/?position=FLEX</x:v>
      </x:c>
    </x:row>
    <x:row r="184">
      <x:c r="A184" s="70" t="str">
        <x:v>Justice Hill</x:v>
      </x:c>
      <x:c r="B184" s="69" t="str">
        <x:v>RB</x:v>
      </x:c>
      <x:c r="C184" s="69" t="str">
        <x:v>BAL</x:v>
      </x:c>
      <x:c r="D184" s="74" t="n">
        <x:v>13</x:v>
      </x:c>
      <x:c r="E184" s="74" t="n">
        <x:v>179</x:v>
      </x:c>
      <x:c r="F184" s="75" t="n">
        <x:v>4.8</x:v>
      </x:c>
      <x:c r="G184" s="76" t="n">
        <x:v>20</x:v>
      </x:c>
      <x:c r="H184" s="76" t="n">
        <x:v>97</x:v>
      </x:c>
      <x:c r="I184" s="76" t="n">
        <x:v>1</x:v>
      </x:c>
      <x:c r="J184" s="76" t="n">
        <x:v>35</x:v>
      </x:c>
      <x:c r="K184" s="76" t="n">
        <x:v>274</x:v>
      </x:c>
      <x:c r="L184" s="76" t="n">
        <x:v>1</x:v>
      </x:c>
      <x:c r="M184" s="76" t="n">
        <x:v>1</x:v>
      </x:c>
      <x:c r="N184" s="73" t="str">
        <x:v>https://www.thefantasyfootballers.com/2026-ultimate-draft-kit/udk-mikes-projections/?position=FLEX</x:v>
      </x:c>
    </x:row>
    <x:row r="185">
      <x:c r="A185" s="70" t="str">
        <x:v>Zach Charbonnet</x:v>
      </x:c>
      <x:c r="B185" s="69" t="str">
        <x:v>RB</x:v>
      </x:c>
      <x:c r="C185" s="69" t="str">
        <x:v>SEA</x:v>
      </x:c>
      <x:c r="D185" s="74" t="n">
        <x:v>11</x:v>
      </x:c>
      <x:c r="E185" s="74" t="n">
        <x:v>180</x:v>
      </x:c>
      <x:c r="F185" s="75" t="n">
        <x:v>4.8</x:v>
      </x:c>
      <x:c r="G185" s="76" t="n">
        <x:v>73</x:v>
      </x:c>
      <x:c r="H185" s="76" t="n">
        <x:v>300</x:v>
      </x:c>
      <x:c r="I185" s="76" t="n">
        <x:v>3</x:v>
      </x:c>
      <x:c r="J185" s="76" t="n">
        <x:v>18</x:v>
      </x:c>
      <x:c r="K185" s="76" t="n">
        <x:v>124</x:v>
      </x:c>
      <x:c r="L185" s="76" t="n">
        <x:v>1</x:v>
      </x:c>
      <x:c r="M185" s="76" t="n">
        <x:v>0</x:v>
      </x:c>
      <x:c r="N185" s="73" t="str">
        <x:v>https://www.thefantasyfootballers.com/2026-ultimate-draft-kit/udk-mikes-projections/?position=FLEX</x:v>
      </x:c>
    </x:row>
    <x:row r="186">
      <x:c r="A186" s="70" t="str">
        <x:v>Tyquan Thornton</x:v>
      </x:c>
      <x:c r="B186" s="69" t="str">
        <x:v>WR</x:v>
      </x:c>
      <x:c r="C186" s="69" t="str">
        <x:v>KC</x:v>
      </x:c>
      <x:c r="D186" s="74" t="n">
        <x:v>5</x:v>
      </x:c>
      <x:c r="E186" s="74" t="n">
        <x:v>181</x:v>
      </x:c>
      <x:c r="F186" s="75" t="n">
        <x:v>4.7</x:v>
      </x:c>
      <x:c r="G186" s="76" t="n">
        <x:v>0</x:v>
      </x:c>
      <x:c r="H186" s="76" t="n">
        <x:v>0</x:v>
      </x:c>
      <x:c r="I186" s="76" t="n">
        <x:v>0</x:v>
      </x:c>
      <x:c r="J186" s="76" t="n">
        <x:v>26</x:v>
      </x:c>
      <x:c r="K186" s="76" t="n">
        <x:v>396</x:v>
      </x:c>
      <x:c r="L186" s="76" t="n">
        <x:v>2</x:v>
      </x:c>
      <x:c r="M186" s="76" t="n">
        <x:v>0</x:v>
      </x:c>
      <x:c r="N186" s="73" t="str">
        <x:v>https://www.thefantasyfootballers.com/2026-ultimate-draft-kit/udk-mikes-projections/?position=FLEX</x:v>
      </x:c>
    </x:row>
    <x:row r="187">
      <x:c r="A187" s="70" t="str">
        <x:v>Isaac TeSlaa</x:v>
      </x:c>
      <x:c r="B187" s="69" t="str">
        <x:v>WR</x:v>
      </x:c>
      <x:c r="C187" s="69" t="str">
        <x:v>DET</x:v>
      </x:c>
      <x:c r="D187" s="74" t="n">
        <x:v>6</x:v>
      </x:c>
      <x:c r="E187" s="74" t="n">
        <x:v>182</x:v>
      </x:c>
      <x:c r="F187" s="75" t="n">
        <x:v>4.7</x:v>
      </x:c>
      <x:c r="G187" s="76" t="n">
        <x:v>0</x:v>
      </x:c>
      <x:c r="H187" s="76" t="n">
        <x:v>0</x:v>
      </x:c>
      <x:c r="I187" s="76" t="n">
        <x:v>0</x:v>
      </x:c>
      <x:c r="J187" s="76" t="n">
        <x:v>25</x:v>
      </x:c>
      <x:c r="K187" s="76" t="n">
        <x:v>355</x:v>
      </x:c>
      <x:c r="L187" s="76" t="n">
        <x:v>3</x:v>
      </x:c>
      <x:c r="M187" s="76" t="n">
        <x:v>0</x:v>
      </x:c>
      <x:c r="N187" s="73" t="str">
        <x:v>https://www.thefantasyfootballers.com/2026-ultimate-draft-kit/udk-mikes-projections/?position=FLEX</x:v>
      </x:c>
    </x:row>
    <x:row r="188">
      <x:c r="A188" s="70" t="str">
        <x:v>Jack Bech</x:v>
      </x:c>
      <x:c r="B188" s="69" t="str">
        <x:v>WR</x:v>
      </x:c>
      <x:c r="C188" s="69" t="str">
        <x:v>LV</x:v>
      </x:c>
      <x:c r="D188" s="74" t="n">
        <x:v>13</x:v>
      </x:c>
      <x:c r="E188" s="74" t="n">
        <x:v>183</x:v>
      </x:c>
      <x:c r="F188" s="75" t="n">
        <x:v>4.6</x:v>
      </x:c>
      <x:c r="G188" s="76" t="n">
        <x:v>0</x:v>
      </x:c>
      <x:c r="H188" s="76" t="n">
        <x:v>0</x:v>
      </x:c>
      <x:c r="I188" s="76" t="n">
        <x:v>0</x:v>
      </x:c>
      <x:c r="J188" s="76" t="n">
        <x:v>31</x:v>
      </x:c>
      <x:c r="K188" s="76" t="n">
        <x:v>351</x:v>
      </x:c>
      <x:c r="L188" s="76" t="n">
        <x:v>2</x:v>
      </x:c>
      <x:c r="M188" s="76" t="n">
        <x:v>0</x:v>
      </x:c>
      <x:c r="N188" s="73" t="str">
        <x:v>https://www.thefantasyfootballers.com/2026-ultimate-draft-kit/udk-mikes-projections/?position=FLEX</x:v>
      </x:c>
    </x:row>
    <x:row r="189">
      <x:c r="A189" s="70" t="str">
        <x:v>Alvin Kamara</x:v>
      </x:c>
      <x:c r="B189" s="69" t="str">
        <x:v>RB</x:v>
      </x:c>
      <x:c r="C189" s="69" t="str">
        <x:v>NO</x:v>
      </x:c>
      <x:c r="D189" s="74" t="n">
        <x:v>8</x:v>
      </x:c>
      <x:c r="E189" s="74" t="n">
        <x:v>184</x:v>
      </x:c>
      <x:c r="F189" s="75" t="n">
        <x:v>4.6</x:v>
      </x:c>
      <x:c r="G189" s="76" t="n">
        <x:v>71</x:v>
      </x:c>
      <x:c r="H189" s="76" t="n">
        <x:v>276</x:v>
      </x:c>
      <x:c r="I189" s="76" t="n">
        <x:v>2</x:v>
      </x:c>
      <x:c r="J189" s="76" t="n">
        <x:v>20</x:v>
      </x:c>
      <x:c r="K189" s="76" t="n">
        <x:v>152</x:v>
      </x:c>
      <x:c r="L189" s="76" t="n">
        <x:v>1</x:v>
      </x:c>
      <x:c r="M189" s="76" t="n">
        <x:v>2</x:v>
      </x:c>
      <x:c r="N189" s="73" t="str">
        <x:v>https://www.thefantasyfootballers.com/2026-ultimate-draft-kit/udk-mikes-projections/?position=FLEX</x:v>
      </x:c>
    </x:row>
    <x:row r="190">
      <x:c r="A190" s="70" t="str">
        <x:v>Darren Waller</x:v>
      </x:c>
      <x:c r="B190" s="69" t="str">
        <x:v>TE</x:v>
      </x:c>
      <x:c r="C190" s="69" t="str">
        <x:v>CAR</x:v>
      </x:c>
      <x:c r="D190" s="74" t="n">
        <x:v>5</x:v>
      </x:c>
      <x:c r="E190" s="74" t="n">
        <x:v>185</x:v>
      </x:c>
      <x:c r="F190" s="75" t="n">
        <x:v>4.5</x:v>
      </x:c>
      <x:c r="G190" s="76" t="n">
        <x:v>0</x:v>
      </x:c>
      <x:c r="H190" s="76" t="n">
        <x:v>0</x:v>
      </x:c>
      <x:c r="I190" s="76" t="n">
        <x:v>0</x:v>
      </x:c>
      <x:c r="J190" s="76" t="n">
        <x:v>32</x:v>
      </x:c>
      <x:c r="K190" s="76" t="n">
        <x:v>319</x:v>
      </x:c>
      <x:c r="L190" s="76" t="n">
        <x:v>2</x:v>
      </x:c>
      <x:c r="M190" s="76" t="n">
        <x:v>0</x:v>
      </x:c>
      <x:c r="N190" s="73" t="str">
        <x:v>https://www.thefantasyfootballers.com/2026-ultimate-draft-kit/udk-mikes-projections/?position=FLEX</x:v>
      </x:c>
    </x:row>
    <x:row r="191">
      <x:c r="A191" s="70" t="str">
        <x:v>Andrei Iosivas</x:v>
      </x:c>
      <x:c r="B191" s="69" t="str">
        <x:v>WR</x:v>
      </x:c>
      <x:c r="C191" s="69" t="str">
        <x:v>CIN</x:v>
      </x:c>
      <x:c r="D191" s="74" t="n">
        <x:v>6</x:v>
      </x:c>
      <x:c r="E191" s="74" t="n">
        <x:v>186</x:v>
      </x:c>
      <x:c r="F191" s="75" t="n">
        <x:v>4.5</x:v>
      </x:c>
      <x:c r="G191" s="76" t="n">
        <x:v>0</x:v>
      </x:c>
      <x:c r="H191" s="76" t="n">
        <x:v>0</x:v>
      </x:c>
      <x:c r="I191" s="76" t="n">
        <x:v>0</x:v>
      </x:c>
      <x:c r="J191" s="76" t="n">
        <x:v>26</x:v>
      </x:c>
      <x:c r="K191" s="76" t="n">
        <x:v>330</x:v>
      </x:c>
      <x:c r="L191" s="76" t="n">
        <x:v>3</x:v>
      </x:c>
      <x:c r="M191" s="76" t="n">
        <x:v>0</x:v>
      </x:c>
      <x:c r="N191" s="73" t="str">
        <x:v>https://www.thefantasyfootballers.com/2026-ultimate-draft-kit/udk-mikes-projections/?position=FLEX</x:v>
      </x:c>
    </x:row>
    <x:row r="192">
      <x:c r="A192" s="70" t="str">
        <x:v>Ja'Tavion Sanders</x:v>
      </x:c>
      <x:c r="B192" s="69" t="str">
        <x:v>TE</x:v>
      </x:c>
      <x:c r="C192" s="69" t="str">
        <x:v>CAR</x:v>
      </x:c>
      <x:c r="D192" s="74" t="n">
        <x:v>5</x:v>
      </x:c>
      <x:c r="E192" s="74" t="n">
        <x:v>187</x:v>
      </x:c>
      <x:c r="F192" s="75" t="n">
        <x:v>4.5</x:v>
      </x:c>
      <x:c r="G192" s="76" t="n">
        <x:v>0</x:v>
      </x:c>
      <x:c r="H192" s="76" t="n">
        <x:v>0</x:v>
      </x:c>
      <x:c r="I192" s="76" t="n">
        <x:v>0</x:v>
      </x:c>
      <x:c r="J192" s="76" t="n">
        <x:v>36</x:v>
      </x:c>
      <x:c r="K192" s="76" t="n">
        <x:v>301</x:v>
      </x:c>
      <x:c r="L192" s="76" t="n">
        <x:v>2</x:v>
      </x:c>
      <x:c r="M192" s="76" t="n">
        <x:v>0</x:v>
      </x:c>
      <x:c r="N192" s="73" t="str">
        <x:v>https://www.thefantasyfootballers.com/2026-ultimate-draft-kit/udk-mikes-projections/?position=FLEX</x:v>
      </x:c>
    </x:row>
    <x:row r="193">
      <x:c r="A193" s="70" t="str">
        <x:v>Emmett Johnson</x:v>
      </x:c>
      <x:c r="B193" s="69" t="str">
        <x:v>RB</x:v>
      </x:c>
      <x:c r="C193" s="69" t="str">
        <x:v>KC</x:v>
      </x:c>
      <x:c r="D193" s="74" t="n">
        <x:v>5</x:v>
      </x:c>
      <x:c r="E193" s="74" t="n">
        <x:v>188</x:v>
      </x:c>
      <x:c r="F193" s="75" t="n">
        <x:v>4.4</x:v>
      </x:c>
      <x:c r="G193" s="76" t="n">
        <x:v>95</x:v>
      </x:c>
      <x:c r="H193" s="76" t="n">
        <x:v>409</x:v>
      </x:c>
      <x:c r="I193" s="76" t="n">
        <x:v>3</x:v>
      </x:c>
      <x:c r="J193" s="76" t="n">
        <x:v>9</x:v>
      </x:c>
      <x:c r="K193" s="76" t="n">
        <x:v>65</x:v>
      </x:c>
      <x:c r="L193" s="76" t="n">
        <x:v>0</x:v>
      </x:c>
      <x:c r="M193" s="76" t="n">
        <x:v>0</x:v>
      </x:c>
      <x:c r="N193" s="73" t="str">
        <x:v>https://www.thefantasyfootballers.com/2026-ultimate-draft-kit/udk-mikes-projections/?position=FLEX</x:v>
      </x:c>
    </x:row>
    <x:row r="194">
      <x:c r="A194" s="70" t="str">
        <x:v>Jerome Ford</x:v>
      </x:c>
      <x:c r="B194" s="69" t="str">
        <x:v>RB</x:v>
      </x:c>
      <x:c r="C194" s="69" t="str">
        <x:v>FA</x:v>
      </x:c>
      <x:c r="D194" s="74"/>
      <x:c r="E194" s="74" t="n">
        <x:v>189</x:v>
      </x:c>
      <x:c r="F194" s="75" t="n">
        <x:v>4.4</x:v>
      </x:c>
      <x:c r="G194" s="76" t="n">
        <x:v>19</x:v>
      </x:c>
      <x:c r="H194" s="76" t="n">
        <x:v>86</x:v>
      </x:c>
      <x:c r="I194" s="76" t="n">
        <x:v>1</x:v>
      </x:c>
      <x:c r="J194" s="76" t="n">
        <x:v>35</x:v>
      </x:c>
      <x:c r="K194" s="76" t="n">
        <x:v>208</x:v>
      </x:c>
      <x:c r="L194" s="76" t="n">
        <x:v>1</x:v>
      </x:c>
      <x:c r="M194" s="76" t="n">
        <x:v>0</x:v>
      </x:c>
      <x:c r="N194" s="73" t="str">
        <x:v>https://www.thefantasyfootballers.com/2026-ultimate-draft-kit/udk-mikes-projections/?position=FLEX</x:v>
      </x:c>
    </x:row>
    <x:row r="195">
      <x:c r="A195" s="70" t="str">
        <x:v>Tory Horton</x:v>
      </x:c>
      <x:c r="B195" s="69" t="str">
        <x:v>WR</x:v>
      </x:c>
      <x:c r="C195" s="69" t="str">
        <x:v>SEA</x:v>
      </x:c>
      <x:c r="D195" s="74" t="n">
        <x:v>11</x:v>
      </x:c>
      <x:c r="E195" s="74" t="n">
        <x:v>190</x:v>
      </x:c>
      <x:c r="F195" s="75" t="n">
        <x:v>4.4</x:v>
      </x:c>
      <x:c r="G195" s="76" t="n">
        <x:v>0</x:v>
      </x:c>
      <x:c r="H195" s="76" t="n">
        <x:v>0</x:v>
      </x:c>
      <x:c r="I195" s="76" t="n">
        <x:v>0</x:v>
      </x:c>
      <x:c r="J195" s="76" t="n">
        <x:v>28</x:v>
      </x:c>
      <x:c r="K195" s="76" t="n">
        <x:v>340</x:v>
      </x:c>
      <x:c r="L195" s="76" t="n">
        <x:v>2</x:v>
      </x:c>
      <x:c r="M195" s="76" t="n">
        <x:v>0</x:v>
      </x:c>
      <x:c r="N195" s="73" t="str">
        <x:v>https://www.thefantasyfootballers.com/2026-ultimate-draft-kit/udk-mikes-projections/?position=FLEX</x:v>
      </x:c>
    </x:row>
    <x:row r="196">
      <x:c r="A196" s="70" t="str">
        <x:v>Chris Brooks</x:v>
      </x:c>
      <x:c r="B196" s="69" t="str">
        <x:v>RB</x:v>
      </x:c>
      <x:c r="C196" s="69" t="str">
        <x:v>GB</x:v>
      </x:c>
      <x:c r="D196" s="74" t="n">
        <x:v>11</x:v>
      </x:c>
      <x:c r="E196" s="74" t="n">
        <x:v>191</x:v>
      </x:c>
      <x:c r="F196" s="75" t="n">
        <x:v>4.4</x:v>
      </x:c>
      <x:c r="G196" s="76" t="n">
        <x:v>96</x:v>
      </x:c>
      <x:c r="H196" s="76" t="n">
        <x:v>411</x:v>
      </x:c>
      <x:c r="I196" s="76" t="n">
        <x:v>3</x:v>
      </x:c>
      <x:c r="J196" s="76" t="n">
        <x:v>8</x:v>
      </x:c>
      <x:c r="K196" s="76" t="n">
        <x:v>57</x:v>
      </x:c>
      <x:c r="L196" s="76" t="n">
        <x:v>0</x:v>
      </x:c>
      <x:c r="M196" s="76" t="n">
        <x:v>0</x:v>
      </x:c>
      <x:c r="N196" s="73" t="str">
        <x:v>https://www.thefantasyfootballers.com/2026-ultimate-draft-kit/udk-mikes-projections/?position=FLEX</x:v>
      </x:c>
    </x:row>
    <x:row r="197">
      <x:c r="A197" s="70" t="str">
        <x:v>Kaelon Black</x:v>
      </x:c>
      <x:c r="B197" s="69" t="str">
        <x:v>RB</x:v>
      </x:c>
      <x:c r="C197" s="69" t="str">
        <x:v>SF</x:v>
      </x:c>
      <x:c r="D197" s="74" t="n">
        <x:v>8</x:v>
      </x:c>
      <x:c r="E197" s="74" t="n">
        <x:v>192</x:v>
      </x:c>
      <x:c r="F197" s="75" t="n">
        <x:v>4.3</x:v>
      </x:c>
      <x:c r="G197" s="76" t="n">
        <x:v>93</x:v>
      </x:c>
      <x:c r="H197" s="76" t="n">
        <x:v>401</x:v>
      </x:c>
      <x:c r="I197" s="76" t="n">
        <x:v>3</x:v>
      </x:c>
      <x:c r="J197" s="76" t="n">
        <x:v>9</x:v>
      </x:c>
      <x:c r="K197" s="76" t="n">
        <x:v>60</x:v>
      </x:c>
      <x:c r="L197" s="76" t="n">
        <x:v>0</x:v>
      </x:c>
      <x:c r="M197" s="76" t="n">
        <x:v>0</x:v>
      </x:c>
      <x:c r="N197" s="73" t="str">
        <x:v>https://www.thefantasyfootballers.com/2026-ultimate-draft-kit/udk-mikes-projections/?position=FLEX</x:v>
      </x:c>
    </x:row>
    <x:row r="198">
      <x:c r="A198" s="70" t="str">
        <x:v>Eli Stowers</x:v>
      </x:c>
      <x:c r="B198" s="69" t="str">
        <x:v>TE</x:v>
      </x:c>
      <x:c r="C198" s="69" t="str">
        <x:v>PHI</x:v>
      </x:c>
      <x:c r="D198" s="74" t="n">
        <x:v>10</x:v>
      </x:c>
      <x:c r="E198" s="74" t="n">
        <x:v>193</x:v>
      </x:c>
      <x:c r="F198" s="75" t="n">
        <x:v>4.3</x:v>
      </x:c>
      <x:c r="G198" s="76" t="n">
        <x:v>0</x:v>
      </x:c>
      <x:c r="H198" s="76" t="n">
        <x:v>0</x:v>
      </x:c>
      <x:c r="I198" s="76" t="n">
        <x:v>0</x:v>
      </x:c>
      <x:c r="J198" s="76" t="n">
        <x:v>28</x:v>
      </x:c>
      <x:c r="K198" s="76" t="n">
        <x:v>323</x:v>
      </x:c>
      <x:c r="L198" s="76" t="n">
        <x:v>2</x:v>
      </x:c>
      <x:c r="M198" s="76" t="n">
        <x:v>0</x:v>
      </x:c>
      <x:c r="N198" s="73" t="str">
        <x:v>https://www.thefantasyfootballers.com/2026-ultimate-draft-kit/udk-mikes-projections/?position=FLEX</x:v>
      </x:c>
    </x:row>
    <x:row r="199">
      <x:c r="A199" s="70" t="str">
        <x:v>Jahan Dotson</x:v>
      </x:c>
      <x:c r="B199" s="69" t="str">
        <x:v>WR</x:v>
      </x:c>
      <x:c r="C199" s="69" t="str">
        <x:v>ATL</x:v>
      </x:c>
      <x:c r="D199" s="74" t="n">
        <x:v>11</x:v>
      </x:c>
      <x:c r="E199" s="74" t="n">
        <x:v>194</x:v>
      </x:c>
      <x:c r="F199" s="75" t="n">
        <x:v>4.3</x:v>
      </x:c>
      <x:c r="G199" s="76" t="n">
        <x:v>0</x:v>
      </x:c>
      <x:c r="H199" s="76" t="n">
        <x:v>0</x:v>
      </x:c>
      <x:c r="I199" s="76" t="n">
        <x:v>0</x:v>
      </x:c>
      <x:c r="J199" s="76" t="n">
        <x:v>26</x:v>
      </x:c>
      <x:c r="K199" s="76" t="n">
        <x:v>331</x:v>
      </x:c>
      <x:c r="L199" s="76" t="n">
        <x:v>2</x:v>
      </x:c>
      <x:c r="M199" s="76" t="n">
        <x:v>0</x:v>
      </x:c>
      <x:c r="N199" s="73" t="str">
        <x:v>https://www.thefantasyfootballers.com/2026-ultimate-draft-kit/udk-mikes-projections/?position=FLEX</x:v>
      </x:c>
    </x:row>
    <x:row r="200">
      <x:c r="A200" s="70" t="str">
        <x:v>Christian Kirk</x:v>
      </x:c>
      <x:c r="B200" s="69" t="str">
        <x:v>WR</x:v>
      </x:c>
      <x:c r="C200" s="69" t="str">
        <x:v>SF</x:v>
      </x:c>
      <x:c r="D200" s="74" t="n">
        <x:v>8</x:v>
      </x:c>
      <x:c r="E200" s="74" t="n">
        <x:v>195</x:v>
      </x:c>
      <x:c r="F200" s="75" t="n">
        <x:v>4.3</x:v>
      </x:c>
      <x:c r="G200" s="76" t="n">
        <x:v>0</x:v>
      </x:c>
      <x:c r="H200" s="76" t="n">
        <x:v>0</x:v>
      </x:c>
      <x:c r="I200" s="76" t="n">
        <x:v>0</x:v>
      </x:c>
      <x:c r="J200" s="76" t="n">
        <x:v>28</x:v>
      </x:c>
      <x:c r="K200" s="76" t="n">
        <x:v>340</x:v>
      </x:c>
      <x:c r="L200" s="76" t="n">
        <x:v>2</x:v>
      </x:c>
      <x:c r="M200" s="76" t="n">
        <x:v>0</x:v>
      </x:c>
      <x:c r="N200" s="73" t="str">
        <x:v>https://www.thefantasyfootballers.com/2026-ultimate-draft-kit/udk-mikes-projections/?position=FLEX</x:v>
      </x:c>
    </x:row>
    <x:row r="201">
      <x:c r="A201" s="70" t="str">
        <x:v>Theo Johnson</x:v>
      </x:c>
      <x:c r="B201" s="69" t="str">
        <x:v>TE</x:v>
      </x:c>
      <x:c r="C201" s="69" t="str">
        <x:v>NYG</x:v>
      </x:c>
      <x:c r="D201" s="74" t="n">
        <x:v>8</x:v>
      </x:c>
      <x:c r="E201" s="74" t="n">
        <x:v>196</x:v>
      </x:c>
      <x:c r="F201" s="75" t="n">
        <x:v>4.3</x:v>
      </x:c>
      <x:c r="G201" s="76" t="n">
        <x:v>0</x:v>
      </x:c>
      <x:c r="H201" s="76" t="n">
        <x:v>0</x:v>
      </x:c>
      <x:c r="I201" s="76" t="n">
        <x:v>0</x:v>
      </x:c>
      <x:c r="J201" s="76" t="n">
        <x:v>28</x:v>
      </x:c>
      <x:c r="K201" s="76" t="n">
        <x:v>321</x:v>
      </x:c>
      <x:c r="L201" s="76" t="n">
        <x:v>2</x:v>
      </x:c>
      <x:c r="M201" s="76" t="n">
        <x:v>0</x:v>
      </x:c>
      <x:c r="N201" s="73" t="str">
        <x:v>https://www.thefantasyfootballers.com/2026-ultimate-draft-kit/udk-mikes-projections/?position=FLEX</x:v>
      </x:c>
    </x:row>
    <x:row r="202">
      <x:c r="A202" s="70" t="str">
        <x:v>Antonio Williams</x:v>
      </x:c>
      <x:c r="B202" s="69" t="str">
        <x:v>WR</x:v>
      </x:c>
      <x:c r="C202" s="69" t="str">
        <x:v>WAS</x:v>
      </x:c>
      <x:c r="D202" s="74" t="n">
        <x:v>7</x:v>
      </x:c>
      <x:c r="E202" s="74" t="n">
        <x:v>197</x:v>
      </x:c>
      <x:c r="F202" s="75" t="n">
        <x:v>4.3</x:v>
      </x:c>
      <x:c r="G202" s="76" t="n">
        <x:v>0</x:v>
      </x:c>
      <x:c r="H202" s="76" t="n">
        <x:v>0</x:v>
      </x:c>
      <x:c r="I202" s="76" t="n">
        <x:v>0</x:v>
      </x:c>
      <x:c r="J202" s="76" t="n">
        <x:v>27</x:v>
      </x:c>
      <x:c r="K202" s="76" t="n">
        <x:v>334</x:v>
      </x:c>
      <x:c r="L202" s="76" t="n">
        <x:v>2</x:v>
      </x:c>
      <x:c r="M202" s="76" t="n">
        <x:v>0</x:v>
      </x:c>
      <x:c r="N202" s="73" t="str">
        <x:v>https://www.thefantasyfootballers.com/2026-ultimate-draft-kit/udk-mikes-projections/?position=FLEX</x:v>
      </x:c>
    </x:row>
    <x:row r="203">
      <x:c r="A203" s="70" t="str">
        <x:v>Kimani Vidal</x:v>
      </x:c>
      <x:c r="B203" s="69" t="str">
        <x:v>RB</x:v>
      </x:c>
      <x:c r="C203" s="69" t="str">
        <x:v>LAC</x:v>
      </x:c>
      <x:c r="D203" s="74" t="n">
        <x:v>7</x:v>
      </x:c>
      <x:c r="E203" s="74" t="n">
        <x:v>198</x:v>
      </x:c>
      <x:c r="F203" s="75" t="n">
        <x:v>4.3</x:v>
      </x:c>
      <x:c r="G203" s="76" t="n">
        <x:v>32</x:v>
      </x:c>
      <x:c r="H203" s="76" t="n">
        <x:v>131</x:v>
      </x:c>
      <x:c r="I203" s="76" t="n">
        <x:v>1</x:v>
      </x:c>
      <x:c r="J203" s="76" t="n">
        <x:v>26</x:v>
      </x:c>
      <x:c r="K203" s="76" t="n">
        <x:v>233</x:v>
      </x:c>
      <x:c r="L203" s="76" t="n">
        <x:v>1</x:v>
      </x:c>
      <x:c r="M203" s="76" t="n">
        <x:v>1</x:v>
      </x:c>
      <x:c r="N203" s="73" t="str">
        <x:v>https://www.thefantasyfootballers.com/2026-ultimate-draft-kit/udk-mikes-projections/?position=FLEX</x:v>
      </x:c>
    </x:row>
    <x:row r="204">
      <x:c r="A204" s="70" t="str">
        <x:v>Malachi Fields</x:v>
      </x:c>
      <x:c r="B204" s="69" t="str">
        <x:v>WR</x:v>
      </x:c>
      <x:c r="C204" s="69" t="str">
        <x:v>NYG</x:v>
      </x:c>
      <x:c r="D204" s="74" t="n">
        <x:v>8</x:v>
      </x:c>
      <x:c r="E204" s="74" t="n">
        <x:v>199</x:v>
      </x:c>
      <x:c r="F204" s="75" t="n">
        <x:v>4.2</x:v>
      </x:c>
      <x:c r="G204" s="76" t="n">
        <x:v>0</x:v>
      </x:c>
      <x:c r="H204" s="76" t="n">
        <x:v>0</x:v>
      </x:c>
      <x:c r="I204" s="76" t="n">
        <x:v>0</x:v>
      </x:c>
      <x:c r="J204" s="76" t="n">
        <x:v>27</x:v>
      </x:c>
      <x:c r="K204" s="76" t="n">
        <x:v>332</x:v>
      </x:c>
      <x:c r="L204" s="76" t="n">
        <x:v>2</x:v>
      </x:c>
      <x:c r="M204" s="76" t="n">
        <x:v>0</x:v>
      </x:c>
      <x:c r="N204" s="73" t="str">
        <x:v>https://www.thefantasyfootballers.com/2026-ultimate-draft-kit/udk-mikes-projections/?position=FLEX</x:v>
      </x:c>
    </x:row>
    <x:row r="205">
      <x:c r="A205" s="70" t="str">
        <x:v>Jordan Whittington</x:v>
      </x:c>
      <x:c r="B205" s="69" t="str">
        <x:v>WR</x:v>
      </x:c>
      <x:c r="C205" s="69" t="str">
        <x:v>LAR</x:v>
      </x:c>
      <x:c r="D205" s="74" t="n">
        <x:v>11</x:v>
      </x:c>
      <x:c r="E205" s="74" t="n">
        <x:v>200</x:v>
      </x:c>
      <x:c r="F205" s="75" t="n">
        <x:v>4.1</x:v>
      </x:c>
      <x:c r="G205" s="76" t="n">
        <x:v>3</x:v>
      </x:c>
      <x:c r="H205" s="76" t="n">
        <x:v>12</x:v>
      </x:c>
      <x:c r="I205" s="76" t="n">
        <x:v>0</x:v>
      </x:c>
      <x:c r="J205" s="76" t="n">
        <x:v>28</x:v>
      </x:c>
      <x:c r="K205" s="76" t="n">
        <x:v>322</x:v>
      </x:c>
      <x:c r="L205" s="76" t="n">
        <x:v>1</x:v>
      </x:c>
      <x:c r="M205" s="76" t="n">
        <x:v>0</x:v>
      </x:c>
      <x:c r="N205" s="73" t="str">
        <x:v>https://www.thefantasyfootballers.com/2026-ultimate-draft-kit/udk-mikes-projections/?position=FLEX</x:v>
      </x:c>
    </x:row>
    <x:row r="206">
      <x:c r="A206" s="70" t="str">
        <x:v>Zachariah Branch</x:v>
      </x:c>
      <x:c r="B206" s="69" t="str">
        <x:v>WR</x:v>
      </x:c>
      <x:c r="C206" s="69" t="str">
        <x:v>ATL</x:v>
      </x:c>
      <x:c r="D206" s="74" t="n">
        <x:v>11</x:v>
      </x:c>
      <x:c r="E206" s="74" t="n">
        <x:v>201</x:v>
      </x:c>
      <x:c r="F206" s="75" t="n">
        <x:v>4.1</x:v>
      </x:c>
      <x:c r="G206" s="76" t="n">
        <x:v>0</x:v>
      </x:c>
      <x:c r="H206" s="76" t="n">
        <x:v>0</x:v>
      </x:c>
      <x:c r="I206" s="76" t="n">
        <x:v>0</x:v>
      </x:c>
      <x:c r="J206" s="76" t="n">
        <x:v>26</x:v>
      </x:c>
      <x:c r="K206" s="76" t="n">
        <x:v>315</x:v>
      </x:c>
      <x:c r="L206" s="76" t="n">
        <x:v>2</x:v>
      </x:c>
      <x:c r="M206" s="76" t="n">
        <x:v>0</x:v>
      </x:c>
      <x:c r="N206" s="73" t="str">
        <x:v>https://www.thefantasyfootballers.com/2026-ultimate-draft-kit/udk-mikes-projections/?position=FLEX</x:v>
      </x:c>
    </x:row>
    <x:row r="207">
      <x:c r="A207" s="70" t="str">
        <x:v>LeQuint Allen Jr.</x:v>
      </x:c>
      <x:c r="B207" s="69" t="str">
        <x:v>RB</x:v>
      </x:c>
      <x:c r="C207" s="69" t="str">
        <x:v>JAX</x:v>
      </x:c>
      <x:c r="D207" s="74" t="n">
        <x:v>7</x:v>
      </x:c>
      <x:c r="E207" s="74" t="n">
        <x:v>202</x:v>
      </x:c>
      <x:c r="F207" s="75" t="n">
        <x:v>4</x:v>
      </x:c>
      <x:c r="G207" s="76" t="n">
        <x:v>30</x:v>
      </x:c>
      <x:c r="H207" s="76" t="n">
        <x:v>121</x:v>
      </x:c>
      <x:c r="I207" s="76" t="n">
        <x:v>1</x:v>
      </x:c>
      <x:c r="J207" s="76" t="n">
        <x:v>29</x:v>
      </x:c>
      <x:c r="K207" s="76" t="n">
        <x:v>172</x:v>
      </x:c>
      <x:c r="L207" s="76" t="n">
        <x:v>1</x:v>
      </x:c>
      <x:c r="M207" s="76" t="n">
        <x:v>0</x:v>
      </x:c>
      <x:c r="N207" s="73" t="str">
        <x:v>https://www.thefantasyfootballers.com/2026-ultimate-draft-kit/udk-mikes-projections/?position=FLEX</x:v>
      </x:c>
    </x:row>
    <x:row r="208">
      <x:c r="A208" s="70" t="str">
        <x:v>Tommy Tremble</x:v>
      </x:c>
      <x:c r="B208" s="69" t="str">
        <x:v>TE</x:v>
      </x:c>
      <x:c r="C208" s="69" t="str">
        <x:v>CAR</x:v>
      </x:c>
      <x:c r="D208" s="74" t="n">
        <x:v>5</x:v>
      </x:c>
      <x:c r="E208" s="74" t="n">
        <x:v>203</x:v>
      </x:c>
      <x:c r="F208" s="75" t="n">
        <x:v>4</x:v>
      </x:c>
      <x:c r="G208" s="76" t="n">
        <x:v>0</x:v>
      </x:c>
      <x:c r="H208" s="76" t="n">
        <x:v>0</x:v>
      </x:c>
      <x:c r="I208" s="76" t="n">
        <x:v>0</x:v>
      </x:c>
      <x:c r="J208" s="76" t="n">
        <x:v>28</x:v>
      </x:c>
      <x:c r="K208" s="76" t="n">
        <x:v>260</x:v>
      </x:c>
      <x:c r="L208" s="76" t="n">
        <x:v>2</x:v>
      </x:c>
      <x:c r="M208" s="76" t="n">
        <x:v>0</x:v>
      </x:c>
      <x:c r="N208" s="73" t="str">
        <x:v>https://www.thefantasyfootballers.com/2026-ultimate-draft-kit/udk-mikes-projections/?position=FLEX</x:v>
      </x:c>
    </x:row>
    <x:row r="209">
      <x:c r="A209" s="70" t="str">
        <x:v>Rashod Bateman</x:v>
      </x:c>
      <x:c r="B209" s="69" t="str">
        <x:v>WR</x:v>
      </x:c>
      <x:c r="C209" s="69" t="str">
        <x:v>BAL</x:v>
      </x:c>
      <x:c r="D209" s="74" t="n">
        <x:v>13</x:v>
      </x:c>
      <x:c r="E209" s="74" t="n">
        <x:v>204</x:v>
      </x:c>
      <x:c r="F209" s="75" t="n">
        <x:v>4</x:v>
      </x:c>
      <x:c r="G209" s="76" t="n">
        <x:v>0</x:v>
      </x:c>
      <x:c r="H209" s="76" t="n">
        <x:v>0</x:v>
      </x:c>
      <x:c r="I209" s="76" t="n">
        <x:v>0</x:v>
      </x:c>
      <x:c r="J209" s="76" t="n">
        <x:v>23</x:v>
      </x:c>
      <x:c r="K209" s="76" t="n">
        <x:v>319</x:v>
      </x:c>
      <x:c r="L209" s="76" t="n">
        <x:v>2</x:v>
      </x:c>
      <x:c r="M209" s="76" t="n">
        <x:v>0</x:v>
      </x:c>
      <x:c r="N209" s="73" t="str">
        <x:v>https://www.thefantasyfootballers.com/2026-ultimate-draft-kit/udk-mikes-projections/?position=FLEX</x:v>
      </x:c>
    </x:row>
    <x:row r="210">
      <x:c r="A210" s="70" t="str">
        <x:v>Kalif Raymond</x:v>
      </x:c>
      <x:c r="B210" s="69" t="str">
        <x:v>WR</x:v>
      </x:c>
      <x:c r="C210" s="69" t="str">
        <x:v>CHI</x:v>
      </x:c>
      <x:c r="D210" s="74" t="n">
        <x:v>10</x:v>
      </x:c>
      <x:c r="E210" s="74" t="n">
        <x:v>205</x:v>
      </x:c>
      <x:c r="F210" s="75" t="n">
        <x:v>3.9</x:v>
      </x:c>
      <x:c r="G210" s="76" t="n">
        <x:v>3</x:v>
      </x:c>
      <x:c r="H210" s="76" t="n">
        <x:v>24</x:v>
      </x:c>
      <x:c r="I210" s="76" t="n">
        <x:v>0</x:v>
      </x:c>
      <x:c r="J210" s="76" t="n">
        <x:v>24</x:v>
      </x:c>
      <x:c r="K210" s="76" t="n">
        <x:v>312</x:v>
      </x:c>
      <x:c r="L210" s="76" t="n">
        <x:v>1</x:v>
      </x:c>
      <x:c r="M210" s="76" t="n">
        <x:v>0</x:v>
      </x:c>
      <x:c r="N210" s="73" t="str">
        <x:v>https://www.thefantasyfootballers.com/2026-ultimate-draft-kit/udk-mikes-projections/?position=FLEX</x:v>
      </x:c>
    </x:row>
    <x:row r="211">
      <x:c r="A211" s="70" t="str">
        <x:v>Chris Brazzell II</x:v>
      </x:c>
      <x:c r="B211" s="69" t="str">
        <x:v>WR</x:v>
      </x:c>
      <x:c r="C211" s="69" t="str">
        <x:v>CAR</x:v>
      </x:c>
      <x:c r="D211" s="74" t="n">
        <x:v>5</x:v>
      </x:c>
      <x:c r="E211" s="74" t="n">
        <x:v>206</x:v>
      </x:c>
      <x:c r="F211" s="75" t="n">
        <x:v>3.9</x:v>
      </x:c>
      <x:c r="G211" s="76" t="n">
        <x:v>0</x:v>
      </x:c>
      <x:c r="H211" s="76" t="n">
        <x:v>0</x:v>
      </x:c>
      <x:c r="I211" s="76" t="n">
        <x:v>0</x:v>
      </x:c>
      <x:c r="J211" s="76" t="n">
        <x:v>25</x:v>
      </x:c>
      <x:c r="K211" s="76" t="n">
        <x:v>307</x:v>
      </x:c>
      <x:c r="L211" s="76" t="n">
        <x:v>2</x:v>
      </x:c>
      <x:c r="M211" s="76" t="n">
        <x:v>0</x:v>
      </x:c>
      <x:c r="N211" s="73" t="str">
        <x:v>https://www.thefantasyfootballers.com/2026-ultimate-draft-kit/udk-mikes-projections/?position=FLEX</x:v>
      </x:c>
    </x:row>
    <x:row r="212">
      <x:c r="A212" s="70" t="str">
        <x:v>Skyler Bell</x:v>
      </x:c>
      <x:c r="B212" s="69" t="str">
        <x:v>WR</x:v>
      </x:c>
      <x:c r="C212" s="69" t="str">
        <x:v>BUF</x:v>
      </x:c>
      <x:c r="D212" s="74" t="n">
        <x:v>7</x:v>
      </x:c>
      <x:c r="E212" s="74" t="n">
        <x:v>207</x:v>
      </x:c>
      <x:c r="F212" s="75" t="n">
        <x:v>3.9</x:v>
      </x:c>
      <x:c r="G212" s="76" t="n">
        <x:v>0</x:v>
      </x:c>
      <x:c r="H212" s="76" t="n">
        <x:v>0</x:v>
      </x:c>
      <x:c r="I212" s="76" t="n">
        <x:v>0</x:v>
      </x:c>
      <x:c r="J212" s="76" t="n">
        <x:v>26</x:v>
      </x:c>
      <x:c r="K212" s="76" t="n">
        <x:v>294</x:v>
      </x:c>
      <x:c r="L212" s="76" t="n">
        <x:v>2</x:v>
      </x:c>
      <x:c r="M212" s="76" t="n">
        <x:v>0</x:v>
      </x:c>
      <x:c r="N212" s="73" t="str">
        <x:v>https://www.thefantasyfootballers.com/2026-ultimate-draft-kit/udk-mikes-projections/?position=FLEX</x:v>
      </x:c>
    </x:row>
    <x:row r="213">
      <x:c r="A213" s="70" t="str">
        <x:v>James Conner</x:v>
      </x:c>
      <x:c r="B213" s="69" t="str">
        <x:v>RB</x:v>
      </x:c>
      <x:c r="C213" s="69" t="str">
        <x:v>ARI</x:v>
      </x:c>
      <x:c r="D213" s="74" t="n">
        <x:v>14</x:v>
      </x:c>
      <x:c r="E213" s="74" t="n">
        <x:v>208</x:v>
      </x:c>
      <x:c r="F213" s="75" t="n">
        <x:v>3.8</x:v>
      </x:c>
      <x:c r="G213" s="76" t="n">
        <x:v>55</x:v>
      </x:c>
      <x:c r="H213" s="76" t="n">
        <x:v>248</x:v>
      </x:c>
      <x:c r="I213" s="76" t="n">
        <x:v>2</x:v>
      </x:c>
      <x:c r="J213" s="76" t="n">
        <x:v>15</x:v>
      </x:c>
      <x:c r="K213" s="76" t="n">
        <x:v>115</x:v>
      </x:c>
      <x:c r="L213" s="76" t="n">
        <x:v>1</x:v>
      </x:c>
      <x:c r="M213" s="76" t="n">
        <x:v>2</x:v>
      </x:c>
      <x:c r="N213" s="73" t="str">
        <x:v>https://www.thefantasyfootballers.com/2026-ultimate-draft-kit/udk-mikes-projections/?position=FLEX</x:v>
      </x:c>
    </x:row>
    <x:row r="214">
      <x:c r="A214" s="70" t="str">
        <x:v>Tank Bigsby</x:v>
      </x:c>
      <x:c r="B214" s="69" t="str">
        <x:v>RB</x:v>
      </x:c>
      <x:c r="C214" s="69" t="str">
        <x:v>PHI</x:v>
      </x:c>
      <x:c r="D214" s="74" t="n">
        <x:v>10</x:v>
      </x:c>
      <x:c r="E214" s="74" t="n">
        <x:v>209</x:v>
      </x:c>
      <x:c r="F214" s="75" t="n">
        <x:v>3.8</x:v>
      </x:c>
      <x:c r="G214" s="76" t="n">
        <x:v>72</x:v>
      </x:c>
      <x:c r="H214" s="76" t="n">
        <x:v>354</x:v>
      </x:c>
      <x:c r="I214" s="76" t="n">
        <x:v>3</x:v>
      </x:c>
      <x:c r="J214" s="76" t="n">
        <x:v>7</x:v>
      </x:c>
      <x:c r="K214" s="76" t="n">
        <x:v>55</x:v>
      </x:c>
      <x:c r="L214" s="76" t="n">
        <x:v>0</x:v>
      </x:c>
      <x:c r="M214" s="76" t="n">
        <x:v>1</x:v>
      </x:c>
      <x:c r="N214" s="73" t="str">
        <x:v>https://www.thefantasyfootballers.com/2026-ultimate-draft-kit/udk-mikes-projections/?position=FLEX</x:v>
      </x:c>
    </x:row>
    <x:row r="215">
      <x:c r="A215" s="70" t="str">
        <x:v>Max Klare</x:v>
      </x:c>
      <x:c r="B215" s="69" t="str">
        <x:v>TE</x:v>
      </x:c>
      <x:c r="C215" s="69" t="str">
        <x:v>LAR</x:v>
      </x:c>
      <x:c r="D215" s="74" t="n">
        <x:v>11</x:v>
      </x:c>
      <x:c r="E215" s="74" t="n">
        <x:v>210</x:v>
      </x:c>
      <x:c r="F215" s="75" t="n">
        <x:v>3.8</x:v>
      </x:c>
      <x:c r="G215" s="76" t="n">
        <x:v>0</x:v>
      </x:c>
      <x:c r="H215" s="76" t="n">
        <x:v>0</x:v>
      </x:c>
      <x:c r="I215" s="76" t="n">
        <x:v>0</x:v>
      </x:c>
      <x:c r="J215" s="76" t="n">
        <x:v>27</x:v>
      </x:c>
      <x:c r="K215" s="76" t="n">
        <x:v>268</x:v>
      </x:c>
      <x:c r="L215" s="76" t="n">
        <x:v>2</x:v>
      </x:c>
      <x:c r="M215" s="76" t="n">
        <x:v>0</x:v>
      </x:c>
      <x:c r="N215" s="73" t="str">
        <x:v>https://www.thefantasyfootballers.com/2026-ultimate-draft-kit/udk-mikes-projections/?position=FLEX</x:v>
      </x:c>
    </x:row>
    <x:row r="216">
      <x:c r="A216" s="70" t="str">
        <x:v>Tre' Harris</x:v>
      </x:c>
      <x:c r="B216" s="69" t="str">
        <x:v>WR</x:v>
      </x:c>
      <x:c r="C216" s="69" t="str">
        <x:v>LAC</x:v>
      </x:c>
      <x:c r="D216" s="74" t="n">
        <x:v>7</x:v>
      </x:c>
      <x:c r="E216" s="74" t="n">
        <x:v>211</x:v>
      </x:c>
      <x:c r="F216" s="75" t="n">
        <x:v>3.7</x:v>
      </x:c>
      <x:c r="G216" s="76" t="n">
        <x:v>0</x:v>
      </x:c>
      <x:c r="H216" s="76" t="n">
        <x:v>0</x:v>
      </x:c>
      <x:c r="I216" s="76" t="n">
        <x:v>0</x:v>
      </x:c>
      <x:c r="J216" s="76" t="n">
        <x:v>24</x:v>
      </x:c>
      <x:c r="K216" s="76" t="n">
        <x:v>292</x:v>
      </x:c>
      <x:c r="L216" s="76" t="n">
        <x:v>2</x:v>
      </x:c>
      <x:c r="M216" s="76" t="n">
        <x:v>0</x:v>
      </x:c>
      <x:c r="N216" s="73" t="str">
        <x:v>https://www.thefantasyfootballers.com/2026-ultimate-draft-kit/udk-mikes-projections/?position=FLEX</x:v>
      </x:c>
    </x:row>
    <x:row r="217">
      <x:c r="A217" s="70" t="str">
        <x:v>Troy Franklin</x:v>
      </x:c>
      <x:c r="B217" s="69" t="str">
        <x:v>WR</x:v>
      </x:c>
      <x:c r="C217" s="69" t="str">
        <x:v>DEN</x:v>
      </x:c>
      <x:c r="D217" s="74" t="n">
        <x:v>10</x:v>
      </x:c>
      <x:c r="E217" s="74" t="n">
        <x:v>212</x:v>
      </x:c>
      <x:c r="F217" s="75" t="n">
        <x:v>3.7</x:v>
      </x:c>
      <x:c r="G217" s="76" t="n">
        <x:v>4</x:v>
      </x:c>
      <x:c r="H217" s="76" t="n">
        <x:v>10</x:v>
      </x:c>
      <x:c r="I217" s="76" t="n">
        <x:v>0</x:v>
      </x:c>
      <x:c r="J217" s="76" t="n">
        <x:v>25</x:v>
      </x:c>
      <x:c r="K217" s="76" t="n">
        <x:v>270</x:v>
      </x:c>
      <x:c r="L217" s="76" t="n">
        <x:v>2</x:v>
      </x:c>
      <x:c r="M217" s="76" t="n">
        <x:v>1</x:v>
      </x:c>
      <x:c r="N217" s="73" t="str">
        <x:v>https://www.thefantasyfootballers.com/2026-ultimate-draft-kit/udk-mikes-projections/?position=FLEX</x:v>
      </x:c>
    </x:row>
    <x:row r="218">
      <x:c r="A218" s="70" t="str">
        <x:v>George Holani</x:v>
      </x:c>
      <x:c r="B218" s="69" t="str">
        <x:v>RB</x:v>
      </x:c>
      <x:c r="C218" s="69" t="str">
        <x:v>SEA</x:v>
      </x:c>
      <x:c r="D218" s="74" t="n">
        <x:v>11</x:v>
      </x:c>
      <x:c r="E218" s="74" t="n">
        <x:v>213</x:v>
      </x:c>
      <x:c r="F218" s="75" t="n">
        <x:v>3.7</x:v>
      </x:c>
      <x:c r="G218" s="76" t="n">
        <x:v>123</x:v>
      </x:c>
      <x:c r="H218" s="76" t="n">
        <x:v>407</x:v>
      </x:c>
      <x:c r="I218" s="76" t="n">
        <x:v>3</x:v>
      </x:c>
      <x:c r="J218" s="76" t="n">
        <x:v>4</x:v>
      </x:c>
      <x:c r="K218" s="76" t="n">
        <x:v>27</x:v>
      </x:c>
      <x:c r="L218" s="76" t="n">
        <x:v>0</x:v>
      </x:c>
      <x:c r="M218" s="76" t="n">
        <x:v>1</x:v>
      </x:c>
      <x:c r="N218" s="73" t="str">
        <x:v>https://www.thefantasyfootballers.com/2026-ultimate-draft-kit/udk-mikes-projections/?position=FLEX</x:v>
      </x:c>
    </x:row>
    <x:row r="219">
      <x:c r="A219" s="70" t="str">
        <x:v>Gunnar Helm</x:v>
      </x:c>
      <x:c r="B219" s="69" t="str">
        <x:v>TE</x:v>
      </x:c>
      <x:c r="C219" s="69" t="str">
        <x:v>TEN</x:v>
      </x:c>
      <x:c r="D219" s="74" t="n">
        <x:v>9</x:v>
      </x:c>
      <x:c r="E219" s="74" t="n">
        <x:v>214</x:v>
      </x:c>
      <x:c r="F219" s="75" t="n">
        <x:v>3.6</x:v>
      </x:c>
      <x:c r="G219" s="76" t="n">
        <x:v>0</x:v>
      </x:c>
      <x:c r="H219" s="76" t="n">
        <x:v>0</x:v>
      </x:c>
      <x:c r="I219" s="76" t="n">
        <x:v>0</x:v>
      </x:c>
      <x:c r="J219" s="76" t="n">
        <x:v>29</x:v>
      </x:c>
      <x:c r="K219" s="76" t="n">
        <x:v>238</x:v>
      </x:c>
      <x:c r="L219" s="76" t="n">
        <x:v>2</x:v>
      </x:c>
      <x:c r="M219" s="76" t="n">
        <x:v>0</x:v>
      </x:c>
      <x:c r="N219" s="73" t="str">
        <x:v>https://www.thefantasyfootballers.com/2026-ultimate-draft-kit/udk-mikes-projections/?position=FLEX</x:v>
      </x:c>
    </x:row>
    <x:row r="220">
      <x:c r="A220" s="70" t="str">
        <x:v>Marvin Mims Jr.</x:v>
      </x:c>
      <x:c r="B220" s="69" t="str">
        <x:v>WR</x:v>
      </x:c>
      <x:c r="C220" s="69" t="str">
        <x:v>DEN</x:v>
      </x:c>
      <x:c r="D220" s="74" t="n">
        <x:v>10</x:v>
      </x:c>
      <x:c r="E220" s="74" t="n">
        <x:v>215</x:v>
      </x:c>
      <x:c r="F220" s="75" t="n">
        <x:v>3.6</x:v>
      </x:c>
      <x:c r="G220" s="76" t="n">
        <x:v>12</x:v>
      </x:c>
      <x:c r="H220" s="76" t="n">
        <x:v>58</x:v>
      </x:c>
      <x:c r="I220" s="76" t="n">
        <x:v>1</x:v>
      </x:c>
      <x:c r="J220" s="76" t="n">
        <x:v>22</x:v>
      </x:c>
      <x:c r="K220" s="76" t="n">
        <x:v>256</x:v>
      </x:c>
      <x:c r="L220" s="76" t="n">
        <x:v>1</x:v>
      </x:c>
      <x:c r="M220" s="76" t="n">
        <x:v>1</x:v>
      </x:c>
      <x:c r="N220" s="73" t="str">
        <x:v>https://www.thefantasyfootballers.com/2026-ultimate-draft-kit/udk-mikes-projections/?position=FLEX</x:v>
      </x:c>
    </x:row>
    <x:row r="221">
      <x:c r="A221" s="70" t="str">
        <x:v>Roman Wilson</x:v>
      </x:c>
      <x:c r="B221" s="69" t="str">
        <x:v>WR</x:v>
      </x:c>
      <x:c r="C221" s="69" t="str">
        <x:v>PIT</x:v>
      </x:c>
      <x:c r="D221" s="74" t="n">
        <x:v>9</x:v>
      </x:c>
      <x:c r="E221" s="74" t="n">
        <x:v>216</x:v>
      </x:c>
      <x:c r="F221" s="75" t="n">
        <x:v>3.6</x:v>
      </x:c>
      <x:c r="G221" s="76" t="n">
        <x:v>0</x:v>
      </x:c>
      <x:c r="H221" s="76" t="n">
        <x:v>0</x:v>
      </x:c>
      <x:c r="I221" s="76" t="n">
        <x:v>0</x:v>
      </x:c>
      <x:c r="J221" s="76" t="n">
        <x:v>23</x:v>
      </x:c>
      <x:c r="K221" s="76" t="n">
        <x:v>298</x:v>
      </x:c>
      <x:c r="L221" s="76" t="n">
        <x:v>2</x:v>
      </x:c>
      <x:c r="M221" s="76" t="n">
        <x:v>1</x:v>
      </x:c>
      <x:c r="N221" s="73" t="str">
        <x:v>https://www.thefantasyfootballers.com/2026-ultimate-draft-kit/udk-mikes-projections/?position=FLEX</x:v>
      </x:c>
    </x:row>
    <x:row r="222">
      <x:c r="A222" s="70" t="str">
        <x:v>Tez Johnson</x:v>
      </x:c>
      <x:c r="B222" s="69" t="str">
        <x:v>WR</x:v>
      </x:c>
      <x:c r="C222" s="69" t="str">
        <x:v>TB</x:v>
      </x:c>
      <x:c r="D222" s="74" t="n">
        <x:v>10</x:v>
      </x:c>
      <x:c r="E222" s="74" t="n">
        <x:v>217</x:v>
      </x:c>
      <x:c r="F222" s="75" t="n">
        <x:v>3.5</x:v>
      </x:c>
      <x:c r="G222" s="76" t="n">
        <x:v>7</x:v>
      </x:c>
      <x:c r="H222" s="76" t="n">
        <x:v>22</x:v>
      </x:c>
      <x:c r="I222" s="76" t="n">
        <x:v>0</x:v>
      </x:c>
      <x:c r="J222" s="76" t="n">
        <x:v>21</x:v>
      </x:c>
      <x:c r="K222" s="76" t="n">
        <x:v>238</x:v>
      </x:c>
      <x:c r="L222" s="76" t="n">
        <x:v>2</x:v>
      </x:c>
      <x:c r="M222" s="76" t="n">
        <x:v>0</x:v>
      </x:c>
      <x:c r="N222" s="73" t="str">
        <x:v>https://www.thefantasyfootballers.com/2026-ultimate-draft-kit/udk-mikes-projections/?position=FLEX</x:v>
      </x:c>
    </x:row>
    <x:row r="223">
      <x:c r="A223" s="70" t="str">
        <x:v>Brenen Thompson</x:v>
      </x:c>
      <x:c r="B223" s="69" t="str">
        <x:v>WR</x:v>
      </x:c>
      <x:c r="C223" s="69" t="str">
        <x:v>LAC</x:v>
      </x:c>
      <x:c r="D223" s="74" t="n">
        <x:v>7</x:v>
      </x:c>
      <x:c r="E223" s="74" t="n">
        <x:v>218</x:v>
      </x:c>
      <x:c r="F223" s="75" t="n">
        <x:v>3.5</x:v>
      </x:c>
      <x:c r="G223" s="76" t="n">
        <x:v>0</x:v>
      </x:c>
      <x:c r="H223" s="76" t="n">
        <x:v>0</x:v>
      </x:c>
      <x:c r="I223" s="76" t="n">
        <x:v>0</x:v>
      </x:c>
      <x:c r="J223" s="76" t="n">
        <x:v>18</x:v>
      </x:c>
      <x:c r="K223" s="76" t="n">
        <x:v>304</x:v>
      </x:c>
      <x:c r="L223" s="76" t="n">
        <x:v>2</x:v>
      </x:c>
      <x:c r="M223" s="76" t="n">
        <x:v>0</x:v>
      </x:c>
      <x:c r="N223" s="73" t="str">
        <x:v>https://www.thefantasyfootballers.com/2026-ultimate-draft-kit/udk-mikes-projections/?position=FLEX</x:v>
      </x:c>
    </x:row>
    <x:row r="224">
      <x:c r="A224" s="70" t="str">
        <x:v>Ray Davis</x:v>
      </x:c>
      <x:c r="B224" s="69" t="str">
        <x:v>RB</x:v>
      </x:c>
      <x:c r="C224" s="69" t="str">
        <x:v>BUF</x:v>
      </x:c>
      <x:c r="D224" s="74" t="n">
        <x:v>7</x:v>
      </x:c>
      <x:c r="E224" s="74" t="n">
        <x:v>219</x:v>
      </x:c>
      <x:c r="F224" s="75" t="n">
        <x:v>3.5</x:v>
      </x:c>
      <x:c r="G224" s="76" t="n">
        <x:v>68</x:v>
      </x:c>
      <x:c r="H224" s="76" t="n">
        <x:v>291</x:v>
      </x:c>
      <x:c r="I224" s="76" t="n">
        <x:v>2</x:v>
      </x:c>
      <x:c r="J224" s="76" t="n">
        <x:v>8</x:v>
      </x:c>
      <x:c r="K224" s="76" t="n">
        <x:v>80</x:v>
      </x:c>
      <x:c r="L224" s="76" t="n">
        <x:v>1</x:v>
      </x:c>
      <x:c r="M224" s="76" t="n">
        <x:v>0</x:v>
      </x:c>
      <x:c r="N224" s="73" t="str">
        <x:v>https://www.thefantasyfootballers.com/2026-ultimate-draft-kit/udk-mikes-projections/?position=FLEX</x:v>
      </x:c>
    </x:row>
    <x:row r="225">
      <x:c r="A225" s="70" t="str">
        <x:v>Elic Ayomanor</x:v>
      </x:c>
      <x:c r="B225" s="69" t="str">
        <x:v>WR</x:v>
      </x:c>
      <x:c r="C225" s="69" t="str">
        <x:v>TEN</x:v>
      </x:c>
      <x:c r="D225" s="74" t="n">
        <x:v>9</x:v>
      </x:c>
      <x:c r="E225" s="74" t="n">
        <x:v>220</x:v>
      </x:c>
      <x:c r="F225" s="75" t="n">
        <x:v>3.4</x:v>
      </x:c>
      <x:c r="G225" s="76" t="n">
        <x:v>0</x:v>
      </x:c>
      <x:c r="H225" s="76" t="n">
        <x:v>0</x:v>
      </x:c>
      <x:c r="I225" s="76" t="n">
        <x:v>0</x:v>
      </x:c>
      <x:c r="J225" s="76" t="n">
        <x:v>21</x:v>
      </x:c>
      <x:c r="K225" s="76" t="n">
        <x:v>265</x:v>
      </x:c>
      <x:c r="L225" s="76" t="n">
        <x:v>2</x:v>
      </x:c>
      <x:c r="M225" s="76" t="n">
        <x:v>0</x:v>
      </x:c>
      <x:c r="N225" s="73" t="str">
        <x:v>https://www.thefantasyfootballers.com/2026-ultimate-draft-kit/udk-mikes-projections/?position=FLEX</x:v>
      </x:c>
    </x:row>
    <x:row r="226">
      <x:c r="A226" s="70" t="str">
        <x:v>Ty Johnson</x:v>
      </x:c>
      <x:c r="B226" s="69" t="str">
        <x:v>RB</x:v>
      </x:c>
      <x:c r="C226" s="69" t="str">
        <x:v>BUF</x:v>
      </x:c>
      <x:c r="D226" s="74" t="n">
        <x:v>7</x:v>
      </x:c>
      <x:c r="E226" s="74" t="n">
        <x:v>221</x:v>
      </x:c>
      <x:c r="F226" s="75" t="n">
        <x:v>3.4</x:v>
      </x:c>
      <x:c r="G226" s="76" t="n">
        <x:v>22</x:v>
      </x:c>
      <x:c r="H226" s="76" t="n">
        <x:v>98</x:v>
      </x:c>
      <x:c r="I226" s="76" t="n">
        <x:v>1</x:v>
      </x:c>
      <x:c r="J226" s="76" t="n">
        <x:v>19</x:v>
      </x:c>
      <x:c r="K226" s="76" t="n">
        <x:v>194</x:v>
      </x:c>
      <x:c r="L226" s="76" t="n">
        <x:v>1</x:v>
      </x:c>
      <x:c r="M226" s="76" t="n">
        <x:v>1</x:v>
      </x:c>
      <x:c r="N226" s="73" t="str">
        <x:v>https://www.thefantasyfootballers.com/2026-ultimate-draft-kit/udk-mikes-projections/?position=FLEX</x:v>
      </x:c>
    </x:row>
    <x:row r="227">
      <x:c r="A227" s="70" t="str">
        <x:v>Brashard Smith</x:v>
      </x:c>
      <x:c r="B227" s="69" t="str">
        <x:v>RB</x:v>
      </x:c>
      <x:c r="C227" s="69" t="str">
        <x:v>KC</x:v>
      </x:c>
      <x:c r="D227" s="74" t="n">
        <x:v>5</x:v>
      </x:c>
      <x:c r="E227" s="74" t="n">
        <x:v>222</x:v>
      </x:c>
      <x:c r="F227" s="75" t="n">
        <x:v>3.3</x:v>
      </x:c>
      <x:c r="G227" s="76" t="n">
        <x:v>8</x:v>
      </x:c>
      <x:c r="H227" s="76" t="n">
        <x:v>28</x:v>
      </x:c>
      <x:c r="I227" s="76" t="n">
        <x:v>0</x:v>
      </x:c>
      <x:c r="J227" s="76" t="n">
        <x:v>29</x:v>
      </x:c>
      <x:c r="K227" s="76" t="n">
        <x:v>197</x:v>
      </x:c>
      <x:c r="L227" s="76" t="n">
        <x:v>1</x:v>
      </x:c>
      <x:c r="M227" s="76" t="n">
        <x:v>1</x:v>
      </x:c>
      <x:c r="N227" s="73" t="str">
        <x:v>https://www.thefantasyfootballers.com/2026-ultimate-draft-kit/udk-mikes-projections/?position=FLEX</x:v>
      </x:c>
    </x:row>
    <x:row r="228">
      <x:c r="A228" s="70" t="str">
        <x:v>Darnell Washington</x:v>
      </x:c>
      <x:c r="B228" s="69" t="str">
        <x:v>TE</x:v>
      </x:c>
      <x:c r="C228" s="69" t="str">
        <x:v>PIT</x:v>
      </x:c>
      <x:c r="D228" s="74" t="n">
        <x:v>9</x:v>
      </x:c>
      <x:c r="E228" s="74" t="n">
        <x:v>223</x:v>
      </x:c>
      <x:c r="F228" s="75" t="n">
        <x:v>3.3</x:v>
      </x:c>
      <x:c r="G228" s="76" t="n">
        <x:v>0</x:v>
      </x:c>
      <x:c r="H228" s="76" t="n">
        <x:v>0</x:v>
      </x:c>
      <x:c r="I228" s="76" t="n">
        <x:v>0</x:v>
      </x:c>
      <x:c r="J228" s="76" t="n">
        <x:v>24</x:v>
      </x:c>
      <x:c r="K228" s="76" t="n">
        <x:v>259</x:v>
      </x:c>
      <x:c r="L228" s="76" t="n">
        <x:v>1</x:v>
      </x:c>
      <x:c r="M228" s="76" t="n">
        <x:v>1</x:v>
      </x:c>
      <x:c r="N228" s="73" t="str">
        <x:v>https://www.thefantasyfootballers.com/2026-ultimate-draft-kit/udk-mikes-projections/?position=FLEX</x:v>
      </x:c>
    </x:row>
    <x:row r="229">
      <x:c r="A229" s="70" t="str">
        <x:v>Jonah Coleman</x:v>
      </x:c>
      <x:c r="B229" s="69" t="str">
        <x:v>RB</x:v>
      </x:c>
      <x:c r="C229" s="69" t="str">
        <x:v>DEN</x:v>
      </x:c>
      <x:c r="D229" s="74" t="n">
        <x:v>10</x:v>
      </x:c>
      <x:c r="E229" s="74" t="n">
        <x:v>224</x:v>
      </x:c>
      <x:c r="F229" s="75" t="n">
        <x:v>3.3</x:v>
      </x:c>
      <x:c r="G229" s="76" t="n">
        <x:v>63</x:v>
      </x:c>
      <x:c r="H229" s="76" t="n">
        <x:v>270</x:v>
      </x:c>
      <x:c r="I229" s="76" t="n">
        <x:v>2</x:v>
      </x:c>
      <x:c r="J229" s="76" t="n">
        <x:v>9</x:v>
      </x:c>
      <x:c r="K229" s="76" t="n">
        <x:v>65</x:v>
      </x:c>
      <x:c r="L229" s="76" t="n">
        <x:v>0</x:v>
      </x:c>
      <x:c r="M229" s="76" t="n">
        <x:v>0</x:v>
      </x:c>
      <x:c r="N229" s="73" t="str">
        <x:v>https://www.thefantasyfootballers.com/2026-ultimate-draft-kit/udk-mikes-projections/?position=FLEX</x:v>
      </x:c>
    </x:row>
    <x:row r="230">
      <x:c r="A230" s="70" t="str">
        <x:v>Ted Hurst III</x:v>
      </x:c>
      <x:c r="B230" s="69" t="str">
        <x:v>WR</x:v>
      </x:c>
      <x:c r="C230" s="69" t="str">
        <x:v>TB</x:v>
      </x:c>
      <x:c r="D230" s="74" t="n">
        <x:v>10</x:v>
      </x:c>
      <x:c r="E230" s="74" t="n">
        <x:v>225</x:v>
      </x:c>
      <x:c r="F230" s="75" t="n">
        <x:v>3.2</x:v>
      </x:c>
      <x:c r="G230" s="76" t="n">
        <x:v>0</x:v>
      </x:c>
      <x:c r="H230" s="76" t="n">
        <x:v>0</x:v>
      </x:c>
      <x:c r="I230" s="76" t="n">
        <x:v>0</x:v>
      </x:c>
      <x:c r="J230" s="76" t="n">
        <x:v>20</x:v>
      </x:c>
      <x:c r="K230" s="76" t="n">
        <x:v>248</x:v>
      </x:c>
      <x:c r="L230" s="76" t="n">
        <x:v>2</x:v>
      </x:c>
      <x:c r="M230" s="76" t="n">
        <x:v>0</x:v>
      </x:c>
      <x:c r="N230" s="73" t="str">
        <x:v>https://www.thefantasyfootballers.com/2026-ultimate-draft-kit/udk-mikes-projections/?position=FLEX</x:v>
      </x:c>
    </x:row>
    <x:row r="231">
      <x:c r="A231" s="70" t="str">
        <x:v>Emanuel Wilson</x:v>
      </x:c>
      <x:c r="B231" s="69" t="str">
        <x:v>RB</x:v>
      </x:c>
      <x:c r="C231" s="69" t="str">
        <x:v>SEA</x:v>
      </x:c>
      <x:c r="D231" s="74" t="n">
        <x:v>11</x:v>
      </x:c>
      <x:c r="E231" s="74" t="n">
        <x:v>226</x:v>
      </x:c>
      <x:c r="F231" s="75" t="n">
        <x:v>3.1</x:v>
      </x:c>
      <x:c r="G231" s="76" t="n">
        <x:v>57</x:v>
      </x:c>
      <x:c r="H231" s="76" t="n">
        <x:v>246</x:v>
      </x:c>
      <x:c r="I231" s="76" t="n">
        <x:v>2</x:v>
      </x:c>
      <x:c r="J231" s="76" t="n">
        <x:v>11</x:v>
      </x:c>
      <x:c r="K231" s="76" t="n">
        <x:v>65</x:v>
      </x:c>
      <x:c r="L231" s="76" t="n">
        <x:v>0</x:v>
      </x:c>
      <x:c r="M231" s="76" t="n">
        <x:v>0</x:v>
      </x:c>
      <x:c r="N231" s="73" t="str">
        <x:v>https://www.thefantasyfootballers.com/2026-ultimate-draft-kit/udk-mikes-projections/?position=FLEX</x:v>
      </x:c>
    </x:row>
    <x:row r="232">
      <x:c r="A232" s="70" t="str">
        <x:v>Malik Davis</x:v>
      </x:c>
      <x:c r="B232" s="69" t="str">
        <x:v>RB</x:v>
      </x:c>
      <x:c r="C232" s="69" t="str">
        <x:v>DAL</x:v>
      </x:c>
      <x:c r="D232" s="74" t="n">
        <x:v>14</x:v>
      </x:c>
      <x:c r="E232" s="74" t="n">
        <x:v>227</x:v>
      </x:c>
      <x:c r="F232" s="75" t="n">
        <x:v>3.1</x:v>
      </x:c>
      <x:c r="G232" s="76" t="n">
        <x:v>79</x:v>
      </x:c>
      <x:c r="H232" s="76" t="n">
        <x:v>370</x:v>
      </x:c>
      <x:c r="I232" s="76" t="n">
        <x:v>3</x:v>
      </x:c>
      <x:c r="J232" s="76" t="n">
        <x:v>0</x:v>
      </x:c>
      <x:c r="K232" s="76" t="n">
        <x:v>0</x:v>
      </x:c>
      <x:c r="L232" s="76" t="n">
        <x:v>0</x:v>
      </x:c>
      <x:c r="M232" s="76" t="n">
        <x:v>0</x:v>
      </x:c>
      <x:c r="N232" s="73" t="str">
        <x:v>https://www.thefantasyfootballers.com/2026-ultimate-draft-kit/udk-mikes-projections/?position=FLEX</x:v>
      </x:c>
    </x:row>
    <x:row r="233">
      <x:c r="A233" s="70" t="str">
        <x:v>Elijah Sarratt</x:v>
      </x:c>
      <x:c r="B233" s="69" t="str">
        <x:v>WR</x:v>
      </x:c>
      <x:c r="C233" s="69" t="str">
        <x:v>BAL</x:v>
      </x:c>
      <x:c r="D233" s="74" t="n">
        <x:v>13</x:v>
      </x:c>
      <x:c r="E233" s="74" t="n">
        <x:v>228</x:v>
      </x:c>
      <x:c r="F233" s="75" t="n">
        <x:v>2.9</x:v>
      </x:c>
      <x:c r="G233" s="76" t="n">
        <x:v>0</x:v>
      </x:c>
      <x:c r="H233" s="76" t="n">
        <x:v>0</x:v>
      </x:c>
      <x:c r="I233" s="76" t="n">
        <x:v>0</x:v>
      </x:c>
      <x:c r="J233" s="76" t="n">
        <x:v>19</x:v>
      </x:c>
      <x:c r="K233" s="76" t="n">
        <x:v>227</x:v>
      </x:c>
      <x:c r="L233" s="76" t="n">
        <x:v>1</x:v>
      </x:c>
      <x:c r="M233" s="76" t="n">
        <x:v>0</x:v>
      </x:c>
      <x:c r="N233" s="73" t="str">
        <x:v>https://www.thefantasyfootballers.com/2026-ultimate-draft-kit/udk-mikes-projections/?position=FLEX</x:v>
      </x:c>
    </x:row>
    <x:row r="234">
      <x:c r="A234" s="70" t="str">
        <x:v>Chimere Dike</x:v>
      </x:c>
      <x:c r="B234" s="69" t="str">
        <x:v>WR</x:v>
      </x:c>
      <x:c r="C234" s="69" t="str">
        <x:v>TEN</x:v>
      </x:c>
      <x:c r="D234" s="74" t="n">
        <x:v>9</x:v>
      </x:c>
      <x:c r="E234" s="74" t="n">
        <x:v>229</x:v>
      </x:c>
      <x:c r="F234" s="75" t="n">
        <x:v>2.9</x:v>
      </x:c>
      <x:c r="G234" s="76" t="n">
        <x:v>11</x:v>
      </x:c>
      <x:c r="H234" s="76" t="n">
        <x:v>18</x:v>
      </x:c>
      <x:c r="I234" s="76" t="n">
        <x:v>0</x:v>
      </x:c>
      <x:c r="J234" s="76" t="n">
        <x:v>21</x:v>
      </x:c>
      <x:c r="K234" s="76" t="n">
        <x:v>189</x:v>
      </x:c>
      <x:c r="L234" s="76" t="n">
        <x:v>1</x:v>
      </x:c>
      <x:c r="M234" s="76" t="n">
        <x:v>0</x:v>
      </x:c>
      <x:c r="N234" s="73" t="str">
        <x:v>https://www.thefantasyfootballers.com/2026-ultimate-draft-kit/udk-mikes-projections/?position=FLEX</x:v>
      </x:c>
    </x:row>
    <x:row r="235">
      <x:c r="A235" s="70" t="str">
        <x:v>Xavier Legette</x:v>
      </x:c>
      <x:c r="B235" s="69" t="str">
        <x:v>WR</x:v>
      </x:c>
      <x:c r="C235" s="69" t="str">
        <x:v>CAR</x:v>
      </x:c>
      <x:c r="D235" s="74" t="n">
        <x:v>5</x:v>
      </x:c>
      <x:c r="E235" s="74" t="n">
        <x:v>230</x:v>
      </x:c>
      <x:c r="F235" s="75" t="n">
        <x:v>2.9</x:v>
      </x:c>
      <x:c r="G235" s="76" t="n">
        <x:v>3</x:v>
      </x:c>
      <x:c r="H235" s="76" t="n">
        <x:v>9</x:v>
      </x:c>
      <x:c r="I235" s="76" t="n">
        <x:v>0</x:v>
      </x:c>
      <x:c r="J235" s="76" t="n">
        <x:v>20</x:v>
      </x:c>
      <x:c r="K235" s="76" t="n">
        <x:v>207</x:v>
      </x:c>
      <x:c r="L235" s="76" t="n">
        <x:v>1</x:v>
      </x:c>
      <x:c r="M235" s="76" t="n">
        <x:v>1</x:v>
      </x:c>
      <x:c r="N235" s="73" t="str">
        <x:v>https://www.thefantasyfootballers.com/2026-ultimate-draft-kit/udk-mikes-projections/?position=FLEX</x:v>
      </x:c>
    </x:row>
    <x:row r="236">
      <x:c r="A236" s="70" t="str">
        <x:v>Samaje Perine</x:v>
      </x:c>
      <x:c r="B236" s="69" t="str">
        <x:v>RB</x:v>
      </x:c>
      <x:c r="C236" s="69" t="str">
        <x:v>CIN</x:v>
      </x:c>
      <x:c r="D236" s="74" t="n">
        <x:v>6</x:v>
      </x:c>
      <x:c r="E236" s="74" t="n">
        <x:v>231</x:v>
      </x:c>
      <x:c r="F236" s="75" t="n">
        <x:v>2.8</x:v>
      </x:c>
      <x:c r="G236" s="76" t="n">
        <x:v>13</x:v>
      </x:c>
      <x:c r="H236" s="76" t="n">
        <x:v>59</x:v>
      </x:c>
      <x:c r="I236" s="76" t="n">
        <x:v>0</x:v>
      </x:c>
      <x:c r="J236" s="76" t="n">
        <x:v>22</x:v>
      </x:c>
      <x:c r="K236" s="76" t="n">
        <x:v>177</x:v>
      </x:c>
      <x:c r="L236" s="76" t="n">
        <x:v>1</x:v>
      </x:c>
      <x:c r="M236" s="76" t="n">
        <x:v>2</x:v>
      </x:c>
      <x:c r="N236" s="73" t="str">
        <x:v>https://www.thefantasyfootballers.com/2026-ultimate-draft-kit/udk-mikes-projections/?position=FLEX</x:v>
      </x:c>
    </x:row>
    <x:row r="237">
      <x:c r="A237" s="70" t="str">
        <x:v>Treylon Burks</x:v>
      </x:c>
      <x:c r="B237" s="69" t="str">
        <x:v>WR</x:v>
      </x:c>
      <x:c r="C237" s="69" t="str">
        <x:v>WAS</x:v>
      </x:c>
      <x:c r="D237" s="74" t="n">
        <x:v>7</x:v>
      </x:c>
      <x:c r="E237" s="74" t="n">
        <x:v>232</x:v>
      </x:c>
      <x:c r="F237" s="75" t="n">
        <x:v>2.8</x:v>
      </x:c>
      <x:c r="G237" s="76" t="n">
        <x:v>0</x:v>
      </x:c>
      <x:c r="H237" s="76" t="n">
        <x:v>0</x:v>
      </x:c>
      <x:c r="I237" s="76" t="n">
        <x:v>0</x:v>
      </x:c>
      <x:c r="J237" s="76" t="n">
        <x:v>18</x:v>
      </x:c>
      <x:c r="K237" s="76" t="n">
        <x:v>238</x:v>
      </x:c>
      <x:c r="L237" s="76" t="n">
        <x:v>1</x:v>
      </x:c>
      <x:c r="M237" s="76" t="n">
        <x:v>0</x:v>
      </x:c>
      <x:c r="N237" s="73" t="str">
        <x:v>https://www.thefantasyfootballers.com/2026-ultimate-draft-kit/udk-mikes-projections/?position=FLEX</x:v>
      </x:c>
    </x:row>
    <x:row r="238">
      <x:c r="A238" s="70" t="str">
        <x:v>Elijah Arroyo</x:v>
      </x:c>
      <x:c r="B238" s="69" t="str">
        <x:v>TE</x:v>
      </x:c>
      <x:c r="C238" s="69" t="str">
        <x:v>SEA</x:v>
      </x:c>
      <x:c r="D238" s="74" t="n">
        <x:v>11</x:v>
      </x:c>
      <x:c r="E238" s="74" t="n">
        <x:v>233</x:v>
      </x:c>
      <x:c r="F238" s="75" t="n">
        <x:v>2.8</x:v>
      </x:c>
      <x:c r="G238" s="76" t="n">
        <x:v>0</x:v>
      </x:c>
      <x:c r="H238" s="76" t="n">
        <x:v>0</x:v>
      </x:c>
      <x:c r="I238" s="76" t="n">
        <x:v>0</x:v>
      </x:c>
      <x:c r="J238" s="76" t="n">
        <x:v>19</x:v>
      </x:c>
      <x:c r="K238" s="76" t="n">
        <x:v>217</x:v>
      </x:c>
      <x:c r="L238" s="76" t="n">
        <x:v>2</x:v>
      </x:c>
      <x:c r="M238" s="76" t="n">
        <x:v>1</x:v>
      </x:c>
      <x:c r="N238" s="73" t="str">
        <x:v>https://www.thefantasyfootballers.com/2026-ultimate-draft-kit/udk-mikes-projections/?position=FLEX</x:v>
      </x:c>
    </x:row>
    <x:row r="239">
      <x:c r="A239" s="70" t="str">
        <x:v>Nicholas Singleton</x:v>
      </x:c>
      <x:c r="B239" s="69" t="str">
        <x:v>RB</x:v>
      </x:c>
      <x:c r="C239" s="69" t="str">
        <x:v>TEN</x:v>
      </x:c>
      <x:c r="D239" s="74" t="n">
        <x:v>9</x:v>
      </x:c>
      <x:c r="E239" s="74" t="n">
        <x:v>234</x:v>
      </x:c>
      <x:c r="F239" s="75" t="n">
        <x:v>2.8</x:v>
      </x:c>
      <x:c r="G239" s="76" t="n">
        <x:v>49</x:v>
      </x:c>
      <x:c r="H239" s="76" t="n">
        <x:v>211</x:v>
      </x:c>
      <x:c r="I239" s="76" t="n">
        <x:v>2</x:v>
      </x:c>
      <x:c r="J239" s="76" t="n">
        <x:v>9</x:v>
      </x:c>
      <x:c r="K239" s="76" t="n">
        <x:v>61</x:v>
      </x:c>
      <x:c r="L239" s="76" t="n">
        <x:v>0</x:v>
      </x:c>
      <x:c r="M239" s="76" t="n">
        <x:v>0</x:v>
      </x:c>
      <x:c r="N239" s="73" t="str">
        <x:v>https://www.thefantasyfootballers.com/2026-ultimate-draft-kit/udk-mikes-projections/?position=FLEX</x:v>
      </x:c>
    </x:row>
    <x:row r="240">
      <x:c r="A240" s="70" t="str">
        <x:v>Dont'e Thornton Jr.</x:v>
      </x:c>
      <x:c r="B240" s="69" t="str">
        <x:v>WR</x:v>
      </x:c>
      <x:c r="C240" s="69" t="str">
        <x:v>LV</x:v>
      </x:c>
      <x:c r="D240" s="74" t="n">
        <x:v>13</x:v>
      </x:c>
      <x:c r="E240" s="74" t="n">
        <x:v>235</x:v>
      </x:c>
      <x:c r="F240" s="75" t="n">
        <x:v>2.8</x:v>
      </x:c>
      <x:c r="G240" s="76" t="n">
        <x:v>0</x:v>
      </x:c>
      <x:c r="H240" s="76" t="n">
        <x:v>0</x:v>
      </x:c>
      <x:c r="I240" s="76" t="n">
        <x:v>0</x:v>
      </x:c>
      <x:c r="J240" s="76" t="n">
        <x:v>17</x:v>
      </x:c>
      <x:c r="K240" s="76" t="n">
        <x:v>221</x:v>
      </x:c>
      <x:c r="L240" s="76" t="n">
        <x:v>1</x:v>
      </x:c>
      <x:c r="M240" s="76" t="n">
        <x:v>0</x:v>
      </x:c>
      <x:c r="N240" s="73" t="str">
        <x:v>https://www.thefantasyfootballers.com/2026-ultimate-draft-kit/udk-mikes-projections/?position=FLEX</x:v>
      </x:c>
    </x:row>
    <x:row r="241">
      <x:c r="A241" s="70" t="str">
        <x:v>Tutu Atwell</x:v>
      </x:c>
      <x:c r="B241" s="69" t="str">
        <x:v>WR</x:v>
      </x:c>
      <x:c r="C241" s="69" t="str">
        <x:v>LAR</x:v>
      </x:c>
      <x:c r="D241" s="74" t="n">
        <x:v>11</x:v>
      </x:c>
      <x:c r="E241" s="74" t="n">
        <x:v>236</x:v>
      </x:c>
      <x:c r="F241" s="75" t="n">
        <x:v>2.8</x:v>
      </x:c>
      <x:c r="G241" s="76" t="n">
        <x:v>2</x:v>
      </x:c>
      <x:c r="H241" s="76" t="n">
        <x:v>11</x:v>
      </x:c>
      <x:c r="I241" s="76" t="n">
        <x:v>0</x:v>
      </x:c>
      <x:c r="J241" s="76" t="n">
        <x:v>16</x:v>
      </x:c>
      <x:c r="K241" s="76" t="n">
        <x:v>231</x:v>
      </x:c>
      <x:c r="L241" s="76" t="n">
        <x:v>1</x:v>
      </x:c>
      <x:c r="M241" s="76" t="n">
        <x:v>0</x:v>
      </x:c>
      <x:c r="N241" s="73" t="str">
        <x:v>https://www.thefantasyfootballers.com/2026-ultimate-draft-kit/udk-mikes-projections/?position=FLEX</x:v>
      </x:c>
    </x:row>
    <x:row r="242">
      <x:c r="A242" s="70" t="str">
        <x:v>DJ Giddens</x:v>
      </x:c>
      <x:c r="B242" s="69" t="str">
        <x:v>RB</x:v>
      </x:c>
      <x:c r="C242" s="69" t="str">
        <x:v>IND</x:v>
      </x:c>
      <x:c r="D242" s="74" t="n">
        <x:v>13</x:v>
      </x:c>
      <x:c r="E242" s="74" t="n">
        <x:v>237</x:v>
      </x:c>
      <x:c r="F242" s="75" t="n">
        <x:v>2.6</x:v>
      </x:c>
      <x:c r="G242" s="76" t="n">
        <x:v>55</x:v>
      </x:c>
      <x:c r="H242" s="76" t="n">
        <x:v>203</x:v>
      </x:c>
      <x:c r="I242" s="76" t="n">
        <x:v>1</x:v>
      </x:c>
      <x:c r="J242" s="76" t="n">
        <x:v>8</x:v>
      </x:c>
      <x:c r="K242" s="76" t="n">
        <x:v>58</x:v>
      </x:c>
      <x:c r="L242" s="76" t="n">
        <x:v>0</x:v>
      </x:c>
      <x:c r="M242" s="76" t="n">
        <x:v>0</x:v>
      </x:c>
      <x:c r="N242" s="73" t="str">
        <x:v>https://www.thefantasyfootballers.com/2026-ultimate-draft-kit/udk-mikes-projections/?position=FLEX</x:v>
      </x:c>
    </x:row>
    <x:row r="243">
      <x:c r="A243" s="70" t="str">
        <x:v>Cedric Tillman</x:v>
      </x:c>
      <x:c r="B243" s="69" t="str">
        <x:v>WR</x:v>
      </x:c>
      <x:c r="C243" s="69" t="str">
        <x:v>FA</x:v>
      </x:c>
      <x:c r="D243" s="74"/>
      <x:c r="E243" s="74" t="n">
        <x:v>238</x:v>
      </x:c>
      <x:c r="F243" s="75" t="n">
        <x:v>2.6</x:v>
      </x:c>
      <x:c r="G243" s="76" t="n">
        <x:v>0</x:v>
      </x:c>
      <x:c r="H243" s="76" t="n">
        <x:v>0</x:v>
      </x:c>
      <x:c r="I243" s="76" t="n">
        <x:v>0</x:v>
      </x:c>
      <x:c r="J243" s="76" t="n">
        <x:v>17</x:v>
      </x:c>
      <x:c r="K243" s="76" t="n">
        <x:v>197</x:v>
      </x:c>
      <x:c r="L243" s="76" t="n">
        <x:v>1</x:v>
      </x:c>
      <x:c r="M243" s="76" t="n">
        <x:v>0</x:v>
      </x:c>
      <x:c r="N243" s="73" t="str">
        <x:v>https://www.thefantasyfootballers.com/2026-ultimate-draft-kit/udk-mikes-projections/?position=FLEX</x:v>
      </x:c>
    </x:row>
    <x:row r="244">
      <x:c r="A244" s="70" t="str">
        <x:v>Devontez Walker</x:v>
      </x:c>
      <x:c r="B244" s="69" t="str">
        <x:v>WR</x:v>
      </x:c>
      <x:c r="C244" s="69" t="str">
        <x:v>BAL</x:v>
      </x:c>
      <x:c r="D244" s="74" t="n">
        <x:v>13</x:v>
      </x:c>
      <x:c r="E244" s="74" t="n">
        <x:v>239</x:v>
      </x:c>
      <x:c r="F244" s="75" t="n">
        <x:v>2.5</x:v>
      </x:c>
      <x:c r="G244" s="76" t="n">
        <x:v>0</x:v>
      </x:c>
      <x:c r="H244" s="76" t="n">
        <x:v>0</x:v>
      </x:c>
      <x:c r="I244" s="76" t="n">
        <x:v>0</x:v>
      </x:c>
      <x:c r="J244" s="76" t="n">
        <x:v>15</x:v>
      </x:c>
      <x:c r="K244" s="76" t="n">
        <x:v>207</x:v>
      </x:c>
      <x:c r="L244" s="76" t="n">
        <x:v>1</x:v>
      </x:c>
      <x:c r="M244" s="76" t="n">
        <x:v>0</x:v>
      </x:c>
      <x:c r="N244" s="73" t="str">
        <x:v>https://www.thefantasyfootballers.com/2026-ultimate-draft-kit/udk-mikes-projections/?position=FLEX</x:v>
      </x:c>
    </x:row>
    <x:row r="245">
      <x:c r="A245" s="70" t="str">
        <x:v>Devin Neal</x:v>
      </x:c>
      <x:c r="B245" s="69" t="str">
        <x:v>RB</x:v>
      </x:c>
      <x:c r="C245" s="69" t="str">
        <x:v>NO</x:v>
      </x:c>
      <x:c r="D245" s="74" t="n">
        <x:v>8</x:v>
      </x:c>
      <x:c r="E245" s="74" t="n">
        <x:v>240</x:v>
      </x:c>
      <x:c r="F245" s="75" t="n">
        <x:v>2.5</x:v>
      </x:c>
      <x:c r="G245" s="76" t="n">
        <x:v>15</x:v>
      </x:c>
      <x:c r="H245" s="76" t="n">
        <x:v>56</x:v>
      </x:c>
      <x:c r="I245" s="76" t="n">
        <x:v>0</x:v>
      </x:c>
      <x:c r="J245" s="76" t="n">
        <x:v>19</x:v>
      </x:c>
      <x:c r="K245" s="76" t="n">
        <x:v>121</x:v>
      </x:c>
      <x:c r="L245" s="76" t="n">
        <x:v>1</x:v>
      </x:c>
      <x:c r="M245" s="76" t="n">
        <x:v>0</x:v>
      </x:c>
      <x:c r="N245" s="73" t="str">
        <x:v>https://www.thefantasyfootballers.com/2026-ultimate-draft-kit/udk-mikes-projections/?position=FLEX</x:v>
      </x:c>
    </x:row>
    <x:row r="246">
      <x:c r="A246" s="70" t="str">
        <x:v>Isaiah Davis</x:v>
      </x:c>
      <x:c r="B246" s="69" t="str">
        <x:v>RB</x:v>
      </x:c>
      <x:c r="C246" s="69" t="str">
        <x:v>NYJ</x:v>
      </x:c>
      <x:c r="D246" s="74" t="n">
        <x:v>13</x:v>
      </x:c>
      <x:c r="E246" s="74" t="n">
        <x:v>241</x:v>
      </x:c>
      <x:c r="F246" s="75" t="n">
        <x:v>2.5</x:v>
      </x:c>
      <x:c r="G246" s="76" t="n">
        <x:v>31</x:v>
      </x:c>
      <x:c r="H246" s="76" t="n">
        <x:v>174</x:v>
      </x:c>
      <x:c r="I246" s="76" t="n">
        <x:v>1</x:v>
      </x:c>
      <x:c r="J246" s="76" t="n">
        <x:v>9</x:v>
      </x:c>
      <x:c r="K246" s="76" t="n">
        <x:v>72</x:v>
      </x:c>
      <x:c r="L246" s="76" t="n">
        <x:v>0</x:v>
      </x:c>
      <x:c r="M246" s="76" t="n">
        <x:v>0</x:v>
      </x:c>
      <x:c r="N246" s="73" t="str">
        <x:v>https://www.thefantasyfootballers.com/2026-ultimate-draft-kit/udk-mikes-projections/?position=FLEX</x:v>
      </x:c>
    </x:row>
    <x:row r="247">
      <x:c r="A247" s="70" t="str">
        <x:v>Darnell Mooney</x:v>
      </x:c>
      <x:c r="B247" s="69" t="str">
        <x:v>WR</x:v>
      </x:c>
      <x:c r="C247" s="69" t="str">
        <x:v>NYG</x:v>
      </x:c>
      <x:c r="D247" s="74" t="n">
        <x:v>8</x:v>
      </x:c>
      <x:c r="E247" s="74" t="n">
        <x:v>242</x:v>
      </x:c>
      <x:c r="F247" s="75" t="n">
        <x:v>2.5</x:v>
      </x:c>
      <x:c r="G247" s="76" t="n">
        <x:v>0</x:v>
      </x:c>
      <x:c r="H247" s="76" t="n">
        <x:v>0</x:v>
      </x:c>
      <x:c r="I247" s="76" t="n">
        <x:v>0</x:v>
      </x:c>
      <x:c r="J247" s="76" t="n">
        <x:v>16</x:v>
      </x:c>
      <x:c r="K247" s="76" t="n">
        <x:v>217</x:v>
      </x:c>
      <x:c r="L247" s="76" t="n">
        <x:v>1</x:v>
      </x:c>
      <x:c r="M247" s="76" t="n">
        <x:v>1</x:v>
      </x:c>
      <x:c r="N247" s="73" t="str">
        <x:v>https://www.thefantasyfootballers.com/2026-ultimate-draft-kit/udk-mikes-projections/?position=FLEX</x:v>
      </x:c>
    </x:row>
    <x:row r="248">
      <x:c r="A248" s="70" t="str">
        <x:v>Mack Hollins</x:v>
      </x:c>
      <x:c r="B248" s="69" t="str">
        <x:v>WR</x:v>
      </x:c>
      <x:c r="C248" s="69" t="str">
        <x:v>NE</x:v>
      </x:c>
      <x:c r="D248" s="74" t="n">
        <x:v>11</x:v>
      </x:c>
      <x:c r="E248" s="74" t="n">
        <x:v>243</x:v>
      </x:c>
      <x:c r="F248" s="75" t="n">
        <x:v>2.4</x:v>
      </x:c>
      <x:c r="G248" s="76" t="n">
        <x:v>0</x:v>
      </x:c>
      <x:c r="H248" s="76" t="n">
        <x:v>0</x:v>
      </x:c>
      <x:c r="I248" s="76" t="n">
        <x:v>0</x:v>
      </x:c>
      <x:c r="J248" s="76" t="n">
        <x:v>15</x:v>
      </x:c>
      <x:c r="K248" s="76" t="n">
        <x:v>184</x:v>
      </x:c>
      <x:c r="L248" s="76" t="n">
        <x:v>1</x:v>
      </x:c>
      <x:c r="M248" s="76" t="n">
        <x:v>0</x:v>
      </x:c>
      <x:c r="N248" s="73" t="str">
        <x:v>https://www.thefantasyfootballers.com/2026-ultimate-draft-kit/udk-mikes-projections/?position=FLEX</x:v>
      </x:c>
    </x:row>
    <x:row r="249">
      <x:c r="A249" s="70" t="str">
        <x:v>Jaylen Wright</x:v>
      </x:c>
      <x:c r="B249" s="69" t="str">
        <x:v>RB</x:v>
      </x:c>
      <x:c r="C249" s="69" t="str">
        <x:v>MIA</x:v>
      </x:c>
      <x:c r="D249" s="74" t="n">
        <x:v>6</x:v>
      </x:c>
      <x:c r="E249" s="74" t="n">
        <x:v>244</x:v>
      </x:c>
      <x:c r="F249" s="75" t="n">
        <x:v>2.4</x:v>
      </x:c>
      <x:c r="G249" s="76" t="n">
        <x:v>52</x:v>
      </x:c>
      <x:c r="H249" s="76" t="n">
        <x:v>202</x:v>
      </x:c>
      <x:c r="I249" s="76" t="n">
        <x:v>1</x:v>
      </x:c>
      <x:c r="J249" s="76" t="n">
        <x:v>9</x:v>
      </x:c>
      <x:c r="K249" s="76" t="n">
        <x:v>64</x:v>
      </x:c>
      <x:c r="L249" s="76" t="n">
        <x:v>0</x:v>
      </x:c>
      <x:c r="M249" s="76" t="n">
        <x:v>2</x:v>
      </x:c>
      <x:c r="N249" s="73" t="str">
        <x:v>https://www.thefantasyfootballers.com/2026-ultimate-draft-kit/udk-mikes-projections/?position=FLEX</x:v>
      </x:c>
    </x:row>
    <x:row r="250">
      <x:c r="A250" s="70" t="str">
        <x:v>Devin Singletary</x:v>
      </x:c>
      <x:c r="B250" s="69" t="str">
        <x:v>RB</x:v>
      </x:c>
      <x:c r="C250" s="69" t="str">
        <x:v>NYG</x:v>
      </x:c>
      <x:c r="D250" s="74" t="n">
        <x:v>8</x:v>
      </x:c>
      <x:c r="E250" s="74" t="n">
        <x:v>245</x:v>
      </x:c>
      <x:c r="F250" s="75" t="n">
        <x:v>2.3</x:v>
      </x:c>
      <x:c r="G250" s="76" t="n">
        <x:v>22</x:v>
      </x:c>
      <x:c r="H250" s="76" t="n">
        <x:v>87</x:v>
      </x:c>
      <x:c r="I250" s="76" t="n">
        <x:v>1</x:v>
      </x:c>
      <x:c r="J250" s="76" t="n">
        <x:v>16</x:v>
      </x:c>
      <x:c r="K250" s="76" t="n">
        <x:v>110</x:v>
      </x:c>
      <x:c r="L250" s="76" t="n">
        <x:v>0</x:v>
      </x:c>
      <x:c r="M250" s="76" t="n">
        <x:v>1</x:v>
      </x:c>
      <x:c r="N250" s="73" t="str">
        <x:v>https://www.thefantasyfootballers.com/2026-ultimate-draft-kit/udk-mikes-projections/?position=FLEX</x:v>
      </x:c>
    </x:row>
    <x:row r="251">
      <x:c r="A251" s="70" t="str">
        <x:v>Jake Tonges</x:v>
      </x:c>
      <x:c r="B251" s="69" t="str">
        <x:v>TE</x:v>
      </x:c>
      <x:c r="C251" s="69" t="str">
        <x:v>SF</x:v>
      </x:c>
      <x:c r="D251" s="74" t="n">
        <x:v>8</x:v>
      </x:c>
      <x:c r="E251" s="74" t="n">
        <x:v>246</x:v>
      </x:c>
      <x:c r="F251" s="75" t="n">
        <x:v>2.3</x:v>
      </x:c>
      <x:c r="G251" s="76" t="n">
        <x:v>0</x:v>
      </x:c>
      <x:c r="H251" s="76" t="n">
        <x:v>0</x:v>
      </x:c>
      <x:c r="I251" s="76" t="n">
        <x:v>0</x:v>
      </x:c>
      <x:c r="J251" s="76" t="n">
        <x:v>16</x:v>
      </x:c>
      <x:c r="K251" s="76" t="n">
        <x:v>145</x:v>
      </x:c>
      <x:c r="L251" s="76" t="n">
        <x:v>1</x:v>
      </x:c>
      <x:c r="M251" s="76" t="n">
        <x:v>0</x:v>
      </x:c>
      <x:c r="N251" s="73" t="str">
        <x:v>https://www.thefantasyfootballers.com/2026-ultimate-draft-kit/udk-mikes-projections/?position=FLEX</x:v>
      </x:c>
    </x:row>
    <x:row r="252">
      <x:c r="A252" s="70" t="str">
        <x:v>Jaylin Lane</x:v>
      </x:c>
      <x:c r="B252" s="69" t="str">
        <x:v>WR</x:v>
      </x:c>
      <x:c r="C252" s="69" t="str">
        <x:v>WAS</x:v>
      </x:c>
      <x:c r="D252" s="74" t="n">
        <x:v>7</x:v>
      </x:c>
      <x:c r="E252" s="74" t="n">
        <x:v>247</x:v>
      </x:c>
      <x:c r="F252" s="75" t="n">
        <x:v>2.2</x:v>
      </x:c>
      <x:c r="G252" s="76" t="n">
        <x:v>0</x:v>
      </x:c>
      <x:c r="H252" s="76" t="n">
        <x:v>0</x:v>
      </x:c>
      <x:c r="I252" s="76" t="n">
        <x:v>0</x:v>
      </x:c>
      <x:c r="J252" s="76" t="n">
        <x:v>13</x:v>
      </x:c>
      <x:c r="K252" s="76" t="n">
        <x:v>176</x:v>
      </x:c>
      <x:c r="L252" s="76" t="n">
        <x:v>1</x:v>
      </x:c>
      <x:c r="M252" s="76" t="n">
        <x:v>0</x:v>
      </x:c>
      <x:c r="N252" s="73" t="str">
        <x:v>https://www.thefantasyfootballers.com/2026-ultimate-draft-kit/udk-mikes-projections/?position=FLEX</x:v>
      </x:c>
    </x:row>
    <x:row r="253">
      <x:c r="A253" s="70" t="str">
        <x:v>Ollie Gordon II</x:v>
      </x:c>
      <x:c r="B253" s="69" t="str">
        <x:v>RB</x:v>
      </x:c>
      <x:c r="C253" s="69" t="str">
        <x:v>MIA</x:v>
      </x:c>
      <x:c r="D253" s="74" t="n">
        <x:v>6</x:v>
      </x:c>
      <x:c r="E253" s="74" t="n">
        <x:v>248</x:v>
      </x:c>
      <x:c r="F253" s="75" t="n">
        <x:v>2.1</x:v>
      </x:c>
      <x:c r="G253" s="76" t="n">
        <x:v>40</x:v>
      </x:c>
      <x:c r="H253" s="76" t="n">
        <x:v>111</x:v>
      </x:c>
      <x:c r="I253" s="76" t="n">
        <x:v>1</x:v>
      </x:c>
      <x:c r="J253" s="76" t="n">
        <x:v>11</x:v>
      </x:c>
      <x:c r="K253" s="76" t="n">
        <x:v>65</x:v>
      </x:c>
      <x:c r="L253" s="76" t="n">
        <x:v>0</x:v>
      </x:c>
      <x:c r="M253" s="76" t="n">
        <x:v>0</x:v>
      </x:c>
      <x:c r="N253" s="73" t="str">
        <x:v>https://www.thefantasyfootballers.com/2026-ultimate-draft-kit/udk-mikes-projections/?position=FLEX</x:v>
      </x:c>
    </x:row>
    <x:row r="254">
      <x:c r="A254" s="70" t="str">
        <x:v>Malik Benson</x:v>
      </x:c>
      <x:c r="B254" s="69" t="str">
        <x:v>WR</x:v>
      </x:c>
      <x:c r="C254" s="69" t="str">
        <x:v>LV</x:v>
      </x:c>
      <x:c r="D254" s="74" t="n">
        <x:v>13</x:v>
      </x:c>
      <x:c r="E254" s="74" t="n">
        <x:v>249</x:v>
      </x:c>
      <x:c r="F254" s="75" t="n">
        <x:v>2.1</x:v>
      </x:c>
      <x:c r="G254" s="76" t="n">
        <x:v>0</x:v>
      </x:c>
      <x:c r="H254" s="76" t="n">
        <x:v>0</x:v>
      </x:c>
      <x:c r="I254" s="76" t="n">
        <x:v>0</x:v>
      </x:c>
      <x:c r="J254" s="76" t="n">
        <x:v>14</x:v>
      </x:c>
      <x:c r="K254" s="76" t="n">
        <x:v>156</x:v>
      </x:c>
      <x:c r="L254" s="76" t="n">
        <x:v>1</x:v>
      </x:c>
      <x:c r="M254" s="76" t="n">
        <x:v>0</x:v>
      </x:c>
      <x:c r="N254" s="73" t="str">
        <x:v>https://www.thefantasyfootballers.com/2026-ultimate-draft-kit/udk-mikes-projections/?position=FLEX</x:v>
      </x:c>
    </x:row>
    <x:row r="255">
      <x:c r="A255" s="70" t="str">
        <x:v>Olamide Zaccheaus</x:v>
      </x:c>
      <x:c r="B255" s="69" t="str">
        <x:v>WR</x:v>
      </x:c>
      <x:c r="C255" s="69" t="str">
        <x:v>ATL</x:v>
      </x:c>
      <x:c r="D255" s="74" t="n">
        <x:v>11</x:v>
      </x:c>
      <x:c r="E255" s="74" t="n">
        <x:v>250</x:v>
      </x:c>
      <x:c r="F255" s="75" t="n">
        <x:v>2</x:v>
      </x:c>
      <x:c r="G255" s="76" t="n">
        <x:v>2</x:v>
      </x:c>
      <x:c r="H255" s="76" t="n">
        <x:v>14</x:v>
      </x:c>
      <x:c r="I255" s="76" t="n">
        <x:v>0</x:v>
      </x:c>
      <x:c r="J255" s="76" t="n">
        <x:v>13</x:v>
      </x:c>
      <x:c r="K255" s="76" t="n">
        <x:v>143</x:v>
      </x:c>
      <x:c r="L255" s="76" t="n">
        <x:v>1</x:v>
      </x:c>
      <x:c r="M255" s="76" t="n">
        <x:v>0</x:v>
      </x:c>
      <x:c r="N255" s="73" t="str">
        <x:v>https://www.thefantasyfootballers.com/2026-ultimate-draft-kit/udk-mikes-projections/?position=FLEX</x:v>
      </x:c>
    </x:row>
    <x:row r="256">
      <x:c r="A256" s="70" t="str">
        <x:v>Calvin Austin III</x:v>
      </x:c>
      <x:c r="B256" s="69" t="str">
        <x:v>WR</x:v>
      </x:c>
      <x:c r="C256" s="69" t="str">
        <x:v>NYG</x:v>
      </x:c>
      <x:c r="D256" s="74" t="n">
        <x:v>8</x:v>
      </x:c>
      <x:c r="E256" s="74" t="n">
        <x:v>251</x:v>
      </x:c>
      <x:c r="F256" s="75" t="n">
        <x:v>1.9</x:v>
      </x:c>
      <x:c r="G256" s="76" t="n">
        <x:v>2</x:v>
      </x:c>
      <x:c r="H256" s="76" t="n">
        <x:v>11</x:v>
      </x:c>
      <x:c r="I256" s="76" t="n">
        <x:v>0</x:v>
      </x:c>
      <x:c r="J256" s="76" t="n">
        <x:v>11</x:v>
      </x:c>
      <x:c r="K256" s="76" t="n">
        <x:v>139</x:v>
      </x:c>
      <x:c r="L256" s="76" t="n">
        <x:v>1</x:v>
      </x:c>
      <x:c r="M256" s="76" t="n">
        <x:v>0</x:v>
      </x:c>
      <x:c r="N256" s="73" t="str">
        <x:v>https://www.thefantasyfootballers.com/2026-ultimate-draft-kit/udk-mikes-projections/?position=FLEX</x:v>
      </x:c>
    </x:row>
    <x:row r="257">
      <x:c r="A257" s="70" t="str">
        <x:v>Braelon Allen</x:v>
      </x:c>
      <x:c r="B257" s="69" t="str">
        <x:v>RB</x:v>
      </x:c>
      <x:c r="C257" s="69" t="str">
        <x:v>NYJ</x:v>
      </x:c>
      <x:c r="D257" s="74" t="n">
        <x:v>13</x:v>
      </x:c>
      <x:c r="E257" s="74" t="n">
        <x:v>252</x:v>
      </x:c>
      <x:c r="F257" s="75" t="n">
        <x:v>1.9</x:v>
      </x:c>
      <x:c r="G257" s="76" t="n">
        <x:v>62</x:v>
      </x:c>
      <x:c r="H257" s="76" t="n">
        <x:v>236</x:v>
      </x:c>
      <x:c r="I257" s="76" t="n">
        <x:v>2</x:v>
      </x:c>
      <x:c r="J257" s="76" t="n">
        <x:v>0</x:v>
      </x:c>
      <x:c r="K257" s="76" t="n">
        <x:v>0</x:v>
      </x:c>
      <x:c r="L257" s="76" t="n">
        <x:v>0</x:v>
      </x:c>
      <x:c r="M257" s="76" t="n">
        <x:v>1</x:v>
      </x:c>
      <x:c r="N257" s="73" t="str">
        <x:v>https://www.thefantasyfootballers.com/2026-ultimate-draft-kit/udk-mikes-projections/?position=FLEX</x:v>
      </x:c>
    </x:row>
    <x:row r="258">
      <x:c r="A258" s="70" t="str">
        <x:v>Justin Joly</x:v>
      </x:c>
      <x:c r="B258" s="69" t="str">
        <x:v>TE</x:v>
      </x:c>
      <x:c r="C258" s="69" t="str">
        <x:v>FA</x:v>
      </x:c>
      <x:c r="D258" s="74"/>
      <x:c r="E258" s="74" t="n">
        <x:v>253</x:v>
      </x:c>
      <x:c r="F258" s="75" t="n">
        <x:v>1.8</x:v>
      </x:c>
      <x:c r="G258" s="76" t="n">
        <x:v>0</x:v>
      </x:c>
      <x:c r="H258" s="76" t="n">
        <x:v>0</x:v>
      </x:c>
      <x:c r="I258" s="76" t="n">
        <x:v>0</x:v>
      </x:c>
      <x:c r="J258" s="76" t="n">
        <x:v>13</x:v>
      </x:c>
      <x:c r="K258" s="76" t="n">
        <x:v>128</x:v>
      </x:c>
      <x:c r="L258" s="76" t="n">
        <x:v>1</x:v>
      </x:c>
      <x:c r="M258" s="76" t="n">
        <x:v>0</x:v>
      </x:c>
      <x:c r="N258" s="73" t="str">
        <x:v>https://www.thefantasyfootballers.com/2026-ultimate-draft-kit/udk-mikes-projections/?position=FLEX</x:v>
      </x:c>
    </x:row>
    <x:row r="259">
      <x:c r="A259" s="70" t="str">
        <x:v>Ben Sinnott</x:v>
      </x:c>
      <x:c r="B259" s="69" t="str">
        <x:v>TE</x:v>
      </x:c>
      <x:c r="C259" s="69" t="str">
        <x:v>WAS</x:v>
      </x:c>
      <x:c r="D259" s="74" t="n">
        <x:v>7</x:v>
      </x:c>
      <x:c r="E259" s="74" t="n">
        <x:v>254</x:v>
      </x:c>
      <x:c r="F259" s="75" t="n">
        <x:v>1.8</x:v>
      </x:c>
      <x:c r="G259" s="76" t="n">
        <x:v>0</x:v>
      </x:c>
      <x:c r="H259" s="76" t="n">
        <x:v>0</x:v>
      </x:c>
      <x:c r="I259" s="76" t="n">
        <x:v>0</x:v>
      </x:c>
      <x:c r="J259" s="76" t="n">
        <x:v>13</x:v>
      </x:c>
      <x:c r="K259" s="76" t="n">
        <x:v>126</x:v>
      </x:c>
      <x:c r="L259" s="76" t="n">
        <x:v>1</x:v>
      </x:c>
      <x:c r="M259" s="76" t="n">
        <x:v>0</x:v>
      </x:c>
      <x:c r="N259" s="73" t="str">
        <x:v>https://www.thefantasyfootballers.com/2026-ultimate-draft-kit/udk-mikes-projections/?position=FLEX</x:v>
      </x:c>
    </x:row>
    <x:row r="260">
      <x:c r="A260" s="70" t="str">
        <x:v>Kendrick Bourne</x:v>
      </x:c>
      <x:c r="B260" s="69" t="str">
        <x:v>WR</x:v>
      </x:c>
      <x:c r="C260" s="69" t="str">
        <x:v>ARI</x:v>
      </x:c>
      <x:c r="D260" s="74" t="n">
        <x:v>14</x:v>
      </x:c>
      <x:c r="E260" s="74" t="n">
        <x:v>255</x:v>
      </x:c>
      <x:c r="F260" s="75" t="n">
        <x:v>1.7</x:v>
      </x:c>
      <x:c r="G260" s="76" t="n">
        <x:v>0</x:v>
      </x:c>
      <x:c r="H260" s="76" t="n">
        <x:v>0</x:v>
      </x:c>
      <x:c r="I260" s="76" t="n">
        <x:v>0</x:v>
      </x:c>
      <x:c r="J260" s="76" t="n">
        <x:v>11</x:v>
      </x:c>
      <x:c r="K260" s="76" t="n">
        <x:v>140</x:v>
      </x:c>
      <x:c r="L260" s="76" t="n">
        <x:v>1</x:v>
      </x:c>
      <x:c r="M260" s="76" t="n">
        <x:v>0</x:v>
      </x:c>
      <x:c r="N260" s="73" t="str">
        <x:v>https://www.thefantasyfootballers.com/2026-ultimate-draft-kit/udk-mikes-projections/?position=FLEX</x:v>
      </x:c>
    </x:row>
    <x:row r="261">
      <x:c r="A261" s="70" t="str">
        <x:v>Emari Demercado</x:v>
      </x:c>
      <x:c r="B261" s="69" t="str">
        <x:v>RB</x:v>
      </x:c>
      <x:c r="C261" s="69" t="str">
        <x:v>FA</x:v>
      </x:c>
      <x:c r="D261" s="74"/>
      <x:c r="E261" s="74" t="n">
        <x:v>256</x:v>
      </x:c>
      <x:c r="F261" s="75" t="n">
        <x:v>1.6</x:v>
      </x:c>
      <x:c r="G261" s="76" t="n">
        <x:v>11</x:v>
      </x:c>
      <x:c r="H261" s="76" t="n">
        <x:v>75</x:v>
      </x:c>
      <x:c r="I261" s="76" t="n">
        <x:v>0</x:v>
      </x:c>
      <x:c r="J261" s="76" t="n">
        <x:v>9</x:v>
      </x:c>
      <x:c r="K261" s="76" t="n">
        <x:v>58</x:v>
      </x:c>
      <x:c r="L261" s="76" t="n">
        <x:v>0</x:v>
      </x:c>
      <x:c r="M261" s="76" t="n">
        <x:v>0</x:v>
      </x:c>
      <x:c r="N261" s="73" t="str">
        <x:v>https://www.thefantasyfootballers.com/2026-ultimate-draft-kit/udk-mikes-projections/?position=FLEX</x:v>
      </x:c>
    </x:row>
    <x:row r="262">
      <x:c r="A262" s="70" t="str">
        <x:v>Demond Claiborne</x:v>
      </x:c>
      <x:c r="B262" s="69" t="str">
        <x:v>RB</x:v>
      </x:c>
      <x:c r="C262" s="69" t="str">
        <x:v>MIN</x:v>
      </x:c>
      <x:c r="D262" s="74" t="n">
        <x:v>6</x:v>
      </x:c>
      <x:c r="E262" s="74" t="n">
        <x:v>257</x:v>
      </x:c>
      <x:c r="F262" s="75" t="n">
        <x:v>1.5</x:v>
      </x:c>
      <x:c r="G262" s="76" t="n">
        <x:v>27</x:v>
      </x:c>
      <x:c r="H262" s="76" t="n">
        <x:v>117</x:v>
      </x:c>
      <x:c r="I262" s="76" t="n">
        <x:v>1</x:v>
      </x:c>
      <x:c r="J262" s="76" t="n">
        <x:v>5</x:v>
      </x:c>
      <x:c r="K262" s="76" t="n">
        <x:v>35</x:v>
      </x:c>
      <x:c r="L262" s="76" t="n">
        <x:v>0</x:v>
      </x:c>
      <x:c r="M262" s="76" t="n">
        <x:v>0</x:v>
      </x:c>
      <x:c r="N262" s="73" t="str">
        <x:v>https://www.thefantasyfootballers.com/2026-ultimate-draft-kit/udk-mikes-projections/?position=FLEX</x:v>
      </x:c>
    </x:row>
    <x:row r="263">
      <x:c r="A263" s="70" t="str">
        <x:v>Van Jefferson</x:v>
      </x:c>
      <x:c r="B263" s="69" t="str">
        <x:v>WR</x:v>
      </x:c>
      <x:c r="C263" s="69" t="str">
        <x:v>FA</x:v>
      </x:c>
      <x:c r="D263" s="74"/>
      <x:c r="E263" s="74" t="n">
        <x:v>258</x:v>
      </x:c>
      <x:c r="F263" s="75" t="n">
        <x:v>1.5</x:v>
      </x:c>
      <x:c r="G263" s="76" t="n">
        <x:v>0</x:v>
      </x:c>
      <x:c r="H263" s="76" t="n">
        <x:v>0</x:v>
      </x:c>
      <x:c r="I263" s="76" t="n">
        <x:v>0</x:v>
      </x:c>
      <x:c r="J263" s="76" t="n">
        <x:v>9</x:v>
      </x:c>
      <x:c r="K263" s="76" t="n">
        <x:v>118</x:v>
      </x:c>
      <x:c r="L263" s="76" t="n">
        <x:v>1</x:v>
      </x:c>
      <x:c r="M263" s="76" t="n">
        <x:v>0</x:v>
      </x:c>
      <x:c r="N263" s="73" t="str">
        <x:v>https://www.thefantasyfootballers.com/2026-ultimate-draft-kit/udk-mikes-projections/?position=FLEX</x:v>
      </x:c>
    </x:row>
    <x:row r="264">
      <x:c r="A264" s="70" t="str">
        <x:v>Kaleb Johnson</x:v>
      </x:c>
      <x:c r="B264" s="69" t="str">
        <x:v>RB</x:v>
      </x:c>
      <x:c r="C264" s="69" t="str">
        <x:v>GB</x:v>
      </x:c>
      <x:c r="D264" s="74" t="n">
        <x:v>11</x:v>
      </x:c>
      <x:c r="E264" s="74" t="n">
        <x:v>259</x:v>
      </x:c>
      <x:c r="F264" s="75" t="n">
        <x:v>1.5</x:v>
      </x:c>
      <x:c r="G264" s="76" t="n">
        <x:v>70</x:v>
      </x:c>
      <x:c r="H264" s="76" t="n">
        <x:v>175</x:v>
      </x:c>
      <x:c r="I264" s="76" t="n">
        <x:v>1</x:v>
      </x:c>
      <x:c r="J264" s="76" t="n">
        <x:v>0</x:v>
      </x:c>
      <x:c r="K264" s="76" t="n">
        <x:v>0</x:v>
      </x:c>
      <x:c r="L264" s="76" t="n">
        <x:v>0</x:v>
      </x:c>
      <x:c r="M264" s="76" t="n">
        <x:v>0</x:v>
      </x:c>
      <x:c r="N264" s="73" t="str">
        <x:v>https://www.thefantasyfootballers.com/2026-ultimate-draft-kit/udk-mikes-projections/?position=FLEX</x:v>
      </x:c>
    </x:row>
    <x:row r="265">
      <x:c r="A265" s="70" t="str">
        <x:v>Nate Boerkircher</x:v>
      </x:c>
      <x:c r="B265" s="69" t="str">
        <x:v>TE</x:v>
      </x:c>
      <x:c r="C265" s="69" t="str">
        <x:v>JAX</x:v>
      </x:c>
      <x:c r="D265" s="74" t="n">
        <x:v>7</x:v>
      </x:c>
      <x:c r="E265" s="74" t="n">
        <x:v>260</x:v>
      </x:c>
      <x:c r="F265" s="75" t="n">
        <x:v>1.4</x:v>
      </x:c>
      <x:c r="G265" s="76" t="n">
        <x:v>0</x:v>
      </x:c>
      <x:c r="H265" s="76" t="n">
        <x:v>0</x:v>
      </x:c>
      <x:c r="I265" s="76" t="n">
        <x:v>0</x:v>
      </x:c>
      <x:c r="J265" s="76" t="n">
        <x:v>10</x:v>
      </x:c>
      <x:c r="K265" s="76" t="n">
        <x:v>99</x:v>
      </x:c>
      <x:c r="L265" s="76" t="n">
        <x:v>1</x:v>
      </x:c>
      <x:c r="M265" s="76" t="n">
        <x:v>0</x:v>
      </x:c>
      <x:c r="N265" s="73" t="str">
        <x:v>https://www.thefantasyfootballers.com/2026-ultimate-draft-kit/udk-mikes-projections/?position=FLEX</x:v>
      </x:c>
    </x:row>
    <x:row r="266">
      <x:c r="A266" s="70" t="str">
        <x:v>Trevor Etienne</x:v>
      </x:c>
      <x:c r="B266" s="69" t="str">
        <x:v>RB</x:v>
      </x:c>
      <x:c r="C266" s="69" t="str">
        <x:v>CAR</x:v>
      </x:c>
      <x:c r="D266" s="74" t="n">
        <x:v>5</x:v>
      </x:c>
      <x:c r="E266" s="74" t="n">
        <x:v>261</x:v>
      </x:c>
      <x:c r="F266" s="75" t="n">
        <x:v>1.4</x:v>
      </x:c>
      <x:c r="G266" s="76" t="n">
        <x:v>27</x:v>
      </x:c>
      <x:c r="H266" s="76" t="n">
        <x:v>125</x:v>
      </x:c>
      <x:c r="I266" s="76" t="n">
        <x:v>1</x:v>
      </x:c>
      <x:c r="J266" s="76" t="n">
        <x:v>3</x:v>
      </x:c>
      <x:c r="K266" s="76" t="n">
        <x:v>21</x:v>
      </x:c>
      <x:c r="L266" s="76" t="n">
        <x:v>0</x:v>
      </x:c>
      <x:c r="M266" s="76" t="n">
        <x:v>0</x:v>
      </x:c>
      <x:c r="N266" s="73" t="str">
        <x:v>https://www.thefantasyfootballers.com/2026-ultimate-draft-kit/udk-mikes-projections/?position=FLEX</x:v>
      </x:c>
    </x:row>
    <x:row r="267">
      <x:c r="A267" s="70" t="str">
        <x:v>Tahj Brooks</x:v>
      </x:c>
      <x:c r="B267" s="69" t="str">
        <x:v>RB</x:v>
      </x:c>
      <x:c r="C267" s="69" t="str">
        <x:v>CIN</x:v>
      </x:c>
      <x:c r="D267" s="74" t="n">
        <x:v>6</x:v>
      </x:c>
      <x:c r="E267" s="74" t="n">
        <x:v>262</x:v>
      </x:c>
      <x:c r="F267" s="75" t="n">
        <x:v>1.4</x:v>
      </x:c>
      <x:c r="G267" s="76" t="n">
        <x:v>29</x:v>
      </x:c>
      <x:c r="H267" s="76" t="n">
        <x:v>82</x:v>
      </x:c>
      <x:c r="I267" s="76" t="n">
        <x:v>1</x:v>
      </x:c>
      <x:c r="J267" s="76" t="n">
        <x:v>6</x:v>
      </x:c>
      <x:c r="K267" s="76" t="n">
        <x:v>45</x:v>
      </x:c>
      <x:c r="L267" s="76" t="n">
        <x:v>0</x:v>
      </x:c>
      <x:c r="M267" s="76" t="n">
        <x:v>0</x:v>
      </x:c>
      <x:c r="N267" s="73" t="str">
        <x:v>https://www.thefantasyfootballers.com/2026-ultimate-draft-kit/udk-mikes-projections/?position=FLEX</x:v>
      </x:c>
    </x:row>
    <x:row r="268">
      <x:c r="A268" s="70" t="str">
        <x:v>Jordan James</x:v>
      </x:c>
      <x:c r="B268" s="69" t="str">
        <x:v>RB</x:v>
      </x:c>
      <x:c r="C268" s="69" t="str">
        <x:v>SF</x:v>
      </x:c>
      <x:c r="D268" s="74" t="n">
        <x:v>8</x:v>
      </x:c>
      <x:c r="E268" s="74" t="n">
        <x:v>263</x:v>
      </x:c>
      <x:c r="F268" s="75" t="n">
        <x:v>1.3</x:v>
      </x:c>
      <x:c r="G268" s="76" t="n">
        <x:v>37</x:v>
      </x:c>
      <x:c r="H268" s="76" t="n">
        <x:v>160</x:v>
      </x:c>
      <x:c r="I268" s="76" t="n">
        <x:v>1</x:v>
      </x:c>
      <x:c r="J268" s="76" t="n">
        <x:v>0</x:v>
      </x:c>
      <x:c r="K268" s="76" t="n">
        <x:v>0</x:v>
      </x:c>
      <x:c r="L268" s="76" t="n">
        <x:v>0</x:v>
      </x:c>
      <x:c r="M268" s="76" t="n">
        <x:v>0</x:v>
      </x:c>
      <x:c r="N268" s="73" t="str">
        <x:v>https://www.thefantasyfootballers.com/2026-ultimate-draft-kit/udk-mikes-projections/?position=FLEX</x:v>
      </x:c>
    </x:row>
    <x:row r="269">
      <x:c r="A269" s="70" t="str">
        <x:v>Hollywood Brown</x:v>
      </x:c>
      <x:c r="B269" s="69" t="str">
        <x:v>WR</x:v>
      </x:c>
      <x:c r="C269" s="69" t="str">
        <x:v>PHI</x:v>
      </x:c>
      <x:c r="D269" s="74" t="n">
        <x:v>10</x:v>
      </x:c>
      <x:c r="E269" s="74" t="n">
        <x:v>264</x:v>
      </x:c>
      <x:c r="F269" s="75" t="n">
        <x:v>1.3</x:v>
      </x:c>
      <x:c r="G269" s="76" t="n">
        <x:v>0</x:v>
      </x:c>
      <x:c r="H269" s="76" t="n">
        <x:v>0</x:v>
      </x:c>
      <x:c r="I269" s="76" t="n">
        <x:v>0</x:v>
      </x:c>
      <x:c r="J269" s="76" t="n">
        <x:v>9</x:v>
      </x:c>
      <x:c r="K269" s="76" t="n">
        <x:v>106</x:v>
      </x:c>
      <x:c r="L269" s="76" t="n">
        <x:v>1</x:v>
      </x:c>
      <x:c r="M269" s="76" t="n">
        <x:v>1</x:v>
      </x:c>
      <x:c r="N269" s="73" t="str">
        <x:v>https://www.thefantasyfootballers.com/2026-ultimate-draft-kit/udk-mikes-projections/?position=FLEX</x:v>
      </x:c>
    </x:row>
    <x:row r="270">
      <x:c r="A270" s="70" t="str">
        <x:v>Josh Jacobs</x:v>
      </x:c>
      <x:c r="B270" s="69" t="str">
        <x:v>RB</x:v>
      </x:c>
      <x:c r="C270" s="69" t="str">
        <x:v>GB</x:v>
      </x:c>
      <x:c r="D270" s="74" t="n">
        <x:v>11</x:v>
      </x:c>
      <x:c r="E270" s="74" t="n">
        <x:v>265</x:v>
      </x:c>
      <x:c r="F270" s="75" t="n">
        <x:v>1.3</x:v>
      </x:c>
      <x:c r="G270" s="76" t="n">
        <x:v>30</x:v>
      </x:c>
      <x:c r="H270" s="76" t="n">
        <x:v>126</x:v>
      </x:c>
      <x:c r="I270" s="76" t="n">
        <x:v>1</x:v>
      </x:c>
      <x:c r="J270" s="76" t="n">
        <x:v>4</x:v>
      </x:c>
      <x:c r="K270" s="76" t="n">
        <x:v>36</x:v>
      </x:c>
      <x:c r="L270" s="76" t="n">
        <x:v>0</x:v>
      </x:c>
      <x:c r="M270" s="76" t="n">
        <x:v>3</x:v>
      </x:c>
      <x:c r="N270" s="73" t="str">
        <x:v>https://www.thefantasyfootballers.com/2026-ultimate-draft-kit/udk-mikes-projections/?position=FLEX</x:v>
      </x:c>
    </x:row>
    <x:row r="271">
      <x:c r="A271" s="70" t="str">
        <x:v>Noah Fant</x:v>
      </x:c>
      <x:c r="B271" s="69" t="str">
        <x:v>TE</x:v>
      </x:c>
      <x:c r="C271" s="69" t="str">
        <x:v>NO</x:v>
      </x:c>
      <x:c r="D271" s="74" t="n">
        <x:v>8</x:v>
      </x:c>
      <x:c r="E271" s="74" t="n">
        <x:v>266</x:v>
      </x:c>
      <x:c r="F271" s="75" t="n">
        <x:v>1.1</x:v>
      </x:c>
      <x:c r="G271" s="76" t="n">
        <x:v>0</x:v>
      </x:c>
      <x:c r="H271" s="76" t="n">
        <x:v>0</x:v>
      </x:c>
      <x:c r="I271" s="76" t="n">
        <x:v>0</x:v>
      </x:c>
      <x:c r="J271" s="76" t="n">
        <x:v>9</x:v>
      </x:c>
      <x:c r="K271" s="76" t="n">
        <x:v>93</x:v>
      </x:c>
      <x:c r="L271" s="76" t="n">
        <x:v>1</x:v>
      </x:c>
      <x:c r="M271" s="76" t="n">
        <x:v>1</x:v>
      </x:c>
      <x:c r="N271" s="73" t="str">
        <x:v>https://www.thefantasyfootballers.com/2026-ultimate-draft-kit/udk-mikes-projections/?position=FLEX</x:v>
      </x:c>
    </x:row>
    <x:row r="272">
      <x:c r="A272" s="70" t="str">
        <x:v>Sean Tucker</x:v>
      </x:c>
      <x:c r="B272" s="69" t="str">
        <x:v>RB</x:v>
      </x:c>
      <x:c r="C272" s="69" t="str">
        <x:v>TB</x:v>
      </x:c>
      <x:c r="D272" s="74" t="n">
        <x:v>10</x:v>
      </x:c>
      <x:c r="E272" s="74" t="n">
        <x:v>267</x:v>
      </x:c>
      <x:c r="F272" s="75" t="n">
        <x:v>1.1</x:v>
      </x:c>
      <x:c r="G272" s="76" t="n">
        <x:v>23</x:v>
      </x:c>
      <x:c r="H272" s="76" t="n">
        <x:v>97</x:v>
      </x:c>
      <x:c r="I272" s="76" t="n">
        <x:v>1</x:v>
      </x:c>
      <x:c r="J272" s="76" t="n">
        <x:v>2</x:v>
      </x:c>
      <x:c r="K272" s="76" t="n">
        <x:v>17</x:v>
      </x:c>
      <x:c r="L272" s="76" t="n">
        <x:v>0</x:v>
      </x:c>
      <x:c r="M272" s="76" t="n">
        <x:v>1</x:v>
      </x:c>
      <x:c r="N272" s="73" t="str">
        <x:v>https://www.thefantasyfootballers.com/2026-ultimate-draft-kit/udk-mikes-projections/?position=FLEX</x:v>
      </x:c>
    </x:row>
    <x:row r="273">
      <x:c r="A273" s="70" t="str">
        <x:v>Jaydon Blue</x:v>
      </x:c>
      <x:c r="B273" s="69" t="str">
        <x:v>RB</x:v>
      </x:c>
      <x:c r="C273" s="69" t="str">
        <x:v>FA</x:v>
      </x:c>
      <x:c r="D273" s="74"/>
      <x:c r="E273" s="74" t="n">
        <x:v>268</x:v>
      </x:c>
      <x:c r="F273" s="75" t="n">
        <x:v>0.9</x:v>
      </x:c>
      <x:c r="G273" s="76" t="n">
        <x:v>35</x:v>
      </x:c>
      <x:c r="H273" s="76" t="n">
        <x:v>119</x:v>
      </x:c>
      <x:c r="I273" s="76" t="n">
        <x:v>1</x:v>
      </x:c>
      <x:c r="J273" s="76" t="n">
        <x:v>0</x:v>
      </x:c>
      <x:c r="K273" s="76" t="n">
        <x:v>0</x:v>
      </x:c>
      <x:c r="L273" s="76" t="n">
        <x:v>0</x:v>
      </x:c>
      <x:c r="M273" s="76" t="n">
        <x:v>1</x:v>
      </x:c>
      <x:c r="N273" s="73" t="str">
        <x:v>https://www.thefantasyfootballers.com/2026-ultimate-draft-kit/udk-mikes-projections/?position=FLEX</x:v>
      </x:c>
    </x:row>
    <x:row r="274">
      <x:c r="A274" s="70" t="str">
        <x:v>AJ Dillon</x:v>
      </x:c>
      <x:c r="B274" s="69" t="str">
        <x:v>RB</x:v>
      </x:c>
      <x:c r="C274" s="69" t="str">
        <x:v>CAR</x:v>
      </x:c>
      <x:c r="D274" s="74" t="n">
        <x:v>5</x:v>
      </x:c>
      <x:c r="E274" s="74" t="n">
        <x:v>269</x:v>
      </x:c>
      <x:c r="F274" s="75" t="n">
        <x:v>0.5</x:v>
      </x:c>
      <x:c r="G274" s="76" t="n">
        <x:v>13</x:v>
      </x:c>
      <x:c r="H274" s="76" t="n">
        <x:v>49</x:v>
      </x:c>
      <x:c r="I274" s="76" t="n">
        <x:v>0</x:v>
      </x:c>
      <x:c r="J274" s="76" t="n">
        <x:v>2</x:v>
      </x:c>
      <x:c r="K274" s="76" t="n">
        <x:v>18</x:v>
      </x:c>
      <x:c r="L274" s="76" t="n">
        <x:v>0</x:v>
      </x:c>
      <x:c r="M274" s="76" t="n">
        <x:v>1</x:v>
      </x:c>
      <x:c r="N274" s="73" t="str">
        <x:v>https://www.thefantasyfootballers.com/2026-ultimate-draft-kit/udk-mikes-projections/?position=FLEX</x:v>
      </x:c>
    </x:row>
    <x:row r="275">
      <x:c r="A275" s="70" t="str">
        <x:v>Adam Randall</x:v>
      </x:c>
      <x:c r="B275" s="69" t="str">
        <x:v>RB</x:v>
      </x:c>
      <x:c r="C275" s="69" t="str">
        <x:v>BAL</x:v>
      </x:c>
      <x:c r="D275" s="74" t="n">
        <x:v>13</x:v>
      </x:c>
      <x:c r="E275" s="74" t="n">
        <x:v>270</x:v>
      </x:c>
      <x:c r="F275" s="75" t="n">
        <x:v>0.5</x:v>
      </x:c>
      <x:c r="G275" s="76" t="n">
        <x:v>4</x:v>
      </x:c>
      <x:c r="H275" s="76" t="n">
        <x:v>17</x:v>
      </x:c>
      <x:c r="I275" s="76" t="n">
        <x:v>0</x:v>
      </x:c>
      <x:c r="J275" s="76" t="n">
        <x:v>3</x:v>
      </x:c>
      <x:c r="K275" s="76" t="n">
        <x:v>24</x:v>
      </x:c>
      <x:c r="L275" s="76" t="n">
        <x:v>0</x:v>
      </x:c>
      <x:c r="M275" s="76" t="n">
        <x:v>0</x:v>
      </x:c>
      <x:c r="N275" s="73" t="str">
        <x:v>https://www.thefantasyfootballers.com/2026-ultimate-draft-kit/udk-mikes-projections/?position=FLEX</x:v>
      </x:c>
    </x:row>
    <x:row r="276">
      <x:c r="A276" s="70" t="str">
        <x:v>Will Shipley</x:v>
      </x:c>
      <x:c r="B276" s="69" t="str">
        <x:v>RB</x:v>
      </x:c>
      <x:c r="C276" s="69" t="str">
        <x:v>PHI</x:v>
      </x:c>
      <x:c r="D276" s="74" t="n">
        <x:v>10</x:v>
      </x:c>
      <x:c r="E276" s="74" t="n">
        <x:v>271</x:v>
      </x:c>
      <x:c r="F276" s="75" t="n">
        <x:v>0.4</x:v>
      </x:c>
      <x:c r="G276" s="76" t="n">
        <x:v>15</x:v>
      </x:c>
      <x:c r="H276" s="76" t="n">
        <x:v>48</x:v>
      </x:c>
      <x:c r="I276" s="76" t="n">
        <x:v>0</x:v>
      </x:c>
      <x:c r="J276" s="76" t="n">
        <x:v>0</x:v>
      </x:c>
      <x:c r="K276" s="76" t="n">
        <x:v>0</x:v>
      </x:c>
      <x:c r="L276" s="76" t="n">
        <x:v>0</x:v>
      </x:c>
      <x:c r="M276" s="76" t="n">
        <x:v>0</x:v>
      </x:c>
      <x:c r="N276" s="73" t="str">
        <x:v>https://www.thefantasyfootballers.com/2026-ultimate-draft-kit/udk-mikes-projections/?position=FLEX</x:v>
      </x:c>
    </x:row>
    <x:row r="277">
      <x:c r="A277" s="70" t="str">
        <x:v>Audric Estimé</x:v>
      </x:c>
      <x:c r="B277" s="69" t="str">
        <x:v>RB</x:v>
      </x:c>
      <x:c r="C277" s="69" t="str">
        <x:v>NO</x:v>
      </x:c>
      <x:c r="D277" s="74" t="n">
        <x:v>8</x:v>
      </x:c>
      <x:c r="E277" s="74" t="n">
        <x:v>272</x:v>
      </x:c>
      <x:c r="F277" s="75" t="n">
        <x:v>0.3</x:v>
      </x:c>
      <x:c r="G277" s="76" t="n">
        <x:v>15</x:v>
      </x:c>
      <x:c r="H277" s="76" t="n">
        <x:v>63</x:v>
      </x:c>
      <x:c r="I277" s="76" t="n">
        <x:v>0</x:v>
      </x:c>
      <x:c r="J277" s="76" t="n">
        <x:v>0</x:v>
      </x:c>
      <x:c r="K277" s="76" t="n">
        <x:v>0</x:v>
      </x:c>
      <x:c r="L277" s="76" t="n">
        <x:v>0</x:v>
      </x:c>
      <x:c r="M277" s="76" t="n">
        <x:v>2</x:v>
      </x:c>
      <x:c r="N277" s="73" t="str">
        <x:v>https://www.thefantasyfootballers.com/2026-ultimate-draft-kit/udk-mikes-projections/?position=FLEX</x:v>
      </x:c>
    </x:row>
    <x:row r="278">
      <x:c r="A278" s="70" t="str">
        <x:v>Kaytron Allen</x:v>
      </x:c>
      <x:c r="B278" s="69" t="str">
        <x:v>RB</x:v>
      </x:c>
      <x:c r="C278" s="69" t="str">
        <x:v>WAS</x:v>
      </x:c>
      <x:c r="D278" s="74" t="n">
        <x:v>7</x:v>
      </x:c>
      <x:c r="E278" s="74" t="n">
        <x:v>273</x:v>
      </x:c>
      <x:c r="F278" s="75" t="n">
        <x:v>0.2</x:v>
      </x:c>
      <x:c r="G278" s="76" t="n">
        <x:v>6</x:v>
      </x:c>
      <x:c r="H278" s="76" t="n">
        <x:v>25</x:v>
      </x:c>
      <x:c r="I278" s="76" t="n">
        <x:v>0</x:v>
      </x:c>
      <x:c r="J278" s="76" t="n">
        <x:v>0</x:v>
      </x:c>
      <x:c r="K278" s="76" t="n">
        <x:v>0</x:v>
      </x:c>
      <x:c r="L278" s="76" t="n">
        <x:v>0</x:v>
      </x:c>
      <x:c r="M278" s="76" t="n">
        <x:v>0</x:v>
      </x:c>
      <x:c r="N278" s="73" t="str">
        <x:v>https://www.thefantasyfootballers.com/2026-ultimate-draft-kit/udk-mikes-projections/?position=FLEX</x:v>
      </x:c>
    </x:row>
  </x:sheetData>
  <x:mergeCells>
    <x:mergeCell ref="A1:N1"/>
    <x:mergeCell ref="A2:N2"/>
    <x:mergeCell ref="A4:D4"/>
    <x:mergeCell ref="E4:F4"/>
    <x:mergeCell ref="G4:I4"/>
    <x:mergeCell ref="J4:L4"/>
  </x:mergeCells>
  <x:pageMargins left="0.7" right="0.7" top="0.75" bottom="0.75" header="0.3" footer="0.3"/>
  <x:tableParts count="1">
    <x:tablePart xmlns:r="http://schemas.openxmlformats.org/officeDocument/2006/relationships" r:id="R4ba9f47e56de44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" hidden="0" customWidth="1"/>
    <x:col min="3" max="3" width="9" hidden="0" customWidth="1"/>
    <x:col min="4" max="4" width="7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46" hidden="0" customWidth="1"/>
  </x:cols>
  <x:sheetData>
    <x:row r="1" ht="32" customHeight="1">
      <x:c r="A1" s="3" t="str">
        <x:v>Andy's 2026 FLEX Stat Projections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Scoring profile: The Fear Boners  |  273 players  |  Source captured 2026-08-31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5" t="str">
        <x:v>Player</x:v>
      </x:c>
      <x:c r="B4" s="16"/>
      <x:c r="C4" s="16"/>
      <x:c r="D4" s="17"/>
      <x:c r="E4" s="24" t="str">
        <x:v>Fantasy</x:v>
      </x:c>
      <x:c r="F4" s="25"/>
      <x:c r="G4" s="40" t="str">
        <x:v>Rushing</x:v>
      </x:c>
      <x:c r="H4" s="79"/>
      <x:c r="I4" s="41"/>
      <x:c r="J4" s="32" t="str">
        <x:v>Receiving</x:v>
      </x:c>
      <x:c r="K4" s="82"/>
      <x:c r="L4" s="33"/>
      <x:c r="M4" s="85" t="str">
        <x:v>Turnovers</x:v>
      </x:c>
      <x:c r="N4" s="54" t="str">
        <x:v>Source</x:v>
      </x:c>
    </x:row>
    <x:row r="5" ht="30" customHeight="1">
      <x:c r="A5" s="65" t="str">
        <x:v>Player</x:v>
      </x:c>
      <x:c r="B5" s="66" t="str">
        <x:v>Pos</x:v>
      </x:c>
      <x:c r="C5" s="66" t="str">
        <x:v>Team</x:v>
      </x:c>
      <x:c r="D5" s="66" t="str">
        <x:v>Bye</x:v>
      </x:c>
      <x:c r="E5" s="66" t="str">
        <x:v>Rank</x:v>
      </x:c>
      <x:c r="F5" s="66" t="str">
        <x:v>PPG</x:v>
      </x:c>
      <x:c r="G5" s="66" t="str">
        <x:v>Rush Att</x:v>
      </x:c>
      <x:c r="H5" s="66" t="str">
        <x:v>Rush Yds</x:v>
      </x:c>
      <x:c r="I5" s="66" t="str">
        <x:v>Rush TD</x:v>
      </x:c>
      <x:c r="J5" s="66" t="str">
        <x:v>Rec</x:v>
      </x:c>
      <x:c r="K5" s="66" t="str">
        <x:v>Rec Yds</x:v>
      </x:c>
      <x:c r="L5" s="66" t="str">
        <x:v>Rec TD</x:v>
      </x:c>
      <x:c r="M5" s="66" t="str">
        <x:v>FUM</x:v>
      </x:c>
      <x:c r="N5" s="67" t="str">
        <x:v>Source URL</x:v>
      </x:c>
    </x:row>
    <x:row r="6">
      <x:c r="A6" s="70" t="str">
        <x:v>Jahmyr Gibbs</x:v>
      </x:c>
      <x:c r="B6" s="69" t="str">
        <x:v>RB</x:v>
      </x:c>
      <x:c r="C6" s="69" t="str">
        <x:v>DET</x:v>
      </x:c>
      <x:c r="D6" s="74" t="n">
        <x:v>6</x:v>
      </x:c>
      <x:c r="E6" s="74" t="n">
        <x:v>1</x:v>
      </x:c>
      <x:c r="F6" s="75" t="n">
        <x:v>21.3</x:v>
      </x:c>
      <x:c r="G6" s="76" t="n">
        <x:v>258</x:v>
      </x:c>
      <x:c r="H6" s="76" t="n">
        <x:v>1295</x:v>
      </x:c>
      <x:c r="I6" s="76" t="n">
        <x:v>13</x:v>
      </x:c>
      <x:c r="J6" s="76" t="n">
        <x:v>69</x:v>
      </x:c>
      <x:c r="K6" s="76" t="n">
        <x:v>589</x:v>
      </x:c>
      <x:c r="L6" s="76" t="n">
        <x:v>5</x:v>
      </x:c>
      <x:c r="M6" s="76" t="n">
        <x:v>2</x:v>
      </x:c>
      <x:c r="N6" s="73" t="str">
        <x:v>https://www.thefantasyfootballers.com/2026-ultimate-draft-kit/udk-andys-projections/?position=FLEX</x:v>
      </x:c>
    </x:row>
    <x:row r="7">
      <x:c r="A7" s="70" t="str">
        <x:v>Christian McCaffrey</x:v>
      </x:c>
      <x:c r="B7" s="69" t="str">
        <x:v>RB</x:v>
      </x:c>
      <x:c r="C7" s="69" t="str">
        <x:v>SF</x:v>
      </x:c>
      <x:c r="D7" s="74" t="n">
        <x:v>8</x:v>
      </x:c>
      <x:c r="E7" s="74" t="n">
        <x:v>2</x:v>
      </x:c>
      <x:c r="F7" s="75" t="n">
        <x:v>20</x:v>
      </x:c>
      <x:c r="G7" s="76" t="n">
        <x:v>261</x:v>
      </x:c>
      <x:c r="H7" s="76" t="n">
        <x:v>1037</x:v>
      </x:c>
      <x:c r="I7" s="76" t="n">
        <x:v>8</x:v>
      </x:c>
      <x:c r="J7" s="76" t="n">
        <x:v>84</x:v>
      </x:c>
      <x:c r="K7" s="76" t="n">
        <x:v>783</x:v>
      </x:c>
      <x:c r="L7" s="76" t="n">
        <x:v>5</x:v>
      </x:c>
      <x:c r="M7" s="76" t="n">
        <x:v>2</x:v>
      </x:c>
      <x:c r="N7" s="73" t="str">
        <x:v>https://www.thefantasyfootballers.com/2026-ultimate-draft-kit/udk-andys-projections/?position=FLEX</x:v>
      </x:c>
    </x:row>
    <x:row r="8">
      <x:c r="A8" s="70" t="str">
        <x:v>Ja'Marr Chase</x:v>
      </x:c>
      <x:c r="B8" s="69" t="str">
        <x:v>WR</x:v>
      </x:c>
      <x:c r="C8" s="69" t="str">
        <x:v>CIN</x:v>
      </x:c>
      <x:c r="D8" s="74" t="n">
        <x:v>6</x:v>
      </x:c>
      <x:c r="E8" s="74" t="n">
        <x:v>3</x:v>
      </x:c>
      <x:c r="F8" s="75" t="n">
        <x:v>19.7</x:v>
      </x:c>
      <x:c r="G8" s="76" t="n">
        <x:v>4</x:v>
      </x:c>
      <x:c r="H8" s="76" t="n">
        <x:v>20</x:v>
      </x:c>
      <x:c r="I8" s="76" t="n">
        <x:v>0</x:v>
      </x:c>
      <x:c r="J8" s="76" t="n">
        <x:v>126</x:v>
      </x:c>
      <x:c r="K8" s="76" t="n">
        <x:v>1496</x:v>
      </x:c>
      <x:c r="L8" s="76" t="n">
        <x:v>10</x:v>
      </x:c>
      <x:c r="M8" s="76" t="n">
        <x:v>1</x:v>
      </x:c>
      <x:c r="N8" s="73" t="str">
        <x:v>https://www.thefantasyfootballers.com/2026-ultimate-draft-kit/udk-andys-projections/?position=FLEX</x:v>
      </x:c>
    </x:row>
    <x:row r="9">
      <x:c r="A9" s="70" t="str">
        <x:v>Bijan Robinson</x:v>
      </x:c>
      <x:c r="B9" s="69" t="str">
        <x:v>RB</x:v>
      </x:c>
      <x:c r="C9" s="69" t="str">
        <x:v>ATL</x:v>
      </x:c>
      <x:c r="D9" s="74" t="n">
        <x:v>11</x:v>
      </x:c>
      <x:c r="E9" s="74" t="n">
        <x:v>4</x:v>
      </x:c>
      <x:c r="F9" s="75" t="n">
        <x:v>19.6</x:v>
      </x:c>
      <x:c r="G9" s="76" t="n">
        <x:v>275</x:v>
      </x:c>
      <x:c r="H9" s="76" t="n">
        <x:v>1278</x:v>
      </x:c>
      <x:c r="I9" s="76" t="n">
        <x:v>9</x:v>
      </x:c>
      <x:c r="J9" s="76" t="n">
        <x:v>64</x:v>
      </x:c>
      <x:c r="K9" s="76" t="n">
        <x:v>716</x:v>
      </x:c>
      <x:c r="L9" s="76" t="n">
        <x:v>4</x:v>
      </x:c>
      <x:c r="M9" s="76" t="n">
        <x:v>3</x:v>
      </x:c>
      <x:c r="N9" s="73" t="str">
        <x:v>https://www.thefantasyfootballers.com/2026-ultimate-draft-kit/udk-andys-projections/?position=FLEX</x:v>
      </x:c>
    </x:row>
    <x:row r="10">
      <x:c r="A10" s="70" t="str">
        <x:v>Jaxon Smith-Njigba</x:v>
      </x:c>
      <x:c r="B10" s="69" t="str">
        <x:v>WR</x:v>
      </x:c>
      <x:c r="C10" s="69" t="str">
        <x:v>SEA</x:v>
      </x:c>
      <x:c r="D10" s="74" t="n">
        <x:v>11</x:v>
      </x:c>
      <x:c r="E10" s="74" t="n">
        <x:v>5</x:v>
      </x:c>
      <x:c r="F10" s="75" t="n">
        <x:v>19</x:v>
      </x:c>
      <x:c r="G10" s="76" t="n">
        <x:v>7</x:v>
      </x:c>
      <x:c r="H10" s="76" t="n">
        <x:v>32</x:v>
      </x:c>
      <x:c r="I10" s="76" t="n">
        <x:v>0</x:v>
      </x:c>
      <x:c r="J10" s="76" t="n">
        <x:v>110</x:v>
      </x:c>
      <x:c r="K10" s="76" t="n">
        <x:v>1625</x:v>
      </x:c>
      <x:c r="L10" s="76" t="n">
        <x:v>8</x:v>
      </x:c>
      <x:c r="M10" s="76" t="n">
        <x:v>1</x:v>
      </x:c>
      <x:c r="N10" s="73" t="str">
        <x:v>https://www.thefantasyfootballers.com/2026-ultimate-draft-kit/udk-andys-projections/?position=FLEX</x:v>
      </x:c>
    </x:row>
    <x:row r="11">
      <x:c r="A11" s="70" t="str">
        <x:v>Puka Nacua</x:v>
      </x:c>
      <x:c r="B11" s="69" t="str">
        <x:v>WR</x:v>
      </x:c>
      <x:c r="C11" s="69" t="str">
        <x:v>LAR</x:v>
      </x:c>
      <x:c r="D11" s="74" t="n">
        <x:v>11</x:v>
      </x:c>
      <x:c r="E11" s="74" t="n">
        <x:v>6</x:v>
      </x:c>
      <x:c r="F11" s="75" t="n">
        <x:v>18.8</x:v>
      </x:c>
      <x:c r="G11" s="76" t="n">
        <x:v>7</x:v>
      </x:c>
      <x:c r="H11" s="76" t="n">
        <x:v>106</x:v>
      </x:c>
      <x:c r="I11" s="76" t="n">
        <x:v>1</x:v>
      </x:c>
      <x:c r="J11" s="76" t="n">
        <x:v>110</x:v>
      </x:c>
      <x:c r="K11" s="76" t="n">
        <x:v>1468</x:v>
      </x:c>
      <x:c r="L11" s="76" t="n">
        <x:v>8</x:v>
      </x:c>
      <x:c r="M11" s="76" t="n">
        <x:v>1</x:v>
      </x:c>
      <x:c r="N11" s="73" t="str">
        <x:v>https://www.thefantasyfootballers.com/2026-ultimate-draft-kit/udk-andys-projections/?position=FLEX</x:v>
      </x:c>
    </x:row>
    <x:row r="12">
      <x:c r="A12" s="70" t="str">
        <x:v>Amon-Ra St. Brown</x:v>
      </x:c>
      <x:c r="B12" s="69" t="str">
        <x:v>WR</x:v>
      </x:c>
      <x:c r="C12" s="69" t="str">
        <x:v>DET</x:v>
      </x:c>
      <x:c r="D12" s="74" t="n">
        <x:v>6</x:v>
      </x:c>
      <x:c r="E12" s="74" t="n">
        <x:v>7</x:v>
      </x:c>
      <x:c r="F12" s="75" t="n">
        <x:v>18.7</x:v>
      </x:c>
      <x:c r="G12" s="76" t="n">
        <x:v>8</x:v>
      </x:c>
      <x:c r="H12" s="76" t="n">
        <x:v>38</x:v>
      </x:c>
      <x:c r="I12" s="76" t="n">
        <x:v>0</x:v>
      </x:c>
      <x:c r="J12" s="76" t="n">
        <x:v>120</x:v>
      </x:c>
      <x:c r="K12" s="76" t="n">
        <x:v>1420</x:v>
      </x:c>
      <x:c r="L12" s="76" t="n">
        <x:v>9</x:v>
      </x:c>
      <x:c r="M12" s="76" t="n">
        <x:v>1</x:v>
      </x:c>
      <x:c r="N12" s="73" t="str">
        <x:v>https://www.thefantasyfootballers.com/2026-ultimate-draft-kit/udk-andys-projections/?position=FLEX</x:v>
      </x:c>
    </x:row>
    <x:row r="13">
      <x:c r="A13" s="70" t="str">
        <x:v>De'Von Achane</x:v>
      </x:c>
      <x:c r="B13" s="69" t="str">
        <x:v>RB</x:v>
      </x:c>
      <x:c r="C13" s="69" t="str">
        <x:v>MIA</x:v>
      </x:c>
      <x:c r="D13" s="74" t="n">
        <x:v>6</x:v>
      </x:c>
      <x:c r="E13" s="74" t="n">
        <x:v>8</x:v>
      </x:c>
      <x:c r="F13" s="75" t="n">
        <x:v>18.5</x:v>
      </x:c>
      <x:c r="G13" s="76" t="n">
        <x:v>217</x:v>
      </x:c>
      <x:c r="H13" s="76" t="n">
        <x:v>1151</x:v>
      </x:c>
      <x:c r="I13" s="76" t="n">
        <x:v>7</x:v>
      </x:c>
      <x:c r="J13" s="76" t="n">
        <x:v>73</x:v>
      </x:c>
      <x:c r="K13" s="76" t="n">
        <x:v>600</x:v>
      </x:c>
      <x:c r="L13" s="76" t="n">
        <x:v>5</x:v>
      </x:c>
      <x:c r="M13" s="76" t="n">
        <x:v>2</x:v>
      </x:c>
      <x:c r="N13" s="73" t="str">
        <x:v>https://www.thefantasyfootballers.com/2026-ultimate-draft-kit/udk-andys-projections/?position=FLEX</x:v>
      </x:c>
    </x:row>
    <x:row r="14">
      <x:c r="A14" s="70" t="str">
        <x:v>James Cook III</x:v>
      </x:c>
      <x:c r="B14" s="69" t="str">
        <x:v>RB</x:v>
      </x:c>
      <x:c r="C14" s="69" t="str">
        <x:v>BUF</x:v>
      </x:c>
      <x:c r="D14" s="74" t="n">
        <x:v>7</x:v>
      </x:c>
      <x:c r="E14" s="74" t="n">
        <x:v>9</x:v>
      </x:c>
      <x:c r="F14" s="75" t="n">
        <x:v>17.8</x:v>
      </x:c>
      <x:c r="G14" s="76" t="n">
        <x:v>295</x:v>
      </x:c>
      <x:c r="H14" s="76" t="n">
        <x:v>1425</x:v>
      </x:c>
      <x:c r="I14" s="76" t="n">
        <x:v>12</x:v>
      </x:c>
      <x:c r="J14" s="76" t="n">
        <x:v>40</x:v>
      </x:c>
      <x:c r="K14" s="76" t="n">
        <x:v>384</x:v>
      </x:c>
      <x:c r="L14" s="76" t="n">
        <x:v>2</x:v>
      </x:c>
      <x:c r="M14" s="76" t="n">
        <x:v>2</x:v>
      </x:c>
      <x:c r="N14" s="73" t="str">
        <x:v>https://www.thefantasyfootballers.com/2026-ultimate-draft-kit/udk-andys-projections/?position=FLEX</x:v>
      </x:c>
    </x:row>
    <x:row r="15">
      <x:c r="A15" s="70" t="str">
        <x:v>Jonathan Taylor</x:v>
      </x:c>
      <x:c r="B15" s="69" t="str">
        <x:v>RB</x:v>
      </x:c>
      <x:c r="C15" s="69" t="str">
        <x:v>IND</x:v>
      </x:c>
      <x:c r="D15" s="74" t="n">
        <x:v>13</x:v>
      </x:c>
      <x:c r="E15" s="74" t="n">
        <x:v>10</x:v>
      </x:c>
      <x:c r="F15" s="75" t="n">
        <x:v>16.7</x:v>
      </x:c>
      <x:c r="G15" s="76" t="n">
        <x:v>301</x:v>
      </x:c>
      <x:c r="H15" s="76" t="n">
        <x:v>1399</x:v>
      </x:c>
      <x:c r="I15" s="76" t="n">
        <x:v>12</x:v>
      </x:c>
      <x:c r="J15" s="76" t="n">
        <x:v>38</x:v>
      </x:c>
      <x:c r="K15" s="76" t="n">
        <x:v>325</x:v>
      </x:c>
      <x:c r="L15" s="76" t="n">
        <x:v>1</x:v>
      </x:c>
      <x:c r="M15" s="76" t="n">
        <x:v>2</x:v>
      </x:c>
      <x:c r="N15" s="73" t="str">
        <x:v>https://www.thefantasyfootballers.com/2026-ultimate-draft-kit/udk-andys-projections/?position=FLEX</x:v>
      </x:c>
    </x:row>
    <x:row r="16">
      <x:c r="A16" s="70" t="str">
        <x:v>Trey McBride</x:v>
      </x:c>
      <x:c r="B16" s="69" t="str">
        <x:v>TE</x:v>
      </x:c>
      <x:c r="C16" s="69" t="str">
        <x:v>ARI</x:v>
      </x:c>
      <x:c r="D16" s="74" t="n">
        <x:v>14</x:v>
      </x:c>
      <x:c r="E16" s="74" t="n">
        <x:v>11</x:v>
      </x:c>
      <x:c r="F16" s="75" t="n">
        <x:v>16.1</x:v>
      </x:c>
      <x:c r="G16" s="76" t="n">
        <x:v>0</x:v>
      </x:c>
      <x:c r="H16" s="76" t="n">
        <x:v>0</x:v>
      </x:c>
      <x:c r="I16" s="76" t="n">
        <x:v>0</x:v>
      </x:c>
      <x:c r="J16" s="76" t="n">
        <x:v>109</x:v>
      </x:c>
      <x:c r="K16" s="76" t="n">
        <x:v>1123</x:v>
      </x:c>
      <x:c r="L16" s="76" t="n">
        <x:v>9</x:v>
      </x:c>
      <x:c r="M16" s="76" t="n">
        <x:v>1</x:v>
      </x:c>
      <x:c r="N16" s="73" t="str">
        <x:v>https://www.thefantasyfootballers.com/2026-ultimate-draft-kit/udk-andys-projections/?position=FLEX</x:v>
      </x:c>
    </x:row>
    <x:row r="17">
      <x:c r="A17" s="70" t="str">
        <x:v>CeeDee Lamb</x:v>
      </x:c>
      <x:c r="B17" s="69" t="str">
        <x:v>WR</x:v>
      </x:c>
      <x:c r="C17" s="69" t="str">
        <x:v>DAL</x:v>
      </x:c>
      <x:c r="D17" s="74" t="n">
        <x:v>14</x:v>
      </x:c>
      <x:c r="E17" s="74" t="n">
        <x:v>12</x:v>
      </x:c>
      <x:c r="F17" s="75" t="n">
        <x:v>15.7</x:v>
      </x:c>
      <x:c r="G17" s="76" t="n">
        <x:v>8</x:v>
      </x:c>
      <x:c r="H17" s="76" t="n">
        <x:v>47</x:v>
      </x:c>
      <x:c r="I17" s="76" t="n">
        <x:v>0</x:v>
      </x:c>
      <x:c r="J17" s="76" t="n">
        <x:v>100</x:v>
      </x:c>
      <x:c r="K17" s="76" t="n">
        <x:v>1208</x:v>
      </x:c>
      <x:c r="L17" s="76" t="n">
        <x:v>7</x:v>
      </x:c>
      <x:c r="M17" s="76" t="n">
        <x:v>1</x:v>
      </x:c>
      <x:c r="N17" s="73" t="str">
        <x:v>https://www.thefantasyfootballers.com/2026-ultimate-draft-kit/udk-andys-projections/?position=FLEX</x:v>
      </x:c>
    </x:row>
    <x:row r="18">
      <x:c r="A18" s="70" t="str">
        <x:v>Brock Bowers</x:v>
      </x:c>
      <x:c r="B18" s="69" t="str">
        <x:v>TE</x:v>
      </x:c>
      <x:c r="C18" s="69" t="str">
        <x:v>LV</x:v>
      </x:c>
      <x:c r="D18" s="74" t="n">
        <x:v>13</x:v>
      </x:c>
      <x:c r="E18" s="74" t="n">
        <x:v>13</x:v>
      </x:c>
      <x:c r="F18" s="75" t="n">
        <x:v>15.6</x:v>
      </x:c>
      <x:c r="G18" s="76" t="n">
        <x:v>3</x:v>
      </x:c>
      <x:c r="H18" s="76" t="n">
        <x:v>12</x:v>
      </x:c>
      <x:c r="I18" s="76" t="n">
        <x:v>0</x:v>
      </x:c>
      <x:c r="J18" s="76" t="n">
        <x:v>94</x:v>
      </x:c>
      <x:c r="K18" s="76" t="n">
        <x:v>1187</x:v>
      </x:c>
      <x:c r="L18" s="76" t="n">
        <x:v>9</x:v>
      </x:c>
      <x:c r="M18" s="76" t="n">
        <x:v>1</x:v>
      </x:c>
      <x:c r="N18" s="73" t="str">
        <x:v>https://www.thefantasyfootballers.com/2026-ultimate-draft-kit/udk-andys-projections/?position=FLEX</x:v>
      </x:c>
    </x:row>
    <x:row r="19">
      <x:c r="A19" s="70" t="str">
        <x:v>Kenneth Walker</x:v>
      </x:c>
      <x:c r="B19" s="69" t="str">
        <x:v>RB</x:v>
      </x:c>
      <x:c r="C19" s="69" t="str">
        <x:v>KC</x:v>
      </x:c>
      <x:c r="D19" s="74" t="n">
        <x:v>5</x:v>
      </x:c>
      <x:c r="E19" s="74" t="n">
        <x:v>14</x:v>
      </x:c>
      <x:c r="F19" s="75" t="n">
        <x:v>15.5</x:v>
      </x:c>
      <x:c r="G19" s="76" t="n">
        <x:v>265</x:v>
      </x:c>
      <x:c r="H19" s="76" t="n">
        <x:v>1242</x:v>
      </x:c>
      <x:c r="I19" s="76" t="n">
        <x:v>11</x:v>
      </x:c>
      <x:c r="J19" s="76" t="n">
        <x:v>37</x:v>
      </x:c>
      <x:c r="K19" s="76" t="n">
        <x:v>292</x:v>
      </x:c>
      <x:c r="L19" s="76" t="n">
        <x:v>2</x:v>
      </x:c>
      <x:c r="M19" s="76" t="n">
        <x:v>2</x:v>
      </x:c>
      <x:c r="N19" s="73" t="str">
        <x:v>https://www.thefantasyfootballers.com/2026-ultimate-draft-kit/udk-andys-projections/?position=FLEX</x:v>
      </x:c>
    </x:row>
    <x:row r="20">
      <x:c r="A20" s="70" t="str">
        <x:v>Justin Jefferson</x:v>
      </x:c>
      <x:c r="B20" s="69" t="str">
        <x:v>WR</x:v>
      </x:c>
      <x:c r="C20" s="69" t="str">
        <x:v>MIN</x:v>
      </x:c>
      <x:c r="D20" s="74" t="n">
        <x:v>6</x:v>
      </x:c>
      <x:c r="E20" s="74" t="n">
        <x:v>15</x:v>
      </x:c>
      <x:c r="F20" s="75" t="n">
        <x:v>15.3</x:v>
      </x:c>
      <x:c r="G20" s="76" t="n">
        <x:v>4</x:v>
      </x:c>
      <x:c r="H20" s="76" t="n">
        <x:v>21</x:v>
      </x:c>
      <x:c r="I20" s="76" t="n">
        <x:v>0</x:v>
      </x:c>
      <x:c r="J20" s="76" t="n">
        <x:v>93</x:v>
      </x:c>
      <x:c r="K20" s="76" t="n">
        <x:v>1216</x:v>
      </x:c>
      <x:c r="L20" s="76" t="n">
        <x:v>8</x:v>
      </x:c>
      <x:c r="M20" s="76" t="n">
        <x:v>1</x:v>
      </x:c>
      <x:c r="N20" s="73" t="str">
        <x:v>https://www.thefantasyfootballers.com/2026-ultimate-draft-kit/udk-andys-projections/?position=FLEX</x:v>
      </x:c>
    </x:row>
    <x:row r="21">
      <x:c r="A21" s="70" t="str">
        <x:v>George Pickens</x:v>
      </x:c>
      <x:c r="B21" s="69" t="str">
        <x:v>WR</x:v>
      </x:c>
      <x:c r="C21" s="69" t="str">
        <x:v>DAL</x:v>
      </x:c>
      <x:c r="D21" s="74" t="n">
        <x:v>14</x:v>
      </x:c>
      <x:c r="E21" s="74" t="n">
        <x:v>16</x:v>
      </x:c>
      <x:c r="F21" s="75" t="n">
        <x:v>14.7</x:v>
      </x:c>
      <x:c r="G21" s="76" t="n">
        <x:v>3</x:v>
      </x:c>
      <x:c r="H21" s="76" t="n">
        <x:v>16</x:v>
      </x:c>
      <x:c r="I21" s="76" t="n">
        <x:v>0</x:v>
      </x:c>
      <x:c r="J21" s="76" t="n">
        <x:v>84</x:v>
      </x:c>
      <x:c r="K21" s="76" t="n">
        <x:v>1201</x:v>
      </x:c>
      <x:c r="L21" s="76" t="n">
        <x:v>8</x:v>
      </x:c>
      <x:c r="M21" s="76" t="n">
        <x:v>1</x:v>
      </x:c>
      <x:c r="N21" s="73" t="str">
        <x:v>https://www.thefantasyfootballers.com/2026-ultimate-draft-kit/udk-andys-projections/?position=FLEX</x:v>
      </x:c>
    </x:row>
    <x:row r="22">
      <x:c r="A22" s="70" t="str">
        <x:v>Omarion Hampton</x:v>
      </x:c>
      <x:c r="B22" s="69" t="str">
        <x:v>RB</x:v>
      </x:c>
      <x:c r="C22" s="69" t="str">
        <x:v>LAC</x:v>
      </x:c>
      <x:c r="D22" s="74" t="n">
        <x:v>7</x:v>
      </x:c>
      <x:c r="E22" s="74" t="n">
        <x:v>17</x:v>
      </x:c>
      <x:c r="F22" s="75" t="n">
        <x:v>14.7</x:v>
      </x:c>
      <x:c r="G22" s="76" t="n">
        <x:v>235</x:v>
      </x:c>
      <x:c r="H22" s="76" t="n">
        <x:v>1056</x:v>
      </x:c>
      <x:c r="I22" s="76" t="n">
        <x:v>10</x:v>
      </x:c>
      <x:c r="J22" s="76" t="n">
        <x:v>46</x:v>
      </x:c>
      <x:c r="K22" s="76" t="n">
        <x:v>310</x:v>
      </x:c>
      <x:c r="L22" s="76" t="n">
        <x:v>2</x:v>
      </x:c>
      <x:c r="M22" s="76" t="n">
        <x:v>2</x:v>
      </x:c>
      <x:c r="N22" s="73" t="str">
        <x:v>https://www.thefantasyfootballers.com/2026-ultimate-draft-kit/udk-andys-projections/?position=FLEX</x:v>
      </x:c>
    </x:row>
    <x:row r="23">
      <x:c r="A23" s="70" t="str">
        <x:v>Nico Collins</x:v>
      </x:c>
      <x:c r="B23" s="69" t="str">
        <x:v>WR</x:v>
      </x:c>
      <x:c r="C23" s="69" t="str">
        <x:v>HOU</x:v>
      </x:c>
      <x:c r="D23" s="74" t="n">
        <x:v>8</x:v>
      </x:c>
      <x:c r="E23" s="74" t="n">
        <x:v>18</x:v>
      </x:c>
      <x:c r="F23" s="75" t="n">
        <x:v>14.7</x:v>
      </x:c>
      <x:c r="G23" s="76" t="n">
        <x:v>3</x:v>
      </x:c>
      <x:c r="H23" s="76" t="n">
        <x:v>16</x:v>
      </x:c>
      <x:c r="I23" s="76" t="n">
        <x:v>0</x:v>
      </x:c>
      <x:c r="J23" s="76" t="n">
        <x:v>82</x:v>
      </x:c>
      <x:c r="K23" s="76" t="n">
        <x:v>1241</x:v>
      </x:c>
      <x:c r="L23" s="76" t="n">
        <x:v>7</x:v>
      </x:c>
      <x:c r="M23" s="76" t="n">
        <x:v>1</x:v>
      </x:c>
      <x:c r="N23" s="73" t="str">
        <x:v>https://www.thefantasyfootballers.com/2026-ultimate-draft-kit/udk-andys-projections/?position=FLEX</x:v>
      </x:c>
    </x:row>
    <x:row r="24">
      <x:c r="A24" s="70" t="str">
        <x:v>Garrett Wilson</x:v>
      </x:c>
      <x:c r="B24" s="69" t="str">
        <x:v>WR</x:v>
      </x:c>
      <x:c r="C24" s="69" t="str">
        <x:v>NYJ</x:v>
      </x:c>
      <x:c r="D24" s="74" t="n">
        <x:v>13</x:v>
      </x:c>
      <x:c r="E24" s="74" t="n">
        <x:v>19</x:v>
      </x:c>
      <x:c r="F24" s="75" t="n">
        <x:v>14.6</x:v>
      </x:c>
      <x:c r="G24" s="76" t="n">
        <x:v>4</x:v>
      </x:c>
      <x:c r="H24" s="76" t="n">
        <x:v>21</x:v>
      </x:c>
      <x:c r="I24" s="76" t="n">
        <x:v>0</x:v>
      </x:c>
      <x:c r="J24" s="76" t="n">
        <x:v>96</x:v>
      </x:c>
      <x:c r="K24" s="76" t="n">
        <x:v>1093</x:v>
      </x:c>
      <x:c r="L24" s="76" t="n">
        <x:v>7</x:v>
      </x:c>
      <x:c r="M24" s="76" t="n">
        <x:v>1</x:v>
      </x:c>
      <x:c r="N24" s="73" t="str">
        <x:v>https://www.thefantasyfootballers.com/2026-ultimate-draft-kit/udk-andys-projections/?position=FLEX</x:v>
      </x:c>
    </x:row>
    <x:row r="25">
      <x:c r="A25" s="70" t="str">
        <x:v>A.J. Brown</x:v>
      </x:c>
      <x:c r="B25" s="69" t="str">
        <x:v>WR</x:v>
      </x:c>
      <x:c r="C25" s="69" t="str">
        <x:v>NE</x:v>
      </x:c>
      <x:c r="D25" s="74" t="n">
        <x:v>11</x:v>
      </x:c>
      <x:c r="E25" s="74" t="n">
        <x:v>20</x:v>
      </x:c>
      <x:c r="F25" s="75" t="n">
        <x:v>14.6</x:v>
      </x:c>
      <x:c r="G25" s="76" t="n">
        <x:v>3</x:v>
      </x:c>
      <x:c r="H25" s="76" t="n">
        <x:v>11</x:v>
      </x:c>
      <x:c r="I25" s="76" t="n">
        <x:v>0</x:v>
      </x:c>
      <x:c r="J25" s="76" t="n">
        <x:v>90</x:v>
      </x:c>
      <x:c r="K25" s="76" t="n">
        <x:v>1107</x:v>
      </x:c>
      <x:c r="L25" s="76" t="n">
        <x:v>8</x:v>
      </x:c>
      <x:c r="M25" s="76" t="n">
        <x:v>1</x:v>
      </x:c>
      <x:c r="N25" s="73" t="str">
        <x:v>https://www.thefantasyfootballers.com/2026-ultimate-draft-kit/udk-andys-projections/?position=FLEX</x:v>
      </x:c>
    </x:row>
    <x:row r="26">
      <x:c r="A26" s="70" t="str">
        <x:v>Chase Brown</x:v>
      </x:c>
      <x:c r="B26" s="69" t="str">
        <x:v>RB</x:v>
      </x:c>
      <x:c r="C26" s="69" t="str">
        <x:v>CIN</x:v>
      </x:c>
      <x:c r="D26" s="74" t="n">
        <x:v>6</x:v>
      </x:c>
      <x:c r="E26" s="74" t="n">
        <x:v>21</x:v>
      </x:c>
      <x:c r="F26" s="75" t="n">
        <x:v>14.6</x:v>
      </x:c>
      <x:c r="G26" s="76" t="n">
        <x:v>218</x:v>
      </x:c>
      <x:c r="H26" s="76" t="n">
        <x:v>917</x:v>
      </x:c>
      <x:c r="I26" s="76" t="n">
        <x:v>6</x:v>
      </x:c>
      <x:c r="J26" s="76" t="n">
        <x:v>54</x:v>
      </x:c>
      <x:c r="K26" s="76" t="n">
        <x:v>415</x:v>
      </x:c>
      <x:c r="L26" s="76" t="n">
        <x:v>4</x:v>
      </x:c>
      <x:c r="M26" s="76" t="n">
        <x:v>1</x:v>
      </x:c>
      <x:c r="N26" s="73" t="str">
        <x:v>https://www.thefantasyfootballers.com/2026-ultimate-draft-kit/udk-andys-projections/?position=FLEX</x:v>
      </x:c>
    </x:row>
    <x:row r="27">
      <x:c r="A27" s="70" t="str">
        <x:v>Chris Olave</x:v>
      </x:c>
      <x:c r="B27" s="69" t="str">
        <x:v>WR</x:v>
      </x:c>
      <x:c r="C27" s="69" t="str">
        <x:v>NO</x:v>
      </x:c>
      <x:c r="D27" s="74" t="n">
        <x:v>8</x:v>
      </x:c>
      <x:c r="E27" s="74" t="n">
        <x:v>22</x:v>
      </x:c>
      <x:c r="F27" s="75" t="n">
        <x:v>14.4</x:v>
      </x:c>
      <x:c r="G27" s="76" t="n">
        <x:v>2</x:v>
      </x:c>
      <x:c r="H27" s="76" t="n">
        <x:v>0</x:v>
      </x:c>
      <x:c r="I27" s="76" t="n">
        <x:v>0</x:v>
      </x:c>
      <x:c r="J27" s="76" t="n">
        <x:v>92</x:v>
      </x:c>
      <x:c r="K27" s="76" t="n">
        <x:v>1076</x:v>
      </x:c>
      <x:c r="L27" s="76" t="n">
        <x:v>8</x:v>
      </x:c>
      <x:c r="M27" s="76" t="n">
        <x:v>1</x:v>
      </x:c>
      <x:c r="N27" s="73" t="str">
        <x:v>https://www.thefantasyfootballers.com/2026-ultimate-draft-kit/udk-andys-projections/?position=FLEX</x:v>
      </x:c>
    </x:row>
    <x:row r="28">
      <x:c r="A28" s="70" t="str">
        <x:v>Saquon Barkley</x:v>
      </x:c>
      <x:c r="B28" s="69" t="str">
        <x:v>RB</x:v>
      </x:c>
      <x:c r="C28" s="69" t="str">
        <x:v>PHI</x:v>
      </x:c>
      <x:c r="D28" s="74" t="n">
        <x:v>10</x:v>
      </x:c>
      <x:c r="E28" s="74" t="n">
        <x:v>23</x:v>
      </x:c>
      <x:c r="F28" s="75" t="n">
        <x:v>14.3</x:v>
      </x:c>
      <x:c r="G28" s="76" t="n">
        <x:v>275</x:v>
      </x:c>
      <x:c r="H28" s="76" t="n">
        <x:v>1095</x:v>
      </x:c>
      <x:c r="I28" s="76" t="n">
        <x:v>9</x:v>
      </x:c>
      <x:c r="J28" s="76" t="n">
        <x:v>39</x:v>
      </x:c>
      <x:c r="K28" s="76" t="n">
        <x:v>317</x:v>
      </x:c>
      <x:c r="L28" s="76" t="n">
        <x:v>2</x:v>
      </x:c>
      <x:c r="M28" s="76" t="n">
        <x:v>2</x:v>
      </x:c>
      <x:c r="N28" s="73" t="str">
        <x:v>https://www.thefantasyfootballers.com/2026-ultimate-draft-kit/udk-andys-projections/?position=FLEX</x:v>
      </x:c>
    </x:row>
    <x:row r="29">
      <x:c r="A29" s="70" t="str">
        <x:v>Ladd McConkey</x:v>
      </x:c>
      <x:c r="B29" s="69" t="str">
        <x:v>WR</x:v>
      </x:c>
      <x:c r="C29" s="69" t="str">
        <x:v>LAC</x:v>
      </x:c>
      <x:c r="D29" s="74" t="n">
        <x:v>7</x:v>
      </x:c>
      <x:c r="E29" s="74" t="n">
        <x:v>24</x:v>
      </x:c>
      <x:c r="F29" s="75" t="n">
        <x:v>14.2</x:v>
      </x:c>
      <x:c r="G29" s="76" t="n">
        <x:v>4</x:v>
      </x:c>
      <x:c r="H29" s="76" t="n">
        <x:v>23</x:v>
      </x:c>
      <x:c r="I29" s="76" t="n">
        <x:v>0</x:v>
      </x:c>
      <x:c r="J29" s="76" t="n">
        <x:v>90</x:v>
      </x:c>
      <x:c r="K29" s="76" t="n">
        <x:v>1091</x:v>
      </x:c>
      <x:c r="L29" s="76" t="n">
        <x:v>7</x:v>
      </x:c>
      <x:c r="M29" s="76" t="n">
        <x:v>1</x:v>
      </x:c>
      <x:c r="N29" s="73" t="str">
        <x:v>https://www.thefantasyfootballers.com/2026-ultimate-draft-kit/udk-andys-projections/?position=FLEX</x:v>
      </x:c>
    </x:row>
    <x:row r="30">
      <x:c r="A30" s="70" t="str">
        <x:v>Drake London</x:v>
      </x:c>
      <x:c r="B30" s="69" t="str">
        <x:v>WR</x:v>
      </x:c>
      <x:c r="C30" s="69" t="str">
        <x:v>ATL</x:v>
      </x:c>
      <x:c r="D30" s="74" t="n">
        <x:v>11</x:v>
      </x:c>
      <x:c r="E30" s="74" t="n">
        <x:v>25</x:v>
      </x:c>
      <x:c r="F30" s="75" t="n">
        <x:v>14.2</x:v>
      </x:c>
      <x:c r="G30" s="76" t="n">
        <x:v>0</x:v>
      </x:c>
      <x:c r="H30" s="76" t="n">
        <x:v>0</x:v>
      </x:c>
      <x:c r="I30" s="76" t="n">
        <x:v>0</x:v>
      </x:c>
      <x:c r="J30" s="76" t="n">
        <x:v>87</x:v>
      </x:c>
      <x:c r="K30" s="76" t="n">
        <x:v>1141</x:v>
      </x:c>
      <x:c r="L30" s="76" t="n">
        <x:v>7</x:v>
      </x:c>
      <x:c r="M30" s="76" t="n">
        <x:v>1</x:v>
      </x:c>
      <x:c r="N30" s="73" t="str">
        <x:v>https://www.thefantasyfootballers.com/2026-ultimate-draft-kit/udk-andys-projections/?position=FLEX</x:v>
      </x:c>
    </x:row>
    <x:row r="31">
      <x:c r="A31" s="70" t="str">
        <x:v>DeVonta Smith</x:v>
      </x:c>
      <x:c r="B31" s="69" t="str">
        <x:v>WR</x:v>
      </x:c>
      <x:c r="C31" s="69" t="str">
        <x:v>PHI</x:v>
      </x:c>
      <x:c r="D31" s="74" t="n">
        <x:v>10</x:v>
      </x:c>
      <x:c r="E31" s="74" t="n">
        <x:v>26</x:v>
      </x:c>
      <x:c r="F31" s="75" t="n">
        <x:v>14.1</x:v>
      </x:c>
      <x:c r="G31" s="76" t="n">
        <x:v>2</x:v>
      </x:c>
      <x:c r="H31" s="76" t="n">
        <x:v>8</x:v>
      </x:c>
      <x:c r="I31" s="76" t="n">
        <x:v>0</x:v>
      </x:c>
      <x:c r="J31" s="76" t="n">
        <x:v>91</x:v>
      </x:c>
      <x:c r="K31" s="76" t="n">
        <x:v>1104</x:v>
      </x:c>
      <x:c r="L31" s="76" t="n">
        <x:v>6</x:v>
      </x:c>
      <x:c r="M31" s="76" t="n">
        <x:v>0</x:v>
      </x:c>
      <x:c r="N31" s="73" t="str">
        <x:v>https://www.thefantasyfootballers.com/2026-ultimate-draft-kit/udk-andys-projections/?position=FLEX</x:v>
      </x:c>
    </x:row>
    <x:row r="32">
      <x:c r="A32" s="70" t="str">
        <x:v>Luther Burden III</x:v>
      </x:c>
      <x:c r="B32" s="69" t="str">
        <x:v>WR</x:v>
      </x:c>
      <x:c r="C32" s="69" t="str">
        <x:v>CHI</x:v>
      </x:c>
      <x:c r="D32" s="74" t="n">
        <x:v>10</x:v>
      </x:c>
      <x:c r="E32" s="74" t="n">
        <x:v>27</x:v>
      </x:c>
      <x:c r="F32" s="75" t="n">
        <x:v>14.1</x:v>
      </x:c>
      <x:c r="G32" s="76" t="n">
        <x:v>8</x:v>
      </x:c>
      <x:c r="H32" s="76" t="n">
        <x:v>64</x:v>
      </x:c>
      <x:c r="I32" s="76" t="n">
        <x:v>0</x:v>
      </x:c>
      <x:c r="J32" s="76" t="n">
        <x:v>86</x:v>
      </x:c>
      <x:c r="K32" s="76" t="n">
        <x:v>1189</x:v>
      </x:c>
      <x:c r="L32" s="76" t="n">
        <x:v>5</x:v>
      </x:c>
      <x:c r="M32" s="76" t="n">
        <x:v>0</x:v>
      </x:c>
      <x:c r="N32" s="73" t="str">
        <x:v>https://www.thefantasyfootballers.com/2026-ultimate-draft-kit/udk-andys-projections/?position=FLEX</x:v>
      </x:c>
    </x:row>
    <x:row r="33">
      <x:c r="A33" s="70" t="str">
        <x:v>Jaylen Waddle</x:v>
      </x:c>
      <x:c r="B33" s="69" t="str">
        <x:v>WR</x:v>
      </x:c>
      <x:c r="C33" s="69" t="str">
        <x:v>DEN</x:v>
      </x:c>
      <x:c r="D33" s="74" t="n">
        <x:v>10</x:v>
      </x:c>
      <x:c r="E33" s="74" t="n">
        <x:v>28</x:v>
      </x:c>
      <x:c r="F33" s="75" t="n">
        <x:v>14.1</x:v>
      </x:c>
      <x:c r="G33" s="76" t="n">
        <x:v>9</x:v>
      </x:c>
      <x:c r="H33" s="76" t="n">
        <x:v>35</x:v>
      </x:c>
      <x:c r="I33" s="76" t="n">
        <x:v>0</x:v>
      </x:c>
      <x:c r="J33" s="76" t="n">
        <x:v>84</x:v>
      </x:c>
      <x:c r="K33" s="76" t="n">
        <x:v>1129</x:v>
      </x:c>
      <x:c r="L33" s="76" t="n">
        <x:v>7</x:v>
      </x:c>
      <x:c r="M33" s="76" t="n">
        <x:v>1</x:v>
      </x:c>
      <x:c r="N33" s="73" t="str">
        <x:v>https://www.thefantasyfootballers.com/2026-ultimate-draft-kit/udk-andys-projections/?position=FLEX</x:v>
      </x:c>
    </x:row>
    <x:row r="34">
      <x:c r="A34" s="70" t="str">
        <x:v>Malik Nabers</x:v>
      </x:c>
      <x:c r="B34" s="69" t="str">
        <x:v>WR</x:v>
      </x:c>
      <x:c r="C34" s="69" t="str">
        <x:v>NYG</x:v>
      </x:c>
      <x:c r="D34" s="74" t="n">
        <x:v>8</x:v>
      </x:c>
      <x:c r="E34" s="74" t="n">
        <x:v>29</x:v>
      </x:c>
      <x:c r="F34" s="75" t="n">
        <x:v>14.1</x:v>
      </x:c>
      <x:c r="G34" s="76" t="n">
        <x:v>10</x:v>
      </x:c>
      <x:c r="H34" s="76" t="n">
        <x:v>45</x:v>
      </x:c>
      <x:c r="I34" s="76" t="n">
        <x:v>0</x:v>
      </x:c>
      <x:c r="J34" s="76" t="n">
        <x:v>83</x:v>
      </x:c>
      <x:c r="K34" s="76" t="n">
        <x:v>1131</x:v>
      </x:c>
      <x:c r="L34" s="76" t="n">
        <x:v>7</x:v>
      </x:c>
      <x:c r="M34" s="76" t="n">
        <x:v>1</x:v>
      </x:c>
      <x:c r="N34" s="73" t="str">
        <x:v>https://www.thefantasyfootballers.com/2026-ultimate-draft-kit/udk-andys-projections/?position=FLEX</x:v>
      </x:c>
    </x:row>
    <x:row r="35">
      <x:c r="A35" s="70" t="str">
        <x:v>Zay Flowers</x:v>
      </x:c>
      <x:c r="B35" s="69" t="str">
        <x:v>WR</x:v>
      </x:c>
      <x:c r="C35" s="69" t="str">
        <x:v>BAL</x:v>
      </x:c>
      <x:c r="D35" s="74" t="n">
        <x:v>13</x:v>
      </x:c>
      <x:c r="E35" s="74" t="n">
        <x:v>30</x:v>
      </x:c>
      <x:c r="F35" s="75" t="n">
        <x:v>14</x:v>
      </x:c>
      <x:c r="G35" s="76" t="n">
        <x:v>8</x:v>
      </x:c>
      <x:c r="H35" s="76" t="n">
        <x:v>43</x:v>
      </x:c>
      <x:c r="I35" s="76" t="n">
        <x:v>1</x:v>
      </x:c>
      <x:c r="J35" s="76" t="n">
        <x:v>83</x:v>
      </x:c>
      <x:c r="K35" s="76" t="n">
        <x:v>1144</x:v>
      </x:c>
      <x:c r="L35" s="76" t="n">
        <x:v>6</x:v>
      </x:c>
      <x:c r="M35" s="76" t="n">
        <x:v>2</x:v>
      </x:c>
      <x:c r="N35" s="73" t="str">
        <x:v>https://www.thefantasyfootballers.com/2026-ultimate-draft-kit/udk-andys-projections/?position=FLEX</x:v>
      </x:c>
    </x:row>
    <x:row r="36">
      <x:c r="A36" s="70" t="str">
        <x:v>Rashee Rice</x:v>
      </x:c>
      <x:c r="B36" s="69" t="str">
        <x:v>WR</x:v>
      </x:c>
      <x:c r="C36" s="69" t="str">
        <x:v>KC</x:v>
      </x:c>
      <x:c r="D36" s="74" t="n">
        <x:v>5</x:v>
      </x:c>
      <x:c r="E36" s="74" t="n">
        <x:v>31</x:v>
      </x:c>
      <x:c r="F36" s="75" t="n">
        <x:v>13.9</x:v>
      </x:c>
      <x:c r="G36" s="76" t="n">
        <x:v>10</x:v>
      </x:c>
      <x:c r="H36" s="76" t="n">
        <x:v>38</x:v>
      </x:c>
      <x:c r="I36" s="76" t="n">
        <x:v>1</x:v>
      </x:c>
      <x:c r="J36" s="76" t="n">
        <x:v>80</x:v>
      </x:c>
      <x:c r="K36" s="76" t="n">
        <x:v>1027</x:v>
      </x:c>
      <x:c r="L36" s="76" t="n">
        <x:v>8</x:v>
      </x:c>
      <x:c r="M36" s="76" t="n">
        <x:v>1</x:v>
      </x:c>
      <x:c r="N36" s="73" t="str">
        <x:v>https://www.thefantasyfootballers.com/2026-ultimate-draft-kit/udk-andys-projections/?position=FLEX</x:v>
      </x:c>
    </x:row>
    <x:row r="37">
      <x:c r="A37" s="70" t="str">
        <x:v>Marvin Harrison Jr.</x:v>
      </x:c>
      <x:c r="B37" s="69" t="str">
        <x:v>WR</x:v>
      </x:c>
      <x:c r="C37" s="69" t="str">
        <x:v>ARI</x:v>
      </x:c>
      <x:c r="D37" s="74" t="n">
        <x:v>14</x:v>
      </x:c>
      <x:c r="E37" s="74" t="n">
        <x:v>32</x:v>
      </x:c>
      <x:c r="F37" s="75" t="n">
        <x:v>13.9</x:v>
      </x:c>
      <x:c r="G37" s="76" t="n">
        <x:v>0</x:v>
      </x:c>
      <x:c r="H37" s="76" t="n">
        <x:v>3</x:v>
      </x:c>
      <x:c r="I37" s="76" t="n">
        <x:v>0</x:v>
      </x:c>
      <x:c r="J37" s="76" t="n">
        <x:v>83</x:v>
      </x:c>
      <x:c r="K37" s="76" t="n">
        <x:v>1101</x:v>
      </x:c>
      <x:c r="L37" s="76" t="n">
        <x:v>7</x:v>
      </x:c>
      <x:c r="M37" s="76" t="n">
        <x:v>0</x:v>
      </x:c>
      <x:c r="N37" s="73" t="str">
        <x:v>https://www.thefantasyfootballers.com/2026-ultimate-draft-kit/udk-andys-projections/?position=FLEX</x:v>
      </x:c>
    </x:row>
    <x:row r="38">
      <x:c r="A38" s="70" t="str">
        <x:v>Ashton Jeanty</x:v>
      </x:c>
      <x:c r="B38" s="69" t="str">
        <x:v>RB</x:v>
      </x:c>
      <x:c r="C38" s="69" t="str">
        <x:v>LV</x:v>
      </x:c>
      <x:c r="D38" s="74" t="n">
        <x:v>13</x:v>
      </x:c>
      <x:c r="E38" s="74" t="n">
        <x:v>33</x:v>
      </x:c>
      <x:c r="F38" s="75" t="n">
        <x:v>13.9</x:v>
      </x:c>
      <x:c r="G38" s="76" t="n">
        <x:v>253</x:v>
      </x:c>
      <x:c r="H38" s="76" t="n">
        <x:v>1047</x:v>
      </x:c>
      <x:c r="I38" s="76" t="n">
        <x:v>8</x:v>
      </x:c>
      <x:c r="J38" s="76" t="n">
        <x:v>42</x:v>
      </x:c>
      <x:c r="K38" s="76" t="n">
        <x:v>350</x:v>
      </x:c>
      <x:c r="L38" s="76" t="n">
        <x:v>3</x:v>
      </x:c>
      <x:c r="M38" s="76" t="n">
        <x:v>3</x:v>
      </x:c>
      <x:c r="N38" s="73" t="str">
        <x:v>https://www.thefantasyfootballers.com/2026-ultimate-draft-kit/udk-andys-projections/?position=FLEX</x:v>
      </x:c>
    </x:row>
    <x:row r="39">
      <x:c r="A39" s="70" t="str">
        <x:v>Emeka Egbuka</x:v>
      </x:c>
      <x:c r="B39" s="69" t="str">
        <x:v>WR</x:v>
      </x:c>
      <x:c r="C39" s="69" t="str">
        <x:v>TB</x:v>
      </x:c>
      <x:c r="D39" s="74" t="n">
        <x:v>10</x:v>
      </x:c>
      <x:c r="E39" s="74" t="n">
        <x:v>34</x:v>
      </x:c>
      <x:c r="F39" s="75" t="n">
        <x:v>13.9</x:v>
      </x:c>
      <x:c r="G39" s="76" t="n">
        <x:v>7</x:v>
      </x:c>
      <x:c r="H39" s="76" t="n">
        <x:v>47</x:v>
      </x:c>
      <x:c r="I39" s="76" t="n">
        <x:v>0</x:v>
      </x:c>
      <x:c r="J39" s="76" t="n">
        <x:v>78</x:v>
      </x:c>
      <x:c r="K39" s="76" t="n">
        <x:v>1188</x:v>
      </x:c>
      <x:c r="L39" s="76" t="n">
        <x:v>6</x:v>
      </x:c>
      <x:c r="M39" s="76" t="n">
        <x:v>1</x:v>
      </x:c>
      <x:c r="N39" s="73" t="str">
        <x:v>https://www.thefantasyfootballers.com/2026-ultimate-draft-kit/udk-andys-projections/?position=FLEX</x:v>
      </x:c>
    </x:row>
    <x:row r="40">
      <x:c r="A40" s="70" t="str">
        <x:v>Breece Hall</x:v>
      </x:c>
      <x:c r="B40" s="69" t="str">
        <x:v>RB</x:v>
      </x:c>
      <x:c r="C40" s="69" t="str">
        <x:v>NYJ</x:v>
      </x:c>
      <x:c r="D40" s="74" t="n">
        <x:v>13</x:v>
      </x:c>
      <x:c r="E40" s="74" t="n">
        <x:v>35</x:v>
      </x:c>
      <x:c r="F40" s="75" t="n">
        <x:v>13.8</x:v>
      </x:c>
      <x:c r="G40" s="76" t="n">
        <x:v>243</x:v>
      </x:c>
      <x:c r="H40" s="76" t="n">
        <x:v>1069</x:v>
      </x:c>
      <x:c r="I40" s="76" t="n">
        <x:v>6</x:v>
      </x:c>
      <x:c r="J40" s="76" t="n">
        <x:v>41</x:v>
      </x:c>
      <x:c r="K40" s="76" t="n">
        <x:v>392</x:v>
      </x:c>
      <x:c r="L40" s="76" t="n">
        <x:v>2</x:v>
      </x:c>
      <x:c r="M40" s="76" t="n">
        <x:v>2</x:v>
      </x:c>
      <x:c r="N40" s="73" t="str">
        <x:v>https://www.thefantasyfootballers.com/2026-ultimate-draft-kit/udk-andys-projections/?position=FLEX</x:v>
      </x:c>
    </x:row>
    <x:row r="41">
      <x:c r="A41" s="70" t="str">
        <x:v>Tee Higgins</x:v>
      </x:c>
      <x:c r="B41" s="69" t="str">
        <x:v>WR</x:v>
      </x:c>
      <x:c r="C41" s="69" t="str">
        <x:v>CIN</x:v>
      </x:c>
      <x:c r="D41" s="74" t="n">
        <x:v>6</x:v>
      </x:c>
      <x:c r="E41" s="74" t="n">
        <x:v>36</x:v>
      </x:c>
      <x:c r="F41" s="75" t="n">
        <x:v>13.8</x:v>
      </x:c>
      <x:c r="G41" s="76" t="n">
        <x:v>0</x:v>
      </x:c>
      <x:c r="H41" s="76" t="n">
        <x:v>5</x:v>
      </x:c>
      <x:c r="I41" s="76" t="n">
        <x:v>0</x:v>
      </x:c>
      <x:c r="J41" s="76" t="n">
        <x:v>74</x:v>
      </x:c>
      <x:c r="K41" s="76" t="n">
        <x:v>1115</x:v>
      </x:c>
      <x:c r="L41" s="76" t="n">
        <x:v>8</x:v>
      </x:c>
      <x:c r="M41" s="76" t="n">
        <x:v>0</x:v>
      </x:c>
      <x:c r="N41" s="73" t="str">
        <x:v>https://www.thefantasyfootballers.com/2026-ultimate-draft-kit/udk-andys-projections/?position=FLEX</x:v>
      </x:c>
    </x:row>
    <x:row r="42">
      <x:c r="A42" s="70" t="str">
        <x:v>DJ Moore</x:v>
      </x:c>
      <x:c r="B42" s="69" t="str">
        <x:v>WR</x:v>
      </x:c>
      <x:c r="C42" s="69" t="str">
        <x:v>BUF</x:v>
      </x:c>
      <x:c r="D42" s="74" t="n">
        <x:v>7</x:v>
      </x:c>
      <x:c r="E42" s="74" t="n">
        <x:v>37</x:v>
      </x:c>
      <x:c r="F42" s="75" t="n">
        <x:v>13.7</x:v>
      </x:c>
      <x:c r="G42" s="76" t="n">
        <x:v>13</x:v>
      </x:c>
      <x:c r="H42" s="76" t="n">
        <x:v>74</x:v>
      </x:c>
      <x:c r="I42" s="76" t="n">
        <x:v>1</x:v>
      </x:c>
      <x:c r="J42" s="76" t="n">
        <x:v>78</x:v>
      </x:c>
      <x:c r="K42" s="76" t="n">
        <x:v>998</x:v>
      </x:c>
      <x:c r="L42" s="76" t="n">
        <x:v>7</x:v>
      </x:c>
      <x:c r="M42" s="76" t="n">
        <x:v>0</x:v>
      </x:c>
      <x:c r="N42" s="73" t="str">
        <x:v>https://www.thefantasyfootballers.com/2026-ultimate-draft-kit/udk-andys-projections/?position=FLEX</x:v>
      </x:c>
    </x:row>
    <x:row r="43">
      <x:c r="A43" s="70" t="str">
        <x:v>Jameson Williams</x:v>
      </x:c>
      <x:c r="B43" s="69" t="str">
        <x:v>WR</x:v>
      </x:c>
      <x:c r="C43" s="69" t="str">
        <x:v>DET</x:v>
      </x:c>
      <x:c r="D43" s="74" t="n">
        <x:v>6</x:v>
      </x:c>
      <x:c r="E43" s="74" t="n">
        <x:v>38</x:v>
      </x:c>
      <x:c r="F43" s="75" t="n">
        <x:v>13.6</x:v>
      </x:c>
      <x:c r="G43" s="76" t="n">
        <x:v>8</x:v>
      </x:c>
      <x:c r="H43" s="76" t="n">
        <x:v>43</x:v>
      </x:c>
      <x:c r="I43" s="76" t="n">
        <x:v>0</x:v>
      </x:c>
      <x:c r="J43" s="76" t="n">
        <x:v>69</x:v>
      </x:c>
      <x:c r="K43" s="76" t="n">
        <x:v>1137</x:v>
      </x:c>
      <x:c r="L43" s="76" t="n">
        <x:v>8</x:v>
      </x:c>
      <x:c r="M43" s="76" t="n">
        <x:v>1</x:v>
      </x:c>
      <x:c r="N43" s="73" t="str">
        <x:v>https://www.thefantasyfootballers.com/2026-ultimate-draft-kit/udk-andys-projections/?position=FLEX</x:v>
      </x:c>
    </x:row>
    <x:row r="44">
      <x:c r="A44" s="70" t="str">
        <x:v>Rome Odunze</x:v>
      </x:c>
      <x:c r="B44" s="69" t="str">
        <x:v>WR</x:v>
      </x:c>
      <x:c r="C44" s="69" t="str">
        <x:v>CHI</x:v>
      </x:c>
      <x:c r="D44" s="74" t="n">
        <x:v>10</x:v>
      </x:c>
      <x:c r="E44" s="74" t="n">
        <x:v>39</x:v>
      </x:c>
      <x:c r="F44" s="75" t="n">
        <x:v>13.6</x:v>
      </x:c>
      <x:c r="G44" s="76" t="n">
        <x:v>0</x:v>
      </x:c>
      <x:c r="H44" s="76" t="n">
        <x:v>0</x:v>
      </x:c>
      <x:c r="I44" s="76" t="n">
        <x:v>0</x:v>
      </x:c>
      <x:c r="J44" s="76" t="n">
        <x:v>73</x:v>
      </x:c>
      <x:c r="K44" s="76" t="n">
        <x:v>1043</x:v>
      </x:c>
      <x:c r="L44" s="76" t="n">
        <x:v>9</x:v>
      </x:c>
      <x:c r="M44" s="76" t="n">
        <x:v>0</x:v>
      </x:c>
      <x:c r="N44" s="73" t="str">
        <x:v>https://www.thefantasyfootballers.com/2026-ultimate-draft-kit/udk-andys-projections/?position=FLEX</x:v>
      </x:c>
    </x:row>
    <x:row r="45">
      <x:c r="A45" s="70" t="str">
        <x:v>Carnell Tate</x:v>
      </x:c>
      <x:c r="B45" s="69" t="str">
        <x:v>WR</x:v>
      </x:c>
      <x:c r="C45" s="69" t="str">
        <x:v>TEN</x:v>
      </x:c>
      <x:c r="D45" s="74" t="n">
        <x:v>9</x:v>
      </x:c>
      <x:c r="E45" s="74" t="n">
        <x:v>40</x:v>
      </x:c>
      <x:c r="F45" s="75" t="n">
        <x:v>13.6</x:v>
      </x:c>
      <x:c r="G45" s="76" t="n">
        <x:v>10</x:v>
      </x:c>
      <x:c r="H45" s="76" t="n">
        <x:v>61</x:v>
      </x:c>
      <x:c r="I45" s="76" t="n">
        <x:v>0</x:v>
      </x:c>
      <x:c r="J45" s="76" t="n">
        <x:v>75</x:v>
      </x:c>
      <x:c r="K45" s="76" t="n">
        <x:v>1056</x:v>
      </x:c>
      <x:c r="L45" s="76" t="n">
        <x:v>8</x:v>
      </x:c>
      <x:c r="M45" s="76" t="n">
        <x:v>1</x:v>
      </x:c>
      <x:c r="N45" s="73" t="str">
        <x:v>https://www.thefantasyfootballers.com/2026-ultimate-draft-kit/udk-andys-projections/?position=FLEX</x:v>
      </x:c>
    </x:row>
    <x:row r="46">
      <x:c r="A46" s="70" t="str">
        <x:v>Tetairoa McMillan</x:v>
      </x:c>
      <x:c r="B46" s="69" t="str">
        <x:v>WR</x:v>
      </x:c>
      <x:c r="C46" s="69" t="str">
        <x:v>CAR</x:v>
      </x:c>
      <x:c r="D46" s="74" t="n">
        <x:v>5</x:v>
      </x:c>
      <x:c r="E46" s="74" t="n">
        <x:v>41</x:v>
      </x:c>
      <x:c r="F46" s="75" t="n">
        <x:v>13.5</x:v>
      </x:c>
      <x:c r="G46" s="76" t="n">
        <x:v>0</x:v>
      </x:c>
      <x:c r="H46" s="76" t="n">
        <x:v>0</x:v>
      </x:c>
      <x:c r="I46" s="76" t="n">
        <x:v>0</x:v>
      </x:c>
      <x:c r="J46" s="76" t="n">
        <x:v>73</x:v>
      </x:c>
      <x:c r="K46" s="76" t="n">
        <x:v>1066</x:v>
      </x:c>
      <x:c r="L46" s="76" t="n">
        <x:v>8</x:v>
      </x:c>
      <x:c r="M46" s="76" t="n">
        <x:v>0</x:v>
      </x:c>
      <x:c r="N46" s="73" t="str">
        <x:v>https://www.thefantasyfootballers.com/2026-ultimate-draft-kit/udk-andys-projections/?position=FLEX</x:v>
      </x:c>
    </x:row>
    <x:row r="47">
      <x:c r="A47" s="70" t="str">
        <x:v>Parker Washington</x:v>
      </x:c>
      <x:c r="B47" s="69" t="str">
        <x:v>WR</x:v>
      </x:c>
      <x:c r="C47" s="69" t="str">
        <x:v>JAX</x:v>
      </x:c>
      <x:c r="D47" s="74" t="n">
        <x:v>7</x:v>
      </x:c>
      <x:c r="E47" s="74" t="n">
        <x:v>42</x:v>
      </x:c>
      <x:c r="F47" s="75" t="n">
        <x:v>13.4</x:v>
      </x:c>
      <x:c r="G47" s="76" t="n">
        <x:v>9</x:v>
      </x:c>
      <x:c r="H47" s="76" t="n">
        <x:v>52</x:v>
      </x:c>
      <x:c r="I47" s="76" t="n">
        <x:v>0</x:v>
      </x:c>
      <x:c r="J47" s="76" t="n">
        <x:v>80</x:v>
      </x:c>
      <x:c r="K47" s="76" t="n">
        <x:v>1096</x:v>
      </x:c>
      <x:c r="L47" s="76" t="n">
        <x:v>6</x:v>
      </x:c>
      <x:c r="M47" s="76" t="n">
        <x:v>1</x:v>
      </x:c>
      <x:c r="N47" s="73" t="str">
        <x:v>https://www.thefantasyfootballers.com/2026-ultimate-draft-kit/udk-andys-projections/?position=FLEX</x:v>
      </x:c>
    </x:row>
    <x:row r="48">
      <x:c r="A48" s="70" t="str">
        <x:v>Terry McLaurin</x:v>
      </x:c>
      <x:c r="B48" s="69" t="str">
        <x:v>WR</x:v>
      </x:c>
      <x:c r="C48" s="69" t="str">
        <x:v>WAS</x:v>
      </x:c>
      <x:c r="D48" s="74" t="n">
        <x:v>7</x:v>
      </x:c>
      <x:c r="E48" s="74" t="n">
        <x:v>43</x:v>
      </x:c>
      <x:c r="F48" s="75" t="n">
        <x:v>13.3</x:v>
      </x:c>
      <x:c r="G48" s="76" t="n">
        <x:v>3</x:v>
      </x:c>
      <x:c r="H48" s="76" t="n">
        <x:v>19</x:v>
      </x:c>
      <x:c r="I48" s="76" t="n">
        <x:v>0</x:v>
      </x:c>
      <x:c r="J48" s="76" t="n">
        <x:v>75</x:v>
      </x:c>
      <x:c r="K48" s="76" t="n">
        <x:v>1066</x:v>
      </x:c>
      <x:c r="L48" s="76" t="n">
        <x:v>7</x:v>
      </x:c>
      <x:c r="M48" s="76" t="n">
        <x:v>1</x:v>
      </x:c>
      <x:c r="N48" s="73" t="str">
        <x:v>https://www.thefantasyfootballers.com/2026-ultimate-draft-kit/udk-andys-projections/?position=FLEX</x:v>
      </x:c>
    </x:row>
    <x:row r="49">
      <x:c r="A49" s="70" t="str">
        <x:v>Derrick Henry</x:v>
      </x:c>
      <x:c r="B49" s="69" t="str">
        <x:v>RB</x:v>
      </x:c>
      <x:c r="C49" s="69" t="str">
        <x:v>BAL</x:v>
      </x:c>
      <x:c r="D49" s="74" t="n">
        <x:v>13</x:v>
      </x:c>
      <x:c r="E49" s="74" t="n">
        <x:v>44</x:v>
      </x:c>
      <x:c r="F49" s="75" t="n">
        <x:v>13.2</x:v>
      </x:c>
      <x:c r="G49" s="76" t="n">
        <x:v>260</x:v>
      </x:c>
      <x:c r="H49" s="76" t="n">
        <x:v>1254</x:v>
      </x:c>
      <x:c r="I49" s="76" t="n">
        <x:v>11</x:v>
      </x:c>
      <x:c r="J49" s="76" t="n">
        <x:v>15</x:v>
      </x:c>
      <x:c r="K49" s="76" t="n">
        <x:v>155</x:v>
      </x:c>
      <x:c r="L49" s="76" t="n">
        <x:v>1</x:v>
      </x:c>
      <x:c r="M49" s="76" t="n">
        <x:v>2</x:v>
      </x:c>
      <x:c r="N49" s="73" t="str">
        <x:v>https://www.thefantasyfootballers.com/2026-ultimate-draft-kit/udk-andys-projections/?position=FLEX</x:v>
      </x:c>
    </x:row>
    <x:row r="50">
      <x:c r="A50" s="70" t="str">
        <x:v>Christian Watson</x:v>
      </x:c>
      <x:c r="B50" s="69" t="str">
        <x:v>WR</x:v>
      </x:c>
      <x:c r="C50" s="69" t="str">
        <x:v>GB</x:v>
      </x:c>
      <x:c r="D50" s="74" t="n">
        <x:v>11</x:v>
      </x:c>
      <x:c r="E50" s="74" t="n">
        <x:v>45</x:v>
      </x:c>
      <x:c r="F50" s="75" t="n">
        <x:v>13.2</x:v>
      </x:c>
      <x:c r="G50" s="76" t="n">
        <x:v>8</x:v>
      </x:c>
      <x:c r="H50" s="76" t="n">
        <x:v>35</x:v>
      </x:c>
      <x:c r="I50" s="76" t="n">
        <x:v>0</x:v>
      </x:c>
      <x:c r="J50" s="76" t="n">
        <x:v>67</x:v>
      </x:c>
      <x:c r="K50" s="76" t="n">
        <x:v>1086</x:v>
      </x:c>
      <x:c r="L50" s="76" t="n">
        <x:v>8</x:v>
      </x:c>
      <x:c r="M50" s="76" t="n">
        <x:v>1</x:v>
      </x:c>
      <x:c r="N50" s="73" t="str">
        <x:v>https://www.thefantasyfootballers.com/2026-ultimate-draft-kit/udk-andys-projections/?position=FLEX</x:v>
      </x:c>
    </x:row>
    <x:row r="51">
      <x:c r="A51" s="70" t="str">
        <x:v>D'Andre Swift</x:v>
      </x:c>
      <x:c r="B51" s="69" t="str">
        <x:v>RB</x:v>
      </x:c>
      <x:c r="C51" s="69" t="str">
        <x:v>CHI</x:v>
      </x:c>
      <x:c r="D51" s="74" t="n">
        <x:v>10</x:v>
      </x:c>
      <x:c r="E51" s="74" t="n">
        <x:v>46</x:v>
      </x:c>
      <x:c r="F51" s="75" t="n">
        <x:v>13.2</x:v>
      </x:c>
      <x:c r="G51" s="76" t="n">
        <x:v>194</x:v>
      </x:c>
      <x:c r="H51" s="76" t="n">
        <x:v>952</x:v>
      </x:c>
      <x:c r="I51" s="76" t="n">
        <x:v>7</x:v>
      </x:c>
      <x:c r="J51" s="76" t="n">
        <x:v>44</x:v>
      </x:c>
      <x:c r="K51" s="76" t="n">
        <x:v>368</x:v>
      </x:c>
      <x:c r="L51" s="76" t="n">
        <x:v>1</x:v>
      </x:c>
      <x:c r="M51" s="76" t="n">
        <x:v>2</x:v>
      </x:c>
      <x:c r="N51" s="73" t="str">
        <x:v>https://www.thefantasyfootballers.com/2026-ultimate-draft-kit/udk-andys-projections/?position=FLEX</x:v>
      </x:c>
    </x:row>
    <x:row r="52">
      <x:c r="A52" s="70" t="str">
        <x:v>Alec Pierce</x:v>
      </x:c>
      <x:c r="B52" s="69" t="str">
        <x:v>WR</x:v>
      </x:c>
      <x:c r="C52" s="69" t="str">
        <x:v>IND</x:v>
      </x:c>
      <x:c r="D52" s="74" t="n">
        <x:v>13</x:v>
      </x:c>
      <x:c r="E52" s="74" t="n">
        <x:v>47</x:v>
      </x:c>
      <x:c r="F52" s="75" t="n">
        <x:v>13.1</x:v>
      </x:c>
      <x:c r="G52" s="76" t="n">
        <x:v>3</x:v>
      </x:c>
      <x:c r="H52" s="76" t="n">
        <x:v>18</x:v>
      </x:c>
      <x:c r="I52" s="76" t="n">
        <x:v>0</x:v>
      </x:c>
      <x:c r="J52" s="76" t="n">
        <x:v>68</x:v>
      </x:c>
      <x:c r="K52" s="76" t="n">
        <x:v>1137</x:v>
      </x:c>
      <x:c r="L52" s="76" t="n">
        <x:v>7</x:v>
      </x:c>
      <x:c r="M52" s="76" t="n">
        <x:v>1</x:v>
      </x:c>
      <x:c r="N52" s="73" t="str">
        <x:v>https://www.thefantasyfootballers.com/2026-ultimate-draft-kit/udk-andys-projections/?position=FLEX</x:v>
      </x:c>
    </x:row>
    <x:row r="53">
      <x:c r="A53" s="70" t="str">
        <x:v>DK Metcalf</x:v>
      </x:c>
      <x:c r="B53" s="69" t="str">
        <x:v>WR</x:v>
      </x:c>
      <x:c r="C53" s="69" t="str">
        <x:v>PIT</x:v>
      </x:c>
      <x:c r="D53" s="74" t="n">
        <x:v>9</x:v>
      </x:c>
      <x:c r="E53" s="74" t="n">
        <x:v>48</x:v>
      </x:c>
      <x:c r="F53" s="75" t="n">
        <x:v>13</x:v>
      </x:c>
      <x:c r="G53" s="76" t="n">
        <x:v>4</x:v>
      </x:c>
      <x:c r="H53" s="76" t="n">
        <x:v>14</x:v>
      </x:c>
      <x:c r="I53" s="76" t="n">
        <x:v>0</x:v>
      </x:c>
      <x:c r="J53" s="76" t="n">
        <x:v>74</x:v>
      </x:c>
      <x:c r="K53" s="76" t="n">
        <x:v>1050</x:v>
      </x:c>
      <x:c r="L53" s="76" t="n">
        <x:v>7</x:v>
      </x:c>
      <x:c r="M53" s="76" t="n">
        <x:v>1</x:v>
      </x:c>
      <x:c r="N53" s="73" t="str">
        <x:v>https://www.thefantasyfootballers.com/2026-ultimate-draft-kit/udk-andys-projections/?position=FLEX</x:v>
      </x:c>
    </x:row>
    <x:row r="54">
      <x:c r="A54" s="70" t="str">
        <x:v>Brian Thomas Jr.</x:v>
      </x:c>
      <x:c r="B54" s="69" t="str">
        <x:v>WR</x:v>
      </x:c>
      <x:c r="C54" s="69" t="str">
        <x:v>JAX</x:v>
      </x:c>
      <x:c r="D54" s="74" t="n">
        <x:v>7</x:v>
      </x:c>
      <x:c r="E54" s="74" t="n">
        <x:v>49</x:v>
      </x:c>
      <x:c r="F54" s="75" t="n">
        <x:v>12.9</x:v>
      </x:c>
      <x:c r="G54" s="76" t="n">
        <x:v>7</x:v>
      </x:c>
      <x:c r="H54" s="76" t="n">
        <x:v>32</x:v>
      </x:c>
      <x:c r="I54" s="76" t="n">
        <x:v>1</x:v>
      </x:c>
      <x:c r="J54" s="76" t="n">
        <x:v>72</x:v>
      </x:c>
      <x:c r="K54" s="76" t="n">
        <x:v>1035</x:v>
      </x:c>
      <x:c r="L54" s="76" t="n">
        <x:v>6</x:v>
      </x:c>
      <x:c r="M54" s="76" t="n">
        <x:v>1</x:v>
      </x:c>
      <x:c r="N54" s="73" t="str">
        <x:v>https://www.thefantasyfootballers.com/2026-ultimate-draft-kit/udk-andys-projections/?position=FLEX</x:v>
      </x:c>
    </x:row>
    <x:row r="55">
      <x:c r="A55" s="70" t="str">
        <x:v>Cam Skattebo</x:v>
      </x:c>
      <x:c r="B55" s="69" t="str">
        <x:v>RB</x:v>
      </x:c>
      <x:c r="C55" s="69" t="str">
        <x:v>NYG</x:v>
      </x:c>
      <x:c r="D55" s="74" t="n">
        <x:v>8</x:v>
      </x:c>
      <x:c r="E55" s="74" t="n">
        <x:v>50</x:v>
      </x:c>
      <x:c r="F55" s="75" t="n">
        <x:v>12.8</x:v>
      </x:c>
      <x:c r="G55" s="76" t="n">
        <x:v>209</x:v>
      </x:c>
      <x:c r="H55" s="76" t="n">
        <x:v>897</x:v>
      </x:c>
      <x:c r="I55" s="76" t="n">
        <x:v>7</x:v>
      </x:c>
      <x:c r="J55" s="76" t="n">
        <x:v>41</x:v>
      </x:c>
      <x:c r="K55" s="76" t="n">
        <x:v>356</x:v>
      </x:c>
      <x:c r="L55" s="76" t="n">
        <x:v>3</x:v>
      </x:c>
      <x:c r="M55" s="76" t="n">
        <x:v>3</x:v>
      </x:c>
      <x:c r="N55" s="73" t="str">
        <x:v>https://www.thefantasyfootballers.com/2026-ultimate-draft-kit/udk-andys-projections/?position=FLEX</x:v>
      </x:c>
    </x:row>
    <x:row r="56">
      <x:c r="A56" s="70" t="str">
        <x:v>Jeremiyah Love</x:v>
      </x:c>
      <x:c r="B56" s="69" t="str">
        <x:v>RB</x:v>
      </x:c>
      <x:c r="C56" s="69" t="str">
        <x:v>ARI</x:v>
      </x:c>
      <x:c r="D56" s="74" t="n">
        <x:v>14</x:v>
      </x:c>
      <x:c r="E56" s="74" t="n">
        <x:v>51</x:v>
      </x:c>
      <x:c r="F56" s="75" t="n">
        <x:v>12.8</x:v>
      </x:c>
      <x:c r="G56" s="76" t="n">
        <x:v>211</x:v>
      </x:c>
      <x:c r="H56" s="76" t="n">
        <x:v>1022</x:v>
      </x:c>
      <x:c r="I56" s="76" t="n">
        <x:v>6</x:v>
      </x:c>
      <x:c r="J56" s="76" t="n">
        <x:v>38</x:v>
      </x:c>
      <x:c r="K56" s="76" t="n">
        <x:v>318</x:v>
      </x:c>
      <x:c r="L56" s="76" t="n">
        <x:v>2</x:v>
      </x:c>
      <x:c r="M56" s="76" t="n">
        <x:v>1</x:v>
      </x:c>
      <x:c r="N56" s="73" t="str">
        <x:v>https://www.thefantasyfootballers.com/2026-ultimate-draft-kit/udk-andys-projections/?position=FLEX</x:v>
      </x:c>
    </x:row>
    <x:row r="57">
      <x:c r="A57" s="70" t="str">
        <x:v>Javonte Williams</x:v>
      </x:c>
      <x:c r="B57" s="69" t="str">
        <x:v>RB</x:v>
      </x:c>
      <x:c r="C57" s="69" t="str">
        <x:v>DAL</x:v>
      </x:c>
      <x:c r="D57" s="74" t="n">
        <x:v>14</x:v>
      </x:c>
      <x:c r="E57" s="74" t="n">
        <x:v>52</x:v>
      </x:c>
      <x:c r="F57" s="75" t="n">
        <x:v>12.8</x:v>
      </x:c>
      <x:c r="G57" s="76" t="n">
        <x:v>240</x:v>
      </x:c>
      <x:c r="H57" s="76" t="n">
        <x:v>1098</x:v>
      </x:c>
      <x:c r="I57" s="76" t="n">
        <x:v>10</x:v>
      </x:c>
      <x:c r="J57" s="76" t="n">
        <x:v>33</x:v>
      </x:c>
      <x:c r="K57" s="76" t="n">
        <x:v>131</x:v>
      </x:c>
      <x:c r="L57" s="76" t="n">
        <x:v>1</x:v>
      </x:c>
      <x:c r="M57" s="76" t="n">
        <x:v>2</x:v>
      </x:c>
      <x:c r="N57" s="73" t="str">
        <x:v>https://www.thefantasyfootballers.com/2026-ultimate-draft-kit/udk-andys-projections/?position=FLEX</x:v>
      </x:c>
    </x:row>
    <x:row r="58">
      <x:c r="A58" s="70" t="str">
        <x:v>Travis Etienne Jr.</x:v>
      </x:c>
      <x:c r="B58" s="69" t="str">
        <x:v>RB</x:v>
      </x:c>
      <x:c r="C58" s="69" t="str">
        <x:v>NO</x:v>
      </x:c>
      <x:c r="D58" s="74" t="n">
        <x:v>8</x:v>
      </x:c>
      <x:c r="E58" s="74" t="n">
        <x:v>53</x:v>
      </x:c>
      <x:c r="F58" s="75" t="n">
        <x:v>12.7</x:v>
      </x:c>
      <x:c r="G58" s="76" t="n">
        <x:v>245</x:v>
      </x:c>
      <x:c r="H58" s="76" t="n">
        <x:v>1043</x:v>
      </x:c>
      <x:c r="I58" s="76" t="n">
        <x:v>7</x:v>
      </x:c>
      <x:c r="J58" s="76" t="n">
        <x:v>28</x:v>
      </x:c>
      <x:c r="K58" s="76" t="n">
        <x:v>262</x:v>
      </x:c>
      <x:c r="L58" s="76" t="n">
        <x:v>3</x:v>
      </x:c>
      <x:c r="M58" s="76" t="n">
        <x:v>2</x:v>
      </x:c>
      <x:c r="N58" s="73" t="str">
        <x:v>https://www.thefantasyfootballers.com/2026-ultimate-draft-kit/udk-andys-projections/?position=FLEX</x:v>
      </x:c>
    </x:row>
    <x:row r="59">
      <x:c r="A59" s="70" t="str">
        <x:v>Bucky Irving</x:v>
      </x:c>
      <x:c r="B59" s="69" t="str">
        <x:v>RB</x:v>
      </x:c>
      <x:c r="C59" s="69" t="str">
        <x:v>TB</x:v>
      </x:c>
      <x:c r="D59" s="74" t="n">
        <x:v>10</x:v>
      </x:c>
      <x:c r="E59" s="74" t="n">
        <x:v>54</x:v>
      </x:c>
      <x:c r="F59" s="75" t="n">
        <x:v>12.6</x:v>
      </x:c>
      <x:c r="G59" s="76" t="n">
        <x:v>222</x:v>
      </x:c>
      <x:c r="H59" s="76" t="n">
        <x:v>905</x:v>
      </x:c>
      <x:c r="I59" s="76" t="n">
        <x:v>5</x:v>
      </x:c>
      <x:c r="J59" s="76" t="n">
        <x:v>40</x:v>
      </x:c>
      <x:c r="K59" s="76" t="n">
        <x:v>358</x:v>
      </x:c>
      <x:c r="L59" s="76" t="n">
        <x:v>3</x:v>
      </x:c>
      <x:c r="M59" s="76" t="n">
        <x:v>2</x:v>
      </x:c>
      <x:c r="N59" s="73" t="str">
        <x:v>https://www.thefantasyfootballers.com/2026-ultimate-draft-kit/udk-andys-projections/?position=FLEX</x:v>
      </x:c>
    </x:row>
    <x:row r="60">
      <x:c r="A60" s="70" t="str">
        <x:v>Quinshon Judkins</x:v>
      </x:c>
      <x:c r="B60" s="69" t="str">
        <x:v>RB</x:v>
      </x:c>
      <x:c r="C60" s="69" t="str">
        <x:v>CLE</x:v>
      </x:c>
      <x:c r="D60" s="74" t="n">
        <x:v>11</x:v>
      </x:c>
      <x:c r="E60" s="74" t="n">
        <x:v>55</x:v>
      </x:c>
      <x:c r="F60" s="75" t="n">
        <x:v>12.5</x:v>
      </x:c>
      <x:c r="G60" s="76" t="n">
        <x:v>275</x:v>
      </x:c>
      <x:c r="H60" s="76" t="n">
        <x:v>1045</x:v>
      </x:c>
      <x:c r="I60" s="76" t="n">
        <x:v>7</x:v>
      </x:c>
      <x:c r="J60" s="76" t="n">
        <x:v>30</x:v>
      </x:c>
      <x:c r="K60" s="76" t="n">
        <x:v>229</x:v>
      </x:c>
      <x:c r="L60" s="76" t="n">
        <x:v>2</x:v>
      </x:c>
      <x:c r="M60" s="76" t="n">
        <x:v>0</x:v>
      </x:c>
      <x:c r="N60" s="73" t="str">
        <x:v>https://www.thefantasyfootballers.com/2026-ultimate-draft-kit/udk-andys-projections/?position=FLEX</x:v>
      </x:c>
    </x:row>
    <x:row r="61">
      <x:c r="A61" s="70" t="str">
        <x:v>Kyren Williams</x:v>
      </x:c>
      <x:c r="B61" s="69" t="str">
        <x:v>RB</x:v>
      </x:c>
      <x:c r="C61" s="69" t="str">
        <x:v>LAR</x:v>
      </x:c>
      <x:c r="D61" s="74" t="n">
        <x:v>11</x:v>
      </x:c>
      <x:c r="E61" s="74" t="n">
        <x:v>56</x:v>
      </x:c>
      <x:c r="F61" s="75" t="n">
        <x:v>12.4</x:v>
      </x:c>
      <x:c r="G61" s="76" t="n">
        <x:v>208</x:v>
      </x:c>
      <x:c r="H61" s="76" t="n">
        <x:v>1005</x:v>
      </x:c>
      <x:c r="I61" s="76" t="n">
        <x:v>8</x:v>
      </x:c>
      <x:c r="J61" s="76" t="n">
        <x:v>29</x:v>
      </x:c>
      <x:c r="K61" s="76" t="n">
        <x:v>228</x:v>
      </x:c>
      <x:c r="L61" s="76" t="n">
        <x:v>2</x:v>
      </x:c>
      <x:c r="M61" s="76" t="n">
        <x:v>2</x:v>
      </x:c>
      <x:c r="N61" s="73" t="str">
        <x:v>https://www.thefantasyfootballers.com/2026-ultimate-draft-kit/udk-andys-projections/?position=FLEX</x:v>
      </x:c>
    </x:row>
    <x:row r="62">
      <x:c r="A62" s="70" t="str">
        <x:v>Tyler Warren</x:v>
      </x:c>
      <x:c r="B62" s="69" t="str">
        <x:v>TE</x:v>
      </x:c>
      <x:c r="C62" s="69" t="str">
        <x:v>IND</x:v>
      </x:c>
      <x:c r="D62" s="74" t="n">
        <x:v>13</x:v>
      </x:c>
      <x:c r="E62" s="74" t="n">
        <x:v>57</x:v>
      </x:c>
      <x:c r="F62" s="75" t="n">
        <x:v>12.3</x:v>
      </x:c>
      <x:c r="G62" s="76" t="n">
        <x:v>12</x:v>
      </x:c>
      <x:c r="H62" s="76" t="n">
        <x:v>53</x:v>
      </x:c>
      <x:c r="I62" s="76" t="n">
        <x:v>1</x:v>
      </x:c>
      <x:c r="J62" s="76" t="n">
        <x:v>84</x:v>
      </x:c>
      <x:c r="K62" s="76" t="n">
        <x:v>872</x:v>
      </x:c>
      <x:c r="L62" s="76" t="n">
        <x:v>5</x:v>
      </x:c>
      <x:c r="M62" s="76" t="n">
        <x:v>1</x:v>
      </x:c>
      <x:c r="N62" s="73" t="str">
        <x:v>https://www.thefantasyfootballers.com/2026-ultimate-draft-kit/udk-andys-projections/?position=FLEX</x:v>
      </x:c>
    </x:row>
    <x:row r="63">
      <x:c r="A63" s="70" t="str">
        <x:v>Colston Loveland</x:v>
      </x:c>
      <x:c r="B63" s="69" t="str">
        <x:v>TE</x:v>
      </x:c>
      <x:c r="C63" s="69" t="str">
        <x:v>CHI</x:v>
      </x:c>
      <x:c r="D63" s="74" t="n">
        <x:v>10</x:v>
      </x:c>
      <x:c r="E63" s="74" t="n">
        <x:v>58</x:v>
      </x:c>
      <x:c r="F63" s="75" t="n">
        <x:v>12.3</x:v>
      </x:c>
      <x:c r="G63" s="76" t="n">
        <x:v>1</x:v>
      </x:c>
      <x:c r="H63" s="76" t="n">
        <x:v>0</x:v>
      </x:c>
      <x:c r="I63" s="76" t="n">
        <x:v>0</x:v>
      </x:c>
      <x:c r="J63" s="76" t="n">
        <x:v>74</x:v>
      </x:c>
      <x:c r="K63" s="76" t="n">
        <x:v>862</x:v>
      </x:c>
      <x:c r="L63" s="76" t="n">
        <x:v>8</x:v>
      </x:c>
      <x:c r="M63" s="76" t="n">
        <x:v>0</x:v>
      </x:c>
      <x:c r="N63" s="73" t="str">
        <x:v>https://www.thefantasyfootballers.com/2026-ultimate-draft-kit/udk-andys-projections/?position=FLEX</x:v>
      </x:c>
    </x:row>
    <x:row r="64">
      <x:c r="A64" s="70" t="str">
        <x:v>Wan'Dale Robinson</x:v>
      </x:c>
      <x:c r="B64" s="69" t="str">
        <x:v>WR</x:v>
      </x:c>
      <x:c r="C64" s="69" t="str">
        <x:v>TEN</x:v>
      </x:c>
      <x:c r="D64" s="74" t="n">
        <x:v>9</x:v>
      </x:c>
      <x:c r="E64" s="74" t="n">
        <x:v>59</x:v>
      </x:c>
      <x:c r="F64" s="75" t="n">
        <x:v>12</x:v>
      </x:c>
      <x:c r="G64" s="76" t="n">
        <x:v>7</x:v>
      </x:c>
      <x:c r="H64" s="76" t="n">
        <x:v>32</x:v>
      </x:c>
      <x:c r="I64" s="76" t="n">
        <x:v>0</x:v>
      </x:c>
      <x:c r="J64" s="76" t="n">
        <x:v>88</x:v>
      </x:c>
      <x:c r="K64" s="76" t="n">
        <x:v>949</x:v>
      </x:c>
      <x:c r="L64" s="76" t="n">
        <x:v>3</x:v>
      </x:c>
      <x:c r="M64" s="76" t="n">
        <x:v>1</x:v>
      </x:c>
      <x:c r="N64" s="73" t="str">
        <x:v>https://www.thefantasyfootballers.com/2026-ultimate-draft-kit/udk-andys-projections/?position=FLEX</x:v>
      </x:c>
    </x:row>
    <x:row r="65">
      <x:c r="A65" s="70" t="str">
        <x:v>Bhayshul Tuten</x:v>
      </x:c>
      <x:c r="B65" s="69" t="str">
        <x:v>RB</x:v>
      </x:c>
      <x:c r="C65" s="69" t="str">
        <x:v>JAX</x:v>
      </x:c>
      <x:c r="D65" s="74" t="n">
        <x:v>7</x:v>
      </x:c>
      <x:c r="E65" s="74" t="n">
        <x:v>60</x:v>
      </x:c>
      <x:c r="F65" s="75" t="n">
        <x:v>12</x:v>
      </x:c>
      <x:c r="G65" s="76" t="n">
        <x:v>224</x:v>
      </x:c>
      <x:c r="H65" s="76" t="n">
        <x:v>993</x:v>
      </x:c>
      <x:c r="I65" s="76" t="n">
        <x:v>7</x:v>
      </x:c>
      <x:c r="J65" s="76" t="n">
        <x:v>33</x:v>
      </x:c>
      <x:c r="K65" s="76" t="n">
        <x:v>194</x:v>
      </x:c>
      <x:c r="L65" s="76" t="n">
        <x:v>3</x:v>
      </x:c>
      <x:c r="M65" s="76" t="n">
        <x:v>3</x:v>
      </x:c>
      <x:c r="N65" s="73" t="str">
        <x:v>https://www.thefantasyfootballers.com/2026-ultimate-draft-kit/udk-andys-projections/?position=FLEX</x:v>
      </x:c>
    </x:row>
    <x:row r="66">
      <x:c r="A66" s="70" t="str">
        <x:v>Rhamondre Stevenson</x:v>
      </x:c>
      <x:c r="B66" s="69" t="str">
        <x:v>RB</x:v>
      </x:c>
      <x:c r="C66" s="69" t="str">
        <x:v>NE</x:v>
      </x:c>
      <x:c r="D66" s="74" t="n">
        <x:v>11</x:v>
      </x:c>
      <x:c r="E66" s="74" t="n">
        <x:v>61</x:v>
      </x:c>
      <x:c r="F66" s="75" t="n">
        <x:v>11.9</x:v>
      </x:c>
      <x:c r="G66" s="76" t="n">
        <x:v>194</x:v>
      </x:c>
      <x:c r="H66" s="76" t="n">
        <x:v>761</x:v>
      </x:c>
      <x:c r="I66" s="76" t="n">
        <x:v>8</x:v>
      </x:c>
      <x:c r="J66" s="76" t="n">
        <x:v>37</x:v>
      </x:c>
      <x:c r="K66" s="76" t="n">
        <x:v>329</x:v>
      </x:c>
      <x:c r="L66" s="76" t="n">
        <x:v>2</x:v>
      </x:c>
      <x:c r="M66" s="76" t="n">
        <x:v>2</x:v>
      </x:c>
      <x:c r="N66" s="73" t="str">
        <x:v>https://www.thefantasyfootballers.com/2026-ultimate-draft-kit/udk-andys-projections/?position=FLEX</x:v>
      </x:c>
    </x:row>
    <x:row r="67">
      <x:c r="A67" s="70" t="str">
        <x:v>Tucker Kraft</x:v>
      </x:c>
      <x:c r="B67" s="69" t="str">
        <x:v>TE</x:v>
      </x:c>
      <x:c r="C67" s="69" t="str">
        <x:v>GB</x:v>
      </x:c>
      <x:c r="D67" s="74" t="n">
        <x:v>11</x:v>
      </x:c>
      <x:c r="E67" s="74" t="n">
        <x:v>62</x:v>
      </x:c>
      <x:c r="F67" s="75" t="n">
        <x:v>11.8</x:v>
      </x:c>
      <x:c r="G67" s="76" t="n">
        <x:v>3</x:v>
      </x:c>
      <x:c r="H67" s="76" t="n">
        <x:v>13</x:v>
      </x:c>
      <x:c r="I67" s="76" t="n">
        <x:v>0</x:v>
      </x:c>
      <x:c r="J67" s="76" t="n">
        <x:v>69</x:v>
      </x:c>
      <x:c r="K67" s="76" t="n">
        <x:v>825</x:v>
      </x:c>
      <x:c r="L67" s="76" t="n">
        <x:v>8</x:v>
      </x:c>
      <x:c r="M67" s="76" t="n">
        <x:v>1</x:v>
      </x:c>
      <x:c r="N67" s="73" t="str">
        <x:v>https://www.thefantasyfootballers.com/2026-ultimate-draft-kit/udk-andys-projections/?position=FLEX</x:v>
      </x:c>
    </x:row>
    <x:row r="68">
      <x:c r="A68" s="70" t="str">
        <x:v>Davante Adams</x:v>
      </x:c>
      <x:c r="B68" s="69" t="str">
        <x:v>WR</x:v>
      </x:c>
      <x:c r="C68" s="69" t="str">
        <x:v>LAR</x:v>
      </x:c>
      <x:c r="D68" s="74" t="n">
        <x:v>11</x:v>
      </x:c>
      <x:c r="E68" s="74" t="n">
        <x:v>63</x:v>
      </x:c>
      <x:c r="F68" s="75" t="n">
        <x:v>11.8</x:v>
      </x:c>
      <x:c r="G68" s="76" t="n">
        <x:v>2</x:v>
      </x:c>
      <x:c r="H68" s="76" t="n">
        <x:v>8</x:v>
      </x:c>
      <x:c r="I68" s="76" t="n">
        <x:v>0</x:v>
      </x:c>
      <x:c r="J68" s="76" t="n">
        <x:v>68</x:v>
      </x:c>
      <x:c r="K68" s="76" t="n">
        <x:v>831</x:v>
      </x:c>
      <x:c r="L68" s="76" t="n">
        <x:v>9</x:v>
      </x:c>
      <x:c r="M68" s="76" t="n">
        <x:v>1</x:v>
      </x:c>
      <x:c r="N68" s="73" t="str">
        <x:v>https://www.thefantasyfootballers.com/2026-ultimate-draft-kit/udk-andys-projections/?position=FLEX</x:v>
      </x:c>
    </x:row>
    <x:row r="69">
      <x:c r="A69" s="70" t="str">
        <x:v>Quentin Johnston</x:v>
      </x:c>
      <x:c r="B69" s="69" t="str">
        <x:v>WR</x:v>
      </x:c>
      <x:c r="C69" s="69" t="str">
        <x:v>LAC</x:v>
      </x:c>
      <x:c r="D69" s="74" t="n">
        <x:v>7</x:v>
      </x:c>
      <x:c r="E69" s="74" t="n">
        <x:v>64</x:v>
      </x:c>
      <x:c r="F69" s="75" t="n">
        <x:v>11.6</x:v>
      </x:c>
      <x:c r="G69" s="76" t="n">
        <x:v>5</x:v>
      </x:c>
      <x:c r="H69" s="76" t="n">
        <x:v>30</x:v>
      </x:c>
      <x:c r="I69" s="76" t="n">
        <x:v>0</x:v>
      </x:c>
      <x:c r="J69" s="76" t="n">
        <x:v>65</x:v>
      </x:c>
      <x:c r="K69" s="76" t="n">
        <x:v>900</x:v>
      </x:c>
      <x:c r="L69" s="76" t="n">
        <x:v>7</x:v>
      </x:c>
      <x:c r="M69" s="76" t="n">
        <x:v>1</x:v>
      </x:c>
      <x:c r="N69" s="73" t="str">
        <x:v>https://www.thefantasyfootballers.com/2026-ultimate-draft-kit/udk-andys-projections/?position=FLEX</x:v>
      </x:c>
    </x:row>
    <x:row r="70">
      <x:c r="A70" s="70" t="str">
        <x:v>Mike Evans</x:v>
      </x:c>
      <x:c r="B70" s="69" t="str">
        <x:v>WR</x:v>
      </x:c>
      <x:c r="C70" s="69" t="str">
        <x:v>SF</x:v>
      </x:c>
      <x:c r="D70" s="74" t="n">
        <x:v>8</x:v>
      </x:c>
      <x:c r="E70" s="74" t="n">
        <x:v>65</x:v>
      </x:c>
      <x:c r="F70" s="75" t="n">
        <x:v>11.6</x:v>
      </x:c>
      <x:c r="G70" s="76" t="n">
        <x:v>2</x:v>
      </x:c>
      <x:c r="H70" s="76" t="n">
        <x:v>8</x:v>
      </x:c>
      <x:c r="I70" s="76" t="n">
        <x:v>0</x:v>
      </x:c>
      <x:c r="J70" s="76" t="n">
        <x:v>66</x:v>
      </x:c>
      <x:c r="K70" s="76" t="n">
        <x:v>878</x:v>
      </x:c>
      <x:c r="L70" s="76" t="n">
        <x:v>8</x:v>
      </x:c>
      <x:c r="M70" s="76" t="n">
        <x:v>1</x:v>
      </x:c>
      <x:c r="N70" s="73" t="str">
        <x:v>https://www.thefantasyfootballers.com/2026-ultimate-draft-kit/udk-andys-projections/?position=FLEX</x:v>
      </x:c>
    </x:row>
    <x:row r="71">
      <x:c r="A71" s="70" t="str">
        <x:v>Jadarian Price</x:v>
      </x:c>
      <x:c r="B71" s="69" t="str">
        <x:v>RB</x:v>
      </x:c>
      <x:c r="C71" s="69" t="str">
        <x:v>SEA</x:v>
      </x:c>
      <x:c r="D71" s="74" t="n">
        <x:v>11</x:v>
      </x:c>
      <x:c r="E71" s="74" t="n">
        <x:v>66</x:v>
      </x:c>
      <x:c r="F71" s="75" t="n">
        <x:v>11.6</x:v>
      </x:c>
      <x:c r="G71" s="76" t="n">
        <x:v>239</x:v>
      </x:c>
      <x:c r="H71" s="76" t="n">
        <x:v>975</x:v>
      </x:c>
      <x:c r="I71" s="76" t="n">
        <x:v>10</x:v>
      </x:c>
      <x:c r="J71" s="76" t="n">
        <x:v>16</x:v>
      </x:c>
      <x:c r="K71" s="76" t="n">
        <x:v>187</x:v>
      </x:c>
      <x:c r="L71" s="76" t="n">
        <x:v>2</x:v>
      </x:c>
      <x:c r="M71" s="76" t="n">
        <x:v>3</x:v>
      </x:c>
      <x:c r="N71" s="73" t="str">
        <x:v>https://www.thefantasyfootballers.com/2026-ultimate-draft-kit/udk-andys-projections/?position=FLEX</x:v>
      </x:c>
    </x:row>
    <x:row r="72">
      <x:c r="A72" s="70" t="str">
        <x:v>Michael Wilson</x:v>
      </x:c>
      <x:c r="B72" s="69" t="str">
        <x:v>WR</x:v>
      </x:c>
      <x:c r="C72" s="69" t="str">
        <x:v>ARI</x:v>
      </x:c>
      <x:c r="D72" s="74" t="n">
        <x:v>14</x:v>
      </x:c>
      <x:c r="E72" s="74" t="n">
        <x:v>67</x:v>
      </x:c>
      <x:c r="F72" s="75" t="n">
        <x:v>11.6</x:v>
      </x:c>
      <x:c r="G72" s="76" t="n">
        <x:v>0</x:v>
      </x:c>
      <x:c r="H72" s="76" t="n">
        <x:v>3</x:v>
      </x:c>
      <x:c r="I72" s="76" t="n">
        <x:v>0</x:v>
      </x:c>
      <x:c r="J72" s="76" t="n">
        <x:v>75</x:v>
      </x:c>
      <x:c r="K72" s="76" t="n">
        <x:v>912</x:v>
      </x:c>
      <x:c r="L72" s="76" t="n">
        <x:v>5</x:v>
      </x:c>
      <x:c r="M72" s="76" t="n">
        <x:v>0</x:v>
      </x:c>
      <x:c r="N72" s="73" t="str">
        <x:v>https://www.thefantasyfootballers.com/2026-ultimate-draft-kit/udk-andys-projections/?position=FLEX</x:v>
      </x:c>
    </x:row>
    <x:row r="73">
      <x:c r="A73" s="70" t="str">
        <x:v>Rico Dowdle</x:v>
      </x:c>
      <x:c r="B73" s="69" t="str">
        <x:v>RB</x:v>
      </x:c>
      <x:c r="C73" s="69" t="str">
        <x:v>PIT</x:v>
      </x:c>
      <x:c r="D73" s="74" t="n">
        <x:v>9</x:v>
      </x:c>
      <x:c r="E73" s="74" t="n">
        <x:v>68</x:v>
      </x:c>
      <x:c r="F73" s="75" t="n">
        <x:v>11.6</x:v>
      </x:c>
      <x:c r="G73" s="76" t="n">
        <x:v>215</x:v>
      </x:c>
      <x:c r="H73" s="76" t="n">
        <x:v>958</x:v>
      </x:c>
      <x:c r="I73" s="76" t="n">
        <x:v>7</x:v>
      </x:c>
      <x:c r="J73" s="76" t="n">
        <x:v>32</x:v>
      </x:c>
      <x:c r="K73" s="76" t="n">
        <x:v>265</x:v>
      </x:c>
      <x:c r="L73" s="76" t="n">
        <x:v>1</x:v>
      </x:c>
      <x:c r="M73" s="76" t="n">
        <x:v>2</x:v>
      </x:c>
      <x:c r="N73" s="73" t="str">
        <x:v>https://www.thefantasyfootballers.com/2026-ultimate-draft-kit/udk-andys-projections/?position=FLEX</x:v>
      </x:c>
    </x:row>
    <x:row r="74">
      <x:c r="A74" s="70" t="str">
        <x:v>Michael Pittman Jr.</x:v>
      </x:c>
      <x:c r="B74" s="69" t="str">
        <x:v>WR</x:v>
      </x:c>
      <x:c r="C74" s="69" t="str">
        <x:v>PIT</x:v>
      </x:c>
      <x:c r="D74" s="74" t="n">
        <x:v>9</x:v>
      </x:c>
      <x:c r="E74" s="74" t="n">
        <x:v>69</x:v>
      </x:c>
      <x:c r="F74" s="75" t="n">
        <x:v>11.2</x:v>
      </x:c>
      <x:c r="G74" s="76" t="n">
        <x:v>3</x:v>
      </x:c>
      <x:c r="H74" s="76" t="n">
        <x:v>14</x:v>
      </x:c>
      <x:c r="I74" s="76" t="n">
        <x:v>0</x:v>
      </x:c>
      <x:c r="J74" s="76" t="n">
        <x:v>79</x:v>
      </x:c>
      <x:c r="K74" s="76" t="n">
        <x:v>760</x:v>
      </x:c>
      <x:c r="L74" s="76" t="n">
        <x:v>6</x:v>
      </x:c>
      <x:c r="M74" s="76" t="n">
        <x:v>1</x:v>
      </x:c>
      <x:c r="N74" s="73" t="str">
        <x:v>https://www.thefantasyfootballers.com/2026-ultimate-draft-kit/udk-andys-projections/?position=FLEX</x:v>
      </x:c>
    </x:row>
    <x:row r="75">
      <x:c r="A75" s="70" t="str">
        <x:v>Chris Godwin Jr.</x:v>
      </x:c>
      <x:c r="B75" s="69" t="str">
        <x:v>WR</x:v>
      </x:c>
      <x:c r="C75" s="69" t="str">
        <x:v>TB</x:v>
      </x:c>
      <x:c r="D75" s="74" t="n">
        <x:v>10</x:v>
      </x:c>
      <x:c r="E75" s="74" t="n">
        <x:v>70</x:v>
      </x:c>
      <x:c r="F75" s="75" t="n">
        <x:v>11.1</x:v>
      </x:c>
      <x:c r="G75" s="76" t="n">
        <x:v>0</x:v>
      </x:c>
      <x:c r="H75" s="76" t="n">
        <x:v>0</x:v>
      </x:c>
      <x:c r="I75" s="76" t="n">
        <x:v>0</x:v>
      </x:c>
      <x:c r="J75" s="76" t="n">
        <x:v>78</x:v>
      </x:c>
      <x:c r="K75" s="76" t="n">
        <x:v>816</x:v>
      </x:c>
      <x:c r="L75" s="76" t="n">
        <x:v>5</x:v>
      </x:c>
      <x:c r="M75" s="76" t="n">
        <x:v>0</x:v>
      </x:c>
      <x:c r="N75" s="73" t="str">
        <x:v>https://www.thefantasyfootballers.com/2026-ultimate-draft-kit/udk-andys-projections/?position=FLEX</x:v>
      </x:c>
    </x:row>
    <x:row r="76">
      <x:c r="A76" s="70" t="str">
        <x:v>George Kittle</x:v>
      </x:c>
      <x:c r="B76" s="69" t="str">
        <x:v>TE</x:v>
      </x:c>
      <x:c r="C76" s="69" t="str">
        <x:v>SF</x:v>
      </x:c>
      <x:c r="D76" s="74" t="n">
        <x:v>8</x:v>
      </x:c>
      <x:c r="E76" s="74" t="n">
        <x:v>71</x:v>
      </x:c>
      <x:c r="F76" s="75" t="n">
        <x:v>11</x:v>
      </x:c>
      <x:c r="G76" s="76" t="n">
        <x:v>3</x:v>
      </x:c>
      <x:c r="H76" s="76" t="n">
        <x:v>13</x:v>
      </x:c>
      <x:c r="I76" s="76" t="n">
        <x:v>0</x:v>
      </x:c>
      <x:c r="J76" s="76" t="n">
        <x:v>82</x:v>
      </x:c>
      <x:c r="K76" s="76" t="n">
        <x:v>751</x:v>
      </x:c>
      <x:c r="L76" s="76" t="n">
        <x:v>5</x:v>
      </x:c>
      <x:c r="M76" s="76" t="n">
        <x:v>1</x:v>
      </x:c>
      <x:c r="N76" s="73" t="str">
        <x:v>https://www.thefantasyfootballers.com/2026-ultimate-draft-kit/udk-andys-projections/?position=FLEX</x:v>
      </x:c>
    </x:row>
    <x:row r="77">
      <x:c r="A77" s="70" t="str">
        <x:v>Kyle Pitts Sr.</x:v>
      </x:c>
      <x:c r="B77" s="69" t="str">
        <x:v>TE</x:v>
      </x:c>
      <x:c r="C77" s="69" t="str">
        <x:v>ATL</x:v>
      </x:c>
      <x:c r="D77" s="74" t="n">
        <x:v>11</x:v>
      </x:c>
      <x:c r="E77" s="74" t="n">
        <x:v>72</x:v>
      </x:c>
      <x:c r="F77" s="75" t="n">
        <x:v>10.9</x:v>
      </x:c>
      <x:c r="G77" s="76" t="n">
        <x:v>0</x:v>
      </x:c>
      <x:c r="H77" s="76" t="n">
        <x:v>0</x:v>
      </x:c>
      <x:c r="I77" s="76" t="n">
        <x:v>0</x:v>
      </x:c>
      <x:c r="J77" s="76" t="n">
        <x:v>83</x:v>
      </x:c>
      <x:c r="K77" s="76" t="n">
        <x:v>799</x:v>
      </x:c>
      <x:c r="L77" s="76" t="n">
        <x:v>4</x:v>
      </x:c>
      <x:c r="M77" s="76" t="n">
        <x:v>0</x:v>
      </x:c>
      <x:c r="N77" s="73" t="str">
        <x:v>https://www.thefantasyfootballers.com/2026-ultimate-draft-kit/udk-andys-projections/?position=FLEX</x:v>
      </x:c>
    </x:row>
    <x:row r="78">
      <x:c r="A78" s="70" t="str">
        <x:v>Jacory Croskey-Merritt</x:v>
      </x:c>
      <x:c r="B78" s="69" t="str">
        <x:v>RB</x:v>
      </x:c>
      <x:c r="C78" s="69" t="str">
        <x:v>WAS</x:v>
      </x:c>
      <x:c r="D78" s="74" t="n">
        <x:v>7</x:v>
      </x:c>
      <x:c r="E78" s="74" t="n">
        <x:v>73</x:v>
      </x:c>
      <x:c r="F78" s="75" t="n">
        <x:v>10.8</x:v>
      </x:c>
      <x:c r="G78" s="76" t="n">
        <x:v>230</x:v>
      </x:c>
      <x:c r="H78" s="76" t="n">
        <x:v>1005</x:v>
      </x:c>
      <x:c r="I78" s="76" t="n">
        <x:v>7</x:v>
      </x:c>
      <x:c r="J78" s="76" t="n">
        <x:v>25</x:v>
      </x:c>
      <x:c r="K78" s="76" t="n">
        <x:v>181</x:v>
      </x:c>
      <x:c r="L78" s="76" t="n">
        <x:v>0</x:v>
      </x:c>
      <x:c r="M78" s="76" t="n">
        <x:v>3</x:v>
      </x:c>
      <x:c r="N78" s="73" t="str">
        <x:v>https://www.thefantasyfootballers.com/2026-ultimate-draft-kit/udk-andys-projections/?position=FLEX</x:v>
      </x:c>
    </x:row>
    <x:row r="79">
      <x:c r="A79" s="70" t="str">
        <x:v>Harold Fannin Jr.</x:v>
      </x:c>
      <x:c r="B79" s="69" t="str">
        <x:v>TE</x:v>
      </x:c>
      <x:c r="C79" s="69" t="str">
        <x:v>CLE</x:v>
      </x:c>
      <x:c r="D79" s="74" t="n">
        <x:v>11</x:v>
      </x:c>
      <x:c r="E79" s="74" t="n">
        <x:v>74</x:v>
      </x:c>
      <x:c r="F79" s="75" t="n">
        <x:v>10.7</x:v>
      </x:c>
      <x:c r="G79" s="76" t="n">
        <x:v>5</x:v>
      </x:c>
      <x:c r="H79" s="76" t="n">
        <x:v>10</x:v>
      </x:c>
      <x:c r="I79" s="76" t="n">
        <x:v>1</x:v>
      </x:c>
      <x:c r="J79" s="76" t="n">
        <x:v>73</x:v>
      </x:c>
      <x:c r="K79" s="76" t="n">
        <x:v>714</x:v>
      </x:c>
      <x:c r="L79" s="76" t="n">
        <x:v>6</x:v>
      </x:c>
      <x:c r="M79" s="76" t="n">
        <x:v>1</x:v>
      </x:c>
      <x:c r="N79" s="73" t="str">
        <x:v>https://www.thefantasyfootballers.com/2026-ultimate-draft-kit/udk-andys-projections/?position=FLEX</x:v>
      </x:c>
    </x:row>
    <x:row r="80">
      <x:c r="A80" s="70" t="str">
        <x:v>Josh Downs</x:v>
      </x:c>
      <x:c r="B80" s="69" t="str">
        <x:v>WR</x:v>
      </x:c>
      <x:c r="C80" s="69" t="str">
        <x:v>IND</x:v>
      </x:c>
      <x:c r="D80" s="74" t="n">
        <x:v>13</x:v>
      </x:c>
      <x:c r="E80" s="74" t="n">
        <x:v>75</x:v>
      </x:c>
      <x:c r="F80" s="75" t="n">
        <x:v>10.6</x:v>
      </x:c>
      <x:c r="G80" s="76" t="n">
        <x:v>4</x:v>
      </x:c>
      <x:c r="H80" s="76" t="n">
        <x:v>17</x:v>
      </x:c>
      <x:c r="I80" s="76" t="n">
        <x:v>0</x:v>
      </x:c>
      <x:c r="J80" s="76" t="n">
        <x:v>80</x:v>
      </x:c>
      <x:c r="K80" s="76" t="n">
        <x:v>763</x:v>
      </x:c>
      <x:c r="L80" s="76" t="n">
        <x:v>4</x:v>
      </x:c>
      <x:c r="M80" s="76" t="n">
        <x:v>1</x:v>
      </x:c>
      <x:c r="N80" s="73" t="str">
        <x:v>https://www.thefantasyfootballers.com/2026-ultimate-draft-kit/udk-andys-projections/?position=FLEX</x:v>
      </x:c>
    </x:row>
    <x:row r="81">
      <x:c r="A81" s="70" t="str">
        <x:v>TreVeyon Henderson</x:v>
      </x:c>
      <x:c r="B81" s="69" t="str">
        <x:v>RB</x:v>
      </x:c>
      <x:c r="C81" s="69" t="str">
        <x:v>NE</x:v>
      </x:c>
      <x:c r="D81" s="74" t="n">
        <x:v>11</x:v>
      </x:c>
      <x:c r="E81" s="74" t="n">
        <x:v>76</x:v>
      </x:c>
      <x:c r="F81" s="75" t="n">
        <x:v>10.5</x:v>
      </x:c>
      <x:c r="G81" s="76" t="n">
        <x:v>166</x:v>
      </x:c>
      <x:c r="H81" s="76" t="n">
        <x:v>854</x:v>
      </x:c>
      <x:c r="I81" s="76" t="n">
        <x:v>6</x:v>
      </x:c>
      <x:c r="J81" s="76" t="n">
        <x:v>28</x:v>
      </x:c>
      <x:c r="K81" s="76" t="n">
        <x:v>231</x:v>
      </x:c>
      <x:c r="L81" s="76" t="n">
        <x:v>2</x:v>
      </x:c>
      <x:c r="M81" s="76" t="n">
        <x:v>2</x:v>
      </x:c>
      <x:c r="N81" s="73" t="str">
        <x:v>https://www.thefantasyfootballers.com/2026-ultimate-draft-kit/udk-andys-projections/?position=FLEX</x:v>
      </x:c>
    </x:row>
    <x:row r="82">
      <x:c r="A82" s="70" t="str">
        <x:v>Stefon Diggs</x:v>
      </x:c>
      <x:c r="B82" s="69" t="str">
        <x:v>WR</x:v>
      </x:c>
      <x:c r="C82" s="69" t="str">
        <x:v>WAS</x:v>
      </x:c>
      <x:c r="D82" s="74" t="n">
        <x:v>7</x:v>
      </x:c>
      <x:c r="E82" s="74" t="n">
        <x:v>77</x:v>
      </x:c>
      <x:c r="F82" s="75" t="n">
        <x:v>10.5</x:v>
      </x:c>
      <x:c r="G82" s="76" t="n">
        <x:v>2</x:v>
      </x:c>
      <x:c r="H82" s="76" t="n">
        <x:v>10</x:v>
      </x:c>
      <x:c r="I82" s="76" t="n">
        <x:v>0</x:v>
      </x:c>
      <x:c r="J82" s="76" t="n">
        <x:v>68</x:v>
      </x:c>
      <x:c r="K82" s="76" t="n">
        <x:v>820</x:v>
      </x:c>
      <x:c r="L82" s="76" t="n">
        <x:v>5</x:v>
      </x:c>
      <x:c r="M82" s="76" t="n">
        <x:v>1</x:v>
      </x:c>
      <x:c r="N82" s="73" t="str">
        <x:v>https://www.thefantasyfootballers.com/2026-ultimate-draft-kit/udk-andys-projections/?position=FLEX</x:v>
      </x:c>
    </x:row>
    <x:row r="83">
      <x:c r="A83" s="70" t="str">
        <x:v>Jakobi Meyers</x:v>
      </x:c>
      <x:c r="B83" s="69" t="str">
        <x:v>WR</x:v>
      </x:c>
      <x:c r="C83" s="69" t="str">
        <x:v>JAX</x:v>
      </x:c>
      <x:c r="D83" s="74" t="n">
        <x:v>7</x:v>
      </x:c>
      <x:c r="E83" s="74" t="n">
        <x:v>78</x:v>
      </x:c>
      <x:c r="F83" s="75" t="n">
        <x:v>10.5</x:v>
      </x:c>
      <x:c r="G83" s="76" t="n">
        <x:v>5</x:v>
      </x:c>
      <x:c r="H83" s="76" t="n">
        <x:v>17</x:v>
      </x:c>
      <x:c r="I83" s="76" t="n">
        <x:v>0</x:v>
      </x:c>
      <x:c r="J83" s="76" t="n">
        <x:v>74</x:v>
      </x:c>
      <x:c r="K83" s="76" t="n">
        <x:v>819</x:v>
      </x:c>
      <x:c r="L83" s="76" t="n">
        <x:v>4</x:v>
      </x:c>
      <x:c r="M83" s="76" t="n">
        <x:v>1</x:v>
      </x:c>
      <x:c r="N83" s="73" t="str">
        <x:v>https://www.thefantasyfootballers.com/2026-ultimate-draft-kit/udk-andys-projections/?position=FLEX</x:v>
      </x:c>
    </x:row>
    <x:row r="84">
      <x:c r="A84" s="70" t="str">
        <x:v>Kenny Gainwell</x:v>
      </x:c>
      <x:c r="B84" s="69" t="str">
        <x:v>RB</x:v>
      </x:c>
      <x:c r="C84" s="69" t="str">
        <x:v>TB</x:v>
      </x:c>
      <x:c r="D84" s="74" t="n">
        <x:v>10</x:v>
      </x:c>
      <x:c r="E84" s="74" t="n">
        <x:v>79</x:v>
      </x:c>
      <x:c r="F84" s="75" t="n">
        <x:v>10.4</x:v>
      </x:c>
      <x:c r="G84" s="76" t="n">
        <x:v>101</x:v>
      </x:c>
      <x:c r="H84" s="76" t="n">
        <x:v>451</x:v>
      </x:c>
      <x:c r="I84" s="76" t="n">
        <x:v>4</x:v>
      </x:c>
      <x:c r="J84" s="76" t="n">
        <x:v>54</x:v>
      </x:c>
      <x:c r="K84" s="76" t="n">
        <x:v>410</x:v>
      </x:c>
      <x:c r="L84" s="76" t="n">
        <x:v>3</x:v>
      </x:c>
      <x:c r="M84" s="76" t="n">
        <x:v>1</x:v>
      </x:c>
      <x:c r="N84" s="73" t="str">
        <x:v>https://www.thefantasyfootballers.com/2026-ultimate-draft-kit/udk-andys-projections/?position=FLEX</x:v>
      </x:c>
    </x:row>
    <x:row r="85">
      <x:c r="A85" s="70" t="str">
        <x:v>Jordan Addison</x:v>
      </x:c>
      <x:c r="B85" s="69" t="str">
        <x:v>WR</x:v>
      </x:c>
      <x:c r="C85" s="69" t="str">
        <x:v>MIN</x:v>
      </x:c>
      <x:c r="D85" s="74" t="n">
        <x:v>6</x:v>
      </x:c>
      <x:c r="E85" s="74" t="n">
        <x:v>80</x:v>
      </x:c>
      <x:c r="F85" s="75" t="n">
        <x:v>10.3</x:v>
      </x:c>
      <x:c r="G85" s="76" t="n">
        <x:v>8</x:v>
      </x:c>
      <x:c r="H85" s="76" t="n">
        <x:v>49</x:v>
      </x:c>
      <x:c r="I85" s="76" t="n">
        <x:v>1</x:v>
      </x:c>
      <x:c r="J85" s="76" t="n">
        <x:v>55</x:v>
      </x:c>
      <x:c r="K85" s="76" t="n">
        <x:v>779</x:v>
      </x:c>
      <x:c r="L85" s="76" t="n">
        <x:v>6</x:v>
      </x:c>
      <x:c r="M85" s="76" t="n">
        <x:v>1</x:v>
      </x:c>
      <x:c r="N85" s="73" t="str">
        <x:v>https://www.thefantasyfootballers.com/2026-ultimate-draft-kit/udk-andys-projections/?position=FLEX</x:v>
      </x:c>
    </x:row>
    <x:row r="86">
      <x:c r="A86" s="70" t="str">
        <x:v>David Montgomery</x:v>
      </x:c>
      <x:c r="B86" s="69" t="str">
        <x:v>RB</x:v>
      </x:c>
      <x:c r="C86" s="69" t="str">
        <x:v>HOU</x:v>
      </x:c>
      <x:c r="D86" s="74" t="n">
        <x:v>8</x:v>
      </x:c>
      <x:c r="E86" s="74" t="n">
        <x:v>81</x:v>
      </x:c>
      <x:c r="F86" s="75" t="n">
        <x:v>10.3</x:v>
      </x:c>
      <x:c r="G86" s="76" t="n">
        <x:v>199</x:v>
      </x:c>
      <x:c r="H86" s="76" t="n">
        <x:v>848</x:v>
      </x:c>
      <x:c r="I86" s="76" t="n">
        <x:v>7</x:v>
      </x:c>
      <x:c r="J86" s="76" t="n">
        <x:v>21</x:v>
      </x:c>
      <x:c r="K86" s="76" t="n">
        <x:v>192</x:v>
      </x:c>
      <x:c r="L86" s="76" t="n">
        <x:v>2</x:v>
      </x:c>
      <x:c r="M86" s="76" t="n">
        <x:v>1</x:v>
      </x:c>
      <x:c r="N86" s="73" t="str">
        <x:v>https://www.thefantasyfootballers.com/2026-ultimate-draft-kit/udk-andys-projections/?position=FLEX</x:v>
      </x:c>
    </x:row>
    <x:row r="87">
      <x:c r="A87" s="70" t="str">
        <x:v>Jaylen Warren</x:v>
      </x:c>
      <x:c r="B87" s="69" t="str">
        <x:v>RB</x:v>
      </x:c>
      <x:c r="C87" s="69" t="str">
        <x:v>PIT</x:v>
      </x:c>
      <x:c r="D87" s="74" t="n">
        <x:v>9</x:v>
      </x:c>
      <x:c r="E87" s="74" t="n">
        <x:v>82</x:v>
      </x:c>
      <x:c r="F87" s="75" t="n">
        <x:v>10.3</x:v>
      </x:c>
      <x:c r="G87" s="76" t="n">
        <x:v>169</x:v>
      </x:c>
      <x:c r="H87" s="76" t="n">
        <x:v>748</x:v>
      </x:c>
      <x:c r="I87" s="76" t="n">
        <x:v>6</x:v>
      </x:c>
      <x:c r="J87" s="76" t="n">
        <x:v>33</x:v>
      </x:c>
      <x:c r="K87" s="76" t="n">
        <x:v>264</x:v>
      </x:c>
      <x:c r="L87" s="76" t="n">
        <x:v>2</x:v>
      </x:c>
      <x:c r="M87" s="76" t="n">
        <x:v>2</x:v>
      </x:c>
      <x:c r="N87" s="73" t="str">
        <x:v>https://www.thefantasyfootballers.com/2026-ultimate-draft-kit/udk-andys-projections/?position=FLEX</x:v>
      </x:c>
    </x:row>
    <x:row r="88">
      <x:c r="A88" s="70" t="str">
        <x:v>MarShawn Lloyd</x:v>
      </x:c>
      <x:c r="B88" s="69" t="str">
        <x:v>RB</x:v>
      </x:c>
      <x:c r="C88" s="69" t="str">
        <x:v>GB</x:v>
      </x:c>
      <x:c r="D88" s="74" t="n">
        <x:v>11</x:v>
      </x:c>
      <x:c r="E88" s="74" t="n">
        <x:v>83</x:v>
      </x:c>
      <x:c r="F88" s="75" t="n">
        <x:v>10.2</x:v>
      </x:c>
      <x:c r="G88" s="76" t="n">
        <x:v>213</x:v>
      </x:c>
      <x:c r="H88" s="76" t="n">
        <x:v>959</x:v>
      </x:c>
      <x:c r="I88" s="76" t="n">
        <x:v>5</x:v>
      </x:c>
      <x:c r="J88" s="76" t="n">
        <x:v>22</x:v>
      </x:c>
      <x:c r="K88" s="76" t="n">
        <x:v>194</x:v>
      </x:c>
      <x:c r="L88" s="76" t="n">
        <x:v>2</x:v>
      </x:c>
      <x:c r="M88" s="76" t="n">
        <x:v>2</x:v>
      </x:c>
      <x:c r="N88" s="73" t="str">
        <x:v>https://www.thefantasyfootballers.com/2026-ultimate-draft-kit/udk-andys-projections/?position=FLEX</x:v>
      </x:c>
    </x:row>
    <x:row r="89">
      <x:c r="A89" s="70" t="str">
        <x:v>Jonathon Brooks</x:v>
      </x:c>
      <x:c r="B89" s="69" t="str">
        <x:v>RB</x:v>
      </x:c>
      <x:c r="C89" s="69" t="str">
        <x:v>CAR</x:v>
      </x:c>
      <x:c r="D89" s="74" t="n">
        <x:v>5</x:v>
      </x:c>
      <x:c r="E89" s="74" t="n">
        <x:v>84</x:v>
      </x:c>
      <x:c r="F89" s="75" t="n">
        <x:v>10.2</x:v>
      </x:c>
      <x:c r="G89" s="76" t="n">
        <x:v>168</x:v>
      </x:c>
      <x:c r="H89" s="76" t="n">
        <x:v>720</x:v>
      </x:c>
      <x:c r="I89" s="76" t="n">
        <x:v>6</x:v>
      </x:c>
      <x:c r="J89" s="76" t="n">
        <x:v>33</x:v>
      </x:c>
      <x:c r="K89" s="76" t="n">
        <x:v>265</x:v>
      </x:c>
      <x:c r="L89" s="76" t="n">
        <x:v>2</x:v>
      </x:c>
      <x:c r="M89" s="76" t="n">
        <x:v>2</x:v>
      </x:c>
      <x:c r="N89" s="73" t="str">
        <x:v>https://www.thefantasyfootballers.com/2026-ultimate-draft-kit/udk-andys-projections/?position=FLEX</x:v>
      </x:c>
    </x:row>
    <x:row r="90">
      <x:c r="A90" s="70" t="str">
        <x:v>Courtland Sutton</x:v>
      </x:c>
      <x:c r="B90" s="69" t="str">
        <x:v>WR</x:v>
      </x:c>
      <x:c r="C90" s="69" t="str">
        <x:v>DEN</x:v>
      </x:c>
      <x:c r="D90" s="74" t="n">
        <x:v>10</x:v>
      </x:c>
      <x:c r="E90" s="74" t="n">
        <x:v>85</x:v>
      </x:c>
      <x:c r="F90" s="75" t="n">
        <x:v>10.1</x:v>
      </x:c>
      <x:c r="G90" s="76" t="n">
        <x:v>1</x:v>
      </x:c>
      <x:c r="H90" s="76" t="n">
        <x:v>3</x:v>
      </x:c>
      <x:c r="I90" s="76" t="n">
        <x:v>0</x:v>
      </x:c>
      <x:c r="J90" s="76" t="n">
        <x:v>60</x:v>
      </x:c>
      <x:c r="K90" s="76" t="n">
        <x:v>809</x:v>
      </x:c>
      <x:c r="L90" s="76" t="n">
        <x:v>5</x:v>
      </x:c>
      <x:c r="M90" s="76" t="n">
        <x:v>1</x:v>
      </x:c>
      <x:c r="N90" s="73" t="str">
        <x:v>https://www.thefantasyfootballers.com/2026-ultimate-draft-kit/udk-andys-projections/?position=FLEX</x:v>
      </x:c>
    </x:row>
    <x:row r="91">
      <x:c r="A91" s="70" t="str">
        <x:v>Sam LaPorta</x:v>
      </x:c>
      <x:c r="B91" s="69" t="str">
        <x:v>TE</x:v>
      </x:c>
      <x:c r="C91" s="69" t="str">
        <x:v>DET</x:v>
      </x:c>
      <x:c r="D91" s="74" t="n">
        <x:v>6</x:v>
      </x:c>
      <x:c r="E91" s="74" t="n">
        <x:v>86</x:v>
      </x:c>
      <x:c r="F91" s="75" t="n">
        <x:v>10.1</x:v>
      </x:c>
      <x:c r="G91" s="76" t="n">
        <x:v>0</x:v>
      </x:c>
      <x:c r="H91" s="76" t="n">
        <x:v>0</x:v>
      </x:c>
      <x:c r="I91" s="76" t="n">
        <x:v>0</x:v>
      </x:c>
      <x:c r="J91" s="76" t="n">
        <x:v>69</x:v>
      </x:c>
      <x:c r="K91" s="76" t="n">
        <x:v>693</x:v>
      </x:c>
      <x:c r="L91" s="76" t="n">
        <x:v>6</x:v>
      </x:c>
      <x:c r="M91" s="76" t="n">
        <x:v>0</x:v>
      </x:c>
      <x:c r="N91" s="73" t="str">
        <x:v>https://www.thefantasyfootballers.com/2026-ultimate-draft-kit/udk-andys-projections/?position=FLEX</x:v>
      </x:c>
    </x:row>
    <x:row r="92">
      <x:c r="A92" s="70" t="str">
        <x:v>Khalil Shakir</x:v>
      </x:c>
      <x:c r="B92" s="69" t="str">
        <x:v>WR</x:v>
      </x:c>
      <x:c r="C92" s="69" t="str">
        <x:v>BUF</x:v>
      </x:c>
      <x:c r="D92" s="74" t="n">
        <x:v>7</x:v>
      </x:c>
      <x:c r="E92" s="74" t="n">
        <x:v>87</x:v>
      </x:c>
      <x:c r="F92" s="75" t="n">
        <x:v>10.1</x:v>
      </x:c>
      <x:c r="G92" s="76" t="n">
        <x:v>1</x:v>
      </x:c>
      <x:c r="H92" s="76" t="n">
        <x:v>5</x:v>
      </x:c>
      <x:c r="I92" s="76" t="n">
        <x:v>0</x:v>
      </x:c>
      <x:c r="J92" s="76" t="n">
        <x:v>66</x:v>
      </x:c>
      <x:c r="K92" s="76" t="n">
        <x:v>753</x:v>
      </x:c>
      <x:c r="L92" s="76" t="n">
        <x:v>5</x:v>
      </x:c>
      <x:c r="M92" s="76" t="n">
        <x:v>1</x:v>
      </x:c>
      <x:c r="N92" s="73" t="str">
        <x:v>https://www.thefantasyfootballers.com/2026-ultimate-draft-kit/udk-andys-projections/?position=FLEX</x:v>
      </x:c>
    </x:row>
    <x:row r="93">
      <x:c r="A93" s="70" t="str">
        <x:v>Juwan Johnson</x:v>
      </x:c>
      <x:c r="B93" s="69" t="str">
        <x:v>TE</x:v>
      </x:c>
      <x:c r="C93" s="69" t="str">
        <x:v>NO</x:v>
      </x:c>
      <x:c r="D93" s="74" t="n">
        <x:v>8</x:v>
      </x:c>
      <x:c r="E93" s="74" t="n">
        <x:v>88</x:v>
      </x:c>
      <x:c r="F93" s="75" t="n">
        <x:v>10</x:v>
      </x:c>
      <x:c r="G93" s="76" t="n">
        <x:v>0</x:v>
      </x:c>
      <x:c r="H93" s="76" t="n">
        <x:v>0</x:v>
      </x:c>
      <x:c r="I93" s="76" t="n">
        <x:v>0</x:v>
      </x:c>
      <x:c r="J93" s="76" t="n">
        <x:v>69</x:v>
      </x:c>
      <x:c r="K93" s="76" t="n">
        <x:v>795</x:v>
      </x:c>
      <x:c r="L93" s="76" t="n">
        <x:v>4</x:v>
      </x:c>
      <x:c r="M93" s="76" t="n">
        <x:v>1</x:v>
      </x:c>
      <x:c r="N93" s="73" t="str">
        <x:v>https://www.thefantasyfootballers.com/2026-ultimate-draft-kit/udk-andys-projections/?position=FLEX</x:v>
      </x:c>
    </x:row>
    <x:row r="94">
      <x:c r="A94" s="70" t="str">
        <x:v>Dalton Schultz</x:v>
      </x:c>
      <x:c r="B94" s="69" t="str">
        <x:v>TE</x:v>
      </x:c>
      <x:c r="C94" s="69" t="str">
        <x:v>HOU</x:v>
      </x:c>
      <x:c r="D94" s="74" t="n">
        <x:v>8</x:v>
      </x:c>
      <x:c r="E94" s="74" t="n">
        <x:v>89</x:v>
      </x:c>
      <x:c r="F94" s="75" t="n">
        <x:v>9.9</x:v>
      </x:c>
      <x:c r="G94" s="76" t="n">
        <x:v>1</x:v>
      </x:c>
      <x:c r="H94" s="76" t="n">
        <x:v>4</x:v>
      </x:c>
      <x:c r="I94" s="76" t="n">
        <x:v>0</x:v>
      </x:c>
      <x:c r="J94" s="76" t="n">
        <x:v>76</x:v>
      </x:c>
      <x:c r="K94" s="76" t="n">
        <x:v>709</x:v>
      </x:c>
      <x:c r="L94" s="76" t="n">
        <x:v>4</x:v>
      </x:c>
      <x:c r="M94" s="76" t="n">
        <x:v>1</x:v>
      </x:c>
      <x:c r="N94" s="73" t="str">
        <x:v>https://www.thefantasyfootballers.com/2026-ultimate-draft-kit/udk-andys-projections/?position=FLEX</x:v>
      </x:c>
    </x:row>
    <x:row r="95">
      <x:c r="A95" s="70" t="str">
        <x:v>Romeo Doubs</x:v>
      </x:c>
      <x:c r="B95" s="69" t="str">
        <x:v>WR</x:v>
      </x:c>
      <x:c r="C95" s="69" t="str">
        <x:v>NE</x:v>
      </x:c>
      <x:c r="D95" s="74" t="n">
        <x:v>11</x:v>
      </x:c>
      <x:c r="E95" s="74" t="n">
        <x:v>90</x:v>
      </x:c>
      <x:c r="F95" s="75" t="n">
        <x:v>9.9</x:v>
      </x:c>
      <x:c r="G95" s="76" t="n">
        <x:v>3</x:v>
      </x:c>
      <x:c r="H95" s="76" t="n">
        <x:v>17</x:v>
      </x:c>
      <x:c r="I95" s="76" t="n">
        <x:v>0</x:v>
      </x:c>
      <x:c r="J95" s="76" t="n">
        <x:v>60</x:v>
      </x:c>
      <x:c r="K95" s="76" t="n">
        <x:v>794</x:v>
      </x:c>
      <x:c r="L95" s="76" t="n">
        <x:v>5</x:v>
      </x:c>
      <x:c r="M95" s="76" t="n">
        <x:v>1</x:v>
      </x:c>
      <x:c r="N95" s="73" t="str">
        <x:v>https://www.thefantasyfootballers.com/2026-ultimate-draft-kit/udk-andys-projections/?position=FLEX</x:v>
      </x:c>
    </x:row>
    <x:row r="96">
      <x:c r="A96" s="70" t="str">
        <x:v>Jake Ferguson</x:v>
      </x:c>
      <x:c r="B96" s="69" t="str">
        <x:v>TE</x:v>
      </x:c>
      <x:c r="C96" s="69" t="str">
        <x:v>DAL</x:v>
      </x:c>
      <x:c r="D96" s="74" t="n">
        <x:v>14</x:v>
      </x:c>
      <x:c r="E96" s="74" t="n">
        <x:v>91</x:v>
      </x:c>
      <x:c r="F96" s="75" t="n">
        <x:v>9.9</x:v>
      </x:c>
      <x:c r="G96" s="76" t="n">
        <x:v>2</x:v>
      </x:c>
      <x:c r="H96" s="76" t="n">
        <x:v>2</x:v>
      </x:c>
      <x:c r="I96" s="76" t="n">
        <x:v>0</x:v>
      </x:c>
      <x:c r="J96" s="76" t="n">
        <x:v>76</x:v>
      </x:c>
      <x:c r="K96" s="76" t="n">
        <x:v>558</x:v>
      </x:c>
      <x:c r="L96" s="76" t="n">
        <x:v>6</x:v>
      </x:c>
      <x:c r="M96" s="76" t="n">
        <x:v>1</x:v>
      </x:c>
      <x:c r="N96" s="73" t="str">
        <x:v>https://www.thefantasyfootballers.com/2026-ultimate-draft-kit/udk-andys-projections/?position=FLEX</x:v>
      </x:c>
    </x:row>
    <x:row r="97">
      <x:c r="A97" s="70" t="str">
        <x:v>De'Zhaun Stribling</x:v>
      </x:c>
      <x:c r="B97" s="69" t="str">
        <x:v>WR</x:v>
      </x:c>
      <x:c r="C97" s="69" t="str">
        <x:v>SF</x:v>
      </x:c>
      <x:c r="D97" s="74" t="n">
        <x:v>8</x:v>
      </x:c>
      <x:c r="E97" s="74" t="n">
        <x:v>92</x:v>
      </x:c>
      <x:c r="F97" s="75" t="n">
        <x:v>9.8</x:v>
      </x:c>
      <x:c r="G97" s="76" t="n">
        <x:v>5</x:v>
      </x:c>
      <x:c r="H97" s="76" t="n">
        <x:v>27</x:v>
      </x:c>
      <x:c r="I97" s="76" t="n">
        <x:v>0</x:v>
      </x:c>
      <x:c r="J97" s="76" t="n">
        <x:v>58</x:v>
      </x:c>
      <x:c r="K97" s="76" t="n">
        <x:v>759</x:v>
      </x:c>
      <x:c r="L97" s="76" t="n">
        <x:v>5</x:v>
      </x:c>
      <x:c r="M97" s="76" t="n">
        <x:v>0</x:v>
      </x:c>
      <x:c r="N97" s="73" t="str">
        <x:v>https://www.thefantasyfootballers.com/2026-ultimate-draft-kit/udk-andys-projections/?position=FLEX</x:v>
      </x:c>
    </x:row>
    <x:row r="98">
      <x:c r="A98" s="70" t="str">
        <x:v>Blake Corum</x:v>
      </x:c>
      <x:c r="B98" s="69" t="str">
        <x:v>RB</x:v>
      </x:c>
      <x:c r="C98" s="69" t="str">
        <x:v>LAR</x:v>
      </x:c>
      <x:c r="D98" s="74" t="n">
        <x:v>11</x:v>
      </x:c>
      <x:c r="E98" s="74" t="n">
        <x:v>93</x:v>
      </x:c>
      <x:c r="F98" s="75" t="n">
        <x:v>9.8</x:v>
      </x:c>
      <x:c r="G98" s="76" t="n">
        <x:v>187</x:v>
      </x:c>
      <x:c r="H98" s="76" t="n">
        <x:v>842</x:v>
      </x:c>
      <x:c r="I98" s="76" t="n">
        <x:v>7</x:v>
      </x:c>
      <x:c r="J98" s="76" t="n">
        <x:v>26</x:v>
      </x:c>
      <x:c r="K98" s="76" t="n">
        <x:v>161</x:v>
      </x:c>
      <x:c r="L98" s="76" t="n">
        <x:v>0</x:v>
      </x:c>
      <x:c r="M98" s="76" t="n">
        <x:v>2</x:v>
      </x:c>
      <x:c r="N98" s="73" t="str">
        <x:v>https://www.thefantasyfootballers.com/2026-ultimate-draft-kit/udk-andys-projections/?position=FLEX</x:v>
      </x:c>
    </x:row>
    <x:row r="99">
      <x:c r="A99" s="70" t="str">
        <x:v>Denzel Boston</x:v>
      </x:c>
      <x:c r="B99" s="69" t="str">
        <x:v>WR</x:v>
      </x:c>
      <x:c r="C99" s="69" t="str">
        <x:v>CLE</x:v>
      </x:c>
      <x:c r="D99" s="74" t="n">
        <x:v>11</x:v>
      </x:c>
      <x:c r="E99" s="74" t="n">
        <x:v>94</x:v>
      </x:c>
      <x:c r="F99" s="75" t="n">
        <x:v>9.8</x:v>
      </x:c>
      <x:c r="G99" s="76" t="n">
        <x:v>0</x:v>
      </x:c>
      <x:c r="H99" s="76" t="n">
        <x:v>0</x:v>
      </x:c>
      <x:c r="I99" s="76" t="n">
        <x:v>0</x:v>
      </x:c>
      <x:c r="J99" s="76" t="n">
        <x:v>58</x:v>
      </x:c>
      <x:c r="K99" s="76" t="n">
        <x:v>775</x:v>
      </x:c>
      <x:c r="L99" s="76" t="n">
        <x:v>5</x:v>
      </x:c>
      <x:c r="M99" s="76" t="n">
        <x:v>0</x:v>
      </x:c>
      <x:c r="N99" s="73" t="str">
        <x:v>https://www.thefantasyfootballers.com/2026-ultimate-draft-kit/udk-andys-projections/?position=FLEX</x:v>
      </x:c>
    </x:row>
    <x:row r="100">
      <x:c r="A100" s="70" t="str">
        <x:v>Tyjae Spears</x:v>
      </x:c>
      <x:c r="B100" s="69" t="str">
        <x:v>RB</x:v>
      </x:c>
      <x:c r="C100" s="69" t="str">
        <x:v>TEN</x:v>
      </x:c>
      <x:c r="D100" s="74" t="n">
        <x:v>9</x:v>
      </x:c>
      <x:c r="E100" s="74" t="n">
        <x:v>95</x:v>
      </x:c>
      <x:c r="F100" s="75" t="n">
        <x:v>9.7</x:v>
      </x:c>
      <x:c r="G100" s="76" t="n">
        <x:v>146</x:v>
      </x:c>
      <x:c r="H100" s="76" t="n">
        <x:v>635</x:v>
      </x:c>
      <x:c r="I100" s="76" t="n">
        <x:v>4</x:v>
      </x:c>
      <x:c r="J100" s="76" t="n">
        <x:v>44</x:v>
      </x:c>
      <x:c r="K100" s="76" t="n">
        <x:v>299</x:v>
      </x:c>
      <x:c r="L100" s="76" t="n">
        <x:v>1</x:v>
      </x:c>
      <x:c r="M100" s="76" t="n">
        <x:v>1</x:v>
      </x:c>
      <x:c r="N100" s="73" t="str">
        <x:v>https://www.thefantasyfootballers.com/2026-ultimate-draft-kit/udk-andys-projections/?position=FLEX</x:v>
      </x:c>
    </x:row>
    <x:row r="101">
      <x:c r="A101" s="70" t="str">
        <x:v>Dallas Goedert</x:v>
      </x:c>
      <x:c r="B101" s="69" t="str">
        <x:v>TE</x:v>
      </x:c>
      <x:c r="C101" s="69" t="str">
        <x:v>PHI</x:v>
      </x:c>
      <x:c r="D101" s="74" t="n">
        <x:v>10</x:v>
      </x:c>
      <x:c r="E101" s="74" t="n">
        <x:v>96</x:v>
      </x:c>
      <x:c r="F101" s="75" t="n">
        <x:v>9.7</x:v>
      </x:c>
      <x:c r="G101" s="76" t="n">
        <x:v>2</x:v>
      </x:c>
      <x:c r="H101" s="76" t="n">
        <x:v>7</x:v>
      </x:c>
      <x:c r="I101" s="76" t="n">
        <x:v>0</x:v>
      </x:c>
      <x:c r="J101" s="76" t="n">
        <x:v>62</x:v>
      </x:c>
      <x:c r="K101" s="76" t="n">
        <x:v>650</x:v>
      </x:c>
      <x:c r="L101" s="76" t="n">
        <x:v>6</x:v>
      </x:c>
      <x:c r="M101" s="76" t="n">
        <x:v>1</x:v>
      </x:c>
      <x:c r="N101" s="73" t="str">
        <x:v>https://www.thefantasyfootballers.com/2026-ultimate-draft-kit/udk-andys-projections/?position=FLEX</x:v>
      </x:c>
    </x:row>
    <x:row r="102">
      <x:c r="A102" s="70" t="str">
        <x:v>Jordan Mason</x:v>
      </x:c>
      <x:c r="B102" s="69" t="str">
        <x:v>RB</x:v>
      </x:c>
      <x:c r="C102" s="69" t="str">
        <x:v>MIN</x:v>
      </x:c>
      <x:c r="D102" s="74" t="n">
        <x:v>6</x:v>
      </x:c>
      <x:c r="E102" s="74" t="n">
        <x:v>97</x:v>
      </x:c>
      <x:c r="F102" s="75" t="n">
        <x:v>9.5</x:v>
      </x:c>
      <x:c r="G102" s="76" t="n">
        <x:v>203</x:v>
      </x:c>
      <x:c r="H102" s="76" t="n">
        <x:v>941</x:v>
      </x:c>
      <x:c r="I102" s="76" t="n">
        <x:v>6</x:v>
      </x:c>
      <x:c r="J102" s="76" t="n">
        <x:v>22</x:v>
      </x:c>
      <x:c r="K102" s="76" t="n">
        <x:v>80</x:v>
      </x:c>
      <x:c r="L102" s="76" t="n">
        <x:v>1</x:v>
      </x:c>
      <x:c r="M102" s="76" t="n">
        <x:v>2</x:v>
      </x:c>
      <x:c r="N102" s="73" t="str">
        <x:v>https://www.thefantasyfootballers.com/2026-ultimate-draft-kit/udk-andys-projections/?position=FLEX</x:v>
      </x:c>
    </x:row>
    <x:row r="103">
      <x:c r="A103" s="70" t="str">
        <x:v>Isaiah Likely</x:v>
      </x:c>
      <x:c r="B103" s="69" t="str">
        <x:v>TE</x:v>
      </x:c>
      <x:c r="C103" s="69" t="str">
        <x:v>NYG</x:v>
      </x:c>
      <x:c r="D103" s="74" t="n">
        <x:v>8</x:v>
      </x:c>
      <x:c r="E103" s="74" t="n">
        <x:v>98</x:v>
      </x:c>
      <x:c r="F103" s="75" t="n">
        <x:v>9.5</x:v>
      </x:c>
      <x:c r="G103" s="76" t="n">
        <x:v>2</x:v>
      </x:c>
      <x:c r="H103" s="76" t="n">
        <x:v>12</x:v>
      </x:c>
      <x:c r="I103" s="76" t="n">
        <x:v>0</x:v>
      </x:c>
      <x:c r="J103" s="76" t="n">
        <x:v>66</x:v>
      </x:c>
      <x:c r="K103" s="76" t="n">
        <x:v>736</x:v>
      </x:c>
      <x:c r="L103" s="76" t="n">
        <x:v>3</x:v>
      </x:c>
      <x:c r="M103" s="76" t="n">
        <x:v>0</x:v>
      </x:c>
      <x:c r="N103" s="73" t="str">
        <x:v>https://www.thefantasyfootballers.com/2026-ultimate-draft-kit/udk-andys-projections/?position=FLEX</x:v>
      </x:c>
    </x:row>
    <x:row r="104">
      <x:c r="A104" s="70" t="str">
        <x:v>Matthew Golden</x:v>
      </x:c>
      <x:c r="B104" s="69" t="str">
        <x:v>WR</x:v>
      </x:c>
      <x:c r="C104" s="69" t="str">
        <x:v>GB</x:v>
      </x:c>
      <x:c r="D104" s="74" t="n">
        <x:v>11</x:v>
      </x:c>
      <x:c r="E104" s="74" t="n">
        <x:v>99</x:v>
      </x:c>
      <x:c r="F104" s="75" t="n">
        <x:v>9.4</x:v>
      </x:c>
      <x:c r="G104" s="76" t="n">
        <x:v>10</x:v>
      </x:c>
      <x:c r="H104" s="76" t="n">
        <x:v>51</x:v>
      </x:c>
      <x:c r="I104" s="76" t="n">
        <x:v>0</x:v>
      </x:c>
      <x:c r="J104" s="76" t="n">
        <x:v>55</x:v>
      </x:c>
      <x:c r="K104" s="76" t="n">
        <x:v>762</x:v>
      </x:c>
      <x:c r="L104" s="76" t="n">
        <x:v>4</x:v>
      </x:c>
      <x:c r="M104" s="76" t="n">
        <x:v>1</x:v>
      </x:c>
      <x:c r="N104" s="73" t="str">
        <x:v>https://www.thefantasyfootballers.com/2026-ultimate-draft-kit/udk-andys-projections/?position=FLEX</x:v>
      </x:c>
    </x:row>
    <x:row r="105">
      <x:c r="A105" s="70" t="str">
        <x:v>Travis Hunter</x:v>
      </x:c>
      <x:c r="B105" s="69" t="str">
        <x:v>WR</x:v>
      </x:c>
      <x:c r="C105" s="69" t="str">
        <x:v>JAX</x:v>
      </x:c>
      <x:c r="D105" s="74" t="n">
        <x:v>7</x:v>
      </x:c>
      <x:c r="E105" s="74" t="n">
        <x:v>100</x:v>
      </x:c>
      <x:c r="F105" s="75" t="n">
        <x:v>9.4</x:v>
      </x:c>
      <x:c r="G105" s="76" t="n">
        <x:v>6</x:v>
      </x:c>
      <x:c r="H105" s="76" t="n">
        <x:v>35</x:v>
      </x:c>
      <x:c r="I105" s="76" t="n">
        <x:v>1</x:v>
      </x:c>
      <x:c r="J105" s="76" t="n">
        <x:v>52</x:v>
      </x:c>
      <x:c r="K105" s="76" t="n">
        <x:v>708</x:v>
      </x:c>
      <x:c r="L105" s="76" t="n">
        <x:v>5</x:v>
      </x:c>
      <x:c r="M105" s="76" t="n">
        <x:v>1</x:v>
      </x:c>
      <x:c r="N105" s="73" t="str">
        <x:v>https://www.thefantasyfootballers.com/2026-ultimate-draft-kit/udk-andys-projections/?position=FLEX</x:v>
      </x:c>
    </x:row>
    <x:row r="106">
      <x:c r="A106" s="70" t="str">
        <x:v>Chuba Hubbard</x:v>
      </x:c>
      <x:c r="B106" s="69" t="str">
        <x:v>RB</x:v>
      </x:c>
      <x:c r="C106" s="69" t="str">
        <x:v>CAR</x:v>
      </x:c>
      <x:c r="D106" s="74" t="n">
        <x:v>5</x:v>
      </x:c>
      <x:c r="E106" s="74" t="n">
        <x:v>101</x:v>
      </x:c>
      <x:c r="F106" s="75" t="n">
        <x:v>9.3</x:v>
      </x:c>
      <x:c r="G106" s="76" t="n">
        <x:v>162</x:v>
      </x:c>
      <x:c r="H106" s="76" t="n">
        <x:v>700</x:v>
      </x:c>
      <x:c r="I106" s="76" t="n">
        <x:v>5</x:v>
      </x:c>
      <x:c r="J106" s="76" t="n">
        <x:v>27</x:v>
      </x:c>
      <x:c r="K106" s="76" t="n">
        <x:v>205</x:v>
      </x:c>
      <x:c r="L106" s="76" t="n">
        <x:v>2</x:v>
      </x:c>
      <x:c r="M106" s="76" t="n">
        <x:v>1</x:v>
      </x:c>
      <x:c r="N106" s="73" t="str">
        <x:v>https://www.thefantasyfootballers.com/2026-ultimate-draft-kit/udk-andys-projections/?position=FLEX</x:v>
      </x:c>
    </x:row>
    <x:row r="107">
      <x:c r="A107" s="70" t="str">
        <x:v>Xavier Worthy</x:v>
      </x:c>
      <x:c r="B107" s="69" t="str">
        <x:v>WR</x:v>
      </x:c>
      <x:c r="C107" s="69" t="str">
        <x:v>KC</x:v>
      </x:c>
      <x:c r="D107" s="74" t="n">
        <x:v>5</x:v>
      </x:c>
      <x:c r="E107" s="74" t="n">
        <x:v>102</x:v>
      </x:c>
      <x:c r="F107" s="75" t="n">
        <x:v>9.3</x:v>
      </x:c>
      <x:c r="G107" s="76" t="n">
        <x:v>18</x:v>
      </x:c>
      <x:c r="H107" s="76" t="n">
        <x:v>105</x:v>
      </x:c>
      <x:c r="I107" s="76" t="n">
        <x:v>1</x:v>
      </x:c>
      <x:c r="J107" s="76" t="n">
        <x:v>52</x:v>
      </x:c>
      <x:c r="K107" s="76" t="n">
        <x:v>680</x:v>
      </x:c>
      <x:c r="L107" s="76" t="n">
        <x:v>4</x:v>
      </x:c>
      <x:c r="M107" s="76" t="n">
        <x:v>1</x:v>
      </x:c>
      <x:c r="N107" s="73" t="str">
        <x:v>https://www.thefantasyfootballers.com/2026-ultimate-draft-kit/udk-andys-projections/?position=FLEX</x:v>
      </x:c>
    </x:row>
    <x:row r="108">
      <x:c r="A108" s="70" t="str">
        <x:v>Tony Pollard</x:v>
      </x:c>
      <x:c r="B108" s="69" t="str">
        <x:v>RB</x:v>
      </x:c>
      <x:c r="C108" s="69" t="str">
        <x:v>TEN</x:v>
      </x:c>
      <x:c r="D108" s="74" t="n">
        <x:v>9</x:v>
      </x:c>
      <x:c r="E108" s="74" t="n">
        <x:v>103</x:v>
      </x:c>
      <x:c r="F108" s="75" t="n">
        <x:v>9.3</x:v>
      </x:c>
      <x:c r="G108" s="76" t="n">
        <x:v>202</x:v>
      </x:c>
      <x:c r="H108" s="76" t="n">
        <x:v>863</x:v>
      </x:c>
      <x:c r="I108" s="76" t="n">
        <x:v>4</x:v>
      </x:c>
      <x:c r="J108" s="76" t="n">
        <x:v>28</x:v>
      </x:c>
      <x:c r="K108" s="76" t="n">
        <x:v>177</x:v>
      </x:c>
      <x:c r="L108" s="76" t="n">
        <x:v>1</x:v>
      </x:c>
      <x:c r="M108" s="76" t="n">
        <x:v>2</x:v>
      </x:c>
      <x:c r="N108" s="73" t="str">
        <x:v>https://www.thefantasyfootballers.com/2026-ultimate-draft-kit/udk-andys-projections/?position=FLEX</x:v>
      </x:c>
    </x:row>
    <x:row r="109">
      <x:c r="A109" s="70" t="str">
        <x:v>Jayden Reed</x:v>
      </x:c>
      <x:c r="B109" s="69" t="str">
        <x:v>WR</x:v>
      </x:c>
      <x:c r="C109" s="69" t="str">
        <x:v>GB</x:v>
      </x:c>
      <x:c r="D109" s="74" t="n">
        <x:v>11</x:v>
      </x:c>
      <x:c r="E109" s="74" t="n">
        <x:v>104</x:v>
      </x:c>
      <x:c r="F109" s="75" t="n">
        <x:v>9</x:v>
      </x:c>
      <x:c r="G109" s="76" t="n">
        <x:v>18</x:v>
      </x:c>
      <x:c r="H109" s="76" t="n">
        <x:v>101</x:v>
      </x:c>
      <x:c r="I109" s="76" t="n">
        <x:v>0</x:v>
      </x:c>
      <x:c r="J109" s="76" t="n">
        <x:v>55</x:v>
      </x:c>
      <x:c r="K109" s="76" t="n">
        <x:v>655</x:v>
      </x:c>
      <x:c r="L109" s="76" t="n">
        <x:v>4</x:v>
      </x:c>
      <x:c r="M109" s="76" t="n">
        <x:v>1</x:v>
      </x:c>
      <x:c r="N109" s="73" t="str">
        <x:v>https://www.thefantasyfootballers.com/2026-ultimate-draft-kit/udk-andys-projections/?position=FLEX</x:v>
      </x:c>
    </x:row>
    <x:row r="110">
      <x:c r="A110" s="70" t="str">
        <x:v>Kyle Monangai</x:v>
      </x:c>
      <x:c r="B110" s="69" t="str">
        <x:v>RB</x:v>
      </x:c>
      <x:c r="C110" s="69" t="str">
        <x:v>CHI</x:v>
      </x:c>
      <x:c r="D110" s="74" t="n">
        <x:v>10</x:v>
      </x:c>
      <x:c r="E110" s="74" t="n">
        <x:v>105</x:v>
      </x:c>
      <x:c r="F110" s="75" t="n">
        <x:v>8.9</x:v>
      </x:c>
      <x:c r="G110" s="76" t="n">
        <x:v>171</x:v>
      </x:c>
      <x:c r="H110" s="76" t="n">
        <x:v>823</x:v>
      </x:c>
      <x:c r="I110" s="76" t="n">
        <x:v>5</x:v>
      </x:c>
      <x:c r="J110" s="76" t="n">
        <x:v>21</x:v>
      </x:c>
      <x:c r="K110" s="76" t="n">
        <x:v>188</x:v>
      </x:c>
      <x:c r="L110" s="76" t="n">
        <x:v>0</x:v>
      </x:c>
      <x:c r="M110" s="76" t="n">
        <x:v>0</x:v>
      </x:c>
      <x:c r="N110" s="73" t="str">
        <x:v>https://www.thefantasyfootballers.com/2026-ultimate-draft-kit/udk-andys-projections/?position=FLEX</x:v>
      </x:c>
    </x:row>
    <x:row r="111">
      <x:c r="A111" s="70" t="str">
        <x:v>Travis Kelce</x:v>
      </x:c>
      <x:c r="B111" s="69" t="str">
        <x:v>TE</x:v>
      </x:c>
      <x:c r="C111" s="69" t="str">
        <x:v>KC</x:v>
      </x:c>
      <x:c r="D111" s="74" t="n">
        <x:v>5</x:v>
      </x:c>
      <x:c r="E111" s="74" t="n">
        <x:v>106</x:v>
      </x:c>
      <x:c r="F111" s="75" t="n">
        <x:v>8.9</x:v>
      </x:c>
      <x:c r="G111" s="76" t="n">
        <x:v>1</x:v>
      </x:c>
      <x:c r="H111" s="76" t="n">
        <x:v>1</x:v>
      </x:c>
      <x:c r="I111" s="76" t="n">
        <x:v>0</x:v>
      </x:c>
      <x:c r="J111" s="76" t="n">
        <x:v>66</x:v>
      </x:c>
      <x:c r="K111" s="76" t="n">
        <x:v>616</x:v>
      </x:c>
      <x:c r="L111" s="76" t="n">
        <x:v>4</x:v>
      </x:c>
      <x:c r="M111" s="76" t="n">
        <x:v>0</x:v>
      </x:c>
      <x:c r="N111" s="73" t="str">
        <x:v>https://www.thefantasyfootballers.com/2026-ultimate-draft-kit/udk-andys-projections/?position=FLEX</x:v>
      </x:c>
    </x:row>
    <x:row r="112">
      <x:c r="A112" s="70" t="str">
        <x:v>Rachaad White</x:v>
      </x:c>
      <x:c r="B112" s="69" t="str">
        <x:v>RB</x:v>
      </x:c>
      <x:c r="C112" s="69" t="str">
        <x:v>WAS</x:v>
      </x:c>
      <x:c r="D112" s="74" t="n">
        <x:v>7</x:v>
      </x:c>
      <x:c r="E112" s="74" t="n">
        <x:v>107</x:v>
      </x:c>
      <x:c r="F112" s="75" t="n">
        <x:v>8.8</x:v>
      </x:c>
      <x:c r="G112" s="76" t="n">
        <x:v>146</x:v>
      </x:c>
      <x:c r="H112" s="76" t="n">
        <x:v>612</x:v>
      </x:c>
      <x:c r="I112" s="76" t="n">
        <x:v>5</x:v>
      </x:c>
      <x:c r="J112" s="76" t="n">
        <x:v>36</x:v>
      </x:c>
      <x:c r="K112" s="76" t="n">
        <x:v>199</x:v>
      </x:c>
      <x:c r="L112" s="76" t="n">
        <x:v>1</x:v>
      </x:c>
      <x:c r="M112" s="76" t="n">
        <x:v>1</x:v>
      </x:c>
      <x:c r="N112" s="73" t="str">
        <x:v>https://www.thefantasyfootballers.com/2026-ultimate-draft-kit/udk-andys-projections/?position=FLEX</x:v>
      </x:c>
    </x:row>
    <x:row r="113">
      <x:c r="A113" s="70" t="str">
        <x:v>KC Concepcion</x:v>
      </x:c>
      <x:c r="B113" s="69" t="str">
        <x:v>WR</x:v>
      </x:c>
      <x:c r="C113" s="69" t="str">
        <x:v>CLE</x:v>
      </x:c>
      <x:c r="D113" s="74" t="n">
        <x:v>11</x:v>
      </x:c>
      <x:c r="E113" s="74" t="n">
        <x:v>108</x:v>
      </x:c>
      <x:c r="F113" s="75" t="n">
        <x:v>8.7</x:v>
      </x:c>
      <x:c r="G113" s="76" t="n">
        <x:v>0</x:v>
      </x:c>
      <x:c r="H113" s="76" t="n">
        <x:v>0</x:v>
      </x:c>
      <x:c r="I113" s="76" t="n">
        <x:v>0</x:v>
      </x:c>
      <x:c r="J113" s="76" t="n">
        <x:v>61</x:v>
      </x:c>
      <x:c r="K113" s="76" t="n">
        <x:v>761</x:v>
      </x:c>
      <x:c r="L113" s="76" t="n">
        <x:v>2</x:v>
      </x:c>
      <x:c r="M113" s="76" t="n">
        <x:v>0</x:v>
      </x:c>
      <x:c r="N113" s="73" t="str">
        <x:v>https://www.thefantasyfootballers.com/2026-ultimate-draft-kit/udk-andys-projections/?position=FLEX</x:v>
      </x:c>
    </x:row>
    <x:row r="114">
      <x:c r="A114" s="70" t="str">
        <x:v>Hunter Henry</x:v>
      </x:c>
      <x:c r="B114" s="69" t="str">
        <x:v>TE</x:v>
      </x:c>
      <x:c r="C114" s="69" t="str">
        <x:v>NE</x:v>
      </x:c>
      <x:c r="D114" s="74" t="n">
        <x:v>11</x:v>
      </x:c>
      <x:c r="E114" s="74" t="n">
        <x:v>109</x:v>
      </x:c>
      <x:c r="F114" s="75" t="n">
        <x:v>8.6</x:v>
      </x:c>
      <x:c r="G114" s="76" t="n">
        <x:v>0</x:v>
      </x:c>
      <x:c r="H114" s="76" t="n">
        <x:v>0</x:v>
      </x:c>
      <x:c r="I114" s="76" t="n">
        <x:v>0</x:v>
      </x:c>
      <x:c r="J114" s="76" t="n">
        <x:v>51</x:v>
      </x:c>
      <x:c r="K114" s="76" t="n">
        <x:v>641</x:v>
      </x:c>
      <x:c r="L114" s="76" t="n">
        <x:v>5</x:v>
      </x:c>
      <x:c r="M114" s="76" t="n">
        <x:v>0</x:v>
      </x:c>
      <x:c r="N114" s="73" t="str">
        <x:v>https://www.thefantasyfootballers.com/2026-ultimate-draft-kit/udk-andys-projections/?position=FLEX</x:v>
      </x:c>
    </x:row>
    <x:row r="115">
      <x:c r="A115" s="70" t="str">
        <x:v>Brenton Strange</x:v>
      </x:c>
      <x:c r="B115" s="69" t="str">
        <x:v>TE</x:v>
      </x:c>
      <x:c r="C115" s="69" t="str">
        <x:v>JAX</x:v>
      </x:c>
      <x:c r="D115" s="74" t="n">
        <x:v>7</x:v>
      </x:c>
      <x:c r="E115" s="74" t="n">
        <x:v>110</x:v>
      </x:c>
      <x:c r="F115" s="75" t="n">
        <x:v>8.6</x:v>
      </x:c>
      <x:c r="G115" s="76" t="n">
        <x:v>2</x:v>
      </x:c>
      <x:c r="H115" s="76" t="n">
        <x:v>10</x:v>
      </x:c>
      <x:c r="I115" s="76" t="n">
        <x:v>0</x:v>
      </x:c>
      <x:c r="J115" s="76" t="n">
        <x:v>55</x:v>
      </x:c>
      <x:c r="K115" s="76" t="n">
        <x:v>637</x:v>
      </x:c>
      <x:c r="L115" s="76" t="n">
        <x:v>5</x:v>
      </x:c>
      <x:c r="M115" s="76" t="n">
        <x:v>1</x:v>
      </x:c>
      <x:c r="N115" s="73" t="str">
        <x:v>https://www.thefantasyfootballers.com/2026-ultimate-draft-kit/udk-andys-projections/?position=FLEX</x:v>
      </x:c>
    </x:row>
    <x:row r="116">
      <x:c r="A116" s="70" t="str">
        <x:v>Greg Dulcich</x:v>
      </x:c>
      <x:c r="B116" s="69" t="str">
        <x:v>TE</x:v>
      </x:c>
      <x:c r="C116" s="69" t="str">
        <x:v>MIA</x:v>
      </x:c>
      <x:c r="D116" s="74" t="n">
        <x:v>6</x:v>
      </x:c>
      <x:c r="E116" s="74" t="n">
        <x:v>111</x:v>
      </x:c>
      <x:c r="F116" s="75" t="n">
        <x:v>8.6</x:v>
      </x:c>
      <x:c r="G116" s="76" t="n">
        <x:v>2</x:v>
      </x:c>
      <x:c r="H116" s="76" t="n">
        <x:v>6</x:v>
      </x:c>
      <x:c r="I116" s="76" t="n">
        <x:v>0</x:v>
      </x:c>
      <x:c r="J116" s="76" t="n">
        <x:v>54</x:v>
      </x:c>
      <x:c r="K116" s="76" t="n">
        <x:v>699</x:v>
      </x:c>
      <x:c r="L116" s="76" t="n">
        <x:v>4</x:v>
      </x:c>
      <x:c r="M116" s="76" t="n">
        <x:v>0</x:v>
      </x:c>
      <x:c r="N116" s="73" t="str">
        <x:v>https://www.thefantasyfootballers.com/2026-ultimate-draft-kit/udk-andys-projections/?position=FLEX</x:v>
      </x:c>
    </x:row>
    <x:row r="117">
      <x:c r="A117" s="70" t="str">
        <x:v>Chig Okonkwo</x:v>
      </x:c>
      <x:c r="B117" s="69" t="str">
        <x:v>TE</x:v>
      </x:c>
      <x:c r="C117" s="69" t="str">
        <x:v>WAS</x:v>
      </x:c>
      <x:c r="D117" s="74" t="n">
        <x:v>7</x:v>
      </x:c>
      <x:c r="E117" s="74" t="n">
        <x:v>112</x:v>
      </x:c>
      <x:c r="F117" s="75" t="n">
        <x:v>8.5</x:v>
      </x:c>
      <x:c r="G117" s="76" t="n">
        <x:v>2</x:v>
      </x:c>
      <x:c r="H117" s="76" t="n">
        <x:v>10</x:v>
      </x:c>
      <x:c r="I117" s="76" t="n">
        <x:v>0</x:v>
      </x:c>
      <x:c r="J117" s="76" t="n">
        <x:v>58</x:v>
      </x:c>
      <x:c r="K117" s="76" t="n">
        <x:v>620</x:v>
      </x:c>
      <x:c r="L117" s="76" t="n">
        <x:v>4</x:v>
      </x:c>
      <x:c r="M117" s="76" t="n">
        <x:v>0</x:v>
      </x:c>
      <x:c r="N117" s="73" t="str">
        <x:v>https://www.thefantasyfootballers.com/2026-ultimate-draft-kit/udk-andys-projections/?position=FLEX</x:v>
      </x:c>
    </x:row>
    <x:row r="118">
      <x:c r="A118" s="70" t="str">
        <x:v>Rashid Shaheed</x:v>
      </x:c>
      <x:c r="B118" s="69" t="str">
        <x:v>WR</x:v>
      </x:c>
      <x:c r="C118" s="69" t="str">
        <x:v>SEA</x:v>
      </x:c>
      <x:c r="D118" s="74" t="n">
        <x:v>11</x:v>
      </x:c>
      <x:c r="E118" s="74" t="n">
        <x:v>113</x:v>
      </x:c>
      <x:c r="F118" s="75" t="n">
        <x:v>8.5</x:v>
      </x:c>
      <x:c r="G118" s="76" t="n">
        <x:v>8</x:v>
      </x:c>
      <x:c r="H118" s="76" t="n">
        <x:v>55</x:v>
      </x:c>
      <x:c r="I118" s="76" t="n">
        <x:v>0</x:v>
      </x:c>
      <x:c r="J118" s="76" t="n">
        <x:v>56</x:v>
      </x:c>
      <x:c r="K118" s="76" t="n">
        <x:v>662</x:v>
      </x:c>
      <x:c r="L118" s="76" t="n">
        <x:v>3</x:v>
      </x:c>
      <x:c r="M118" s="76" t="n">
        <x:v>1</x:v>
      </x:c>
      <x:c r="N118" s="73" t="str">
        <x:v>https://www.thefantasyfootballers.com/2026-ultimate-draft-kit/udk-andys-projections/?position=FLEX</x:v>
      </x:c>
    </x:row>
    <x:row r="119">
      <x:c r="A119" s="70" t="str">
        <x:v>Makai Lemon</x:v>
      </x:c>
      <x:c r="B119" s="69" t="str">
        <x:v>WR</x:v>
      </x:c>
      <x:c r="C119" s="69" t="str">
        <x:v>PHI</x:v>
      </x:c>
      <x:c r="D119" s="74" t="n">
        <x:v>10</x:v>
      </x:c>
      <x:c r="E119" s="74" t="n">
        <x:v>114</x:v>
      </x:c>
      <x:c r="F119" s="75" t="n">
        <x:v>8.4</x:v>
      </x:c>
      <x:c r="G119" s="76" t="n">
        <x:v>9</x:v>
      </x:c>
      <x:c r="H119" s="76" t="n">
        <x:v>56</x:v>
      </x:c>
      <x:c r="I119" s="76" t="n">
        <x:v>0</x:v>
      </x:c>
      <x:c r="J119" s="76" t="n">
        <x:v>47</x:v>
      </x:c>
      <x:c r="K119" s="76" t="n">
        <x:v>637</x:v>
      </x:c>
      <x:c r="L119" s="76" t="n">
        <x:v>5</x:v>
      </x:c>
      <x:c r="M119" s="76" t="n">
        <x:v>1</x:v>
      </x:c>
      <x:c r="N119" s="73" t="str">
        <x:v>https://www.thefantasyfootballers.com/2026-ultimate-draft-kit/udk-andys-projections/?position=FLEX</x:v>
      </x:c>
    </x:row>
    <x:row r="120">
      <x:c r="A120" s="70" t="str">
        <x:v>AJ Barner</x:v>
      </x:c>
      <x:c r="B120" s="69" t="str">
        <x:v>TE</x:v>
      </x:c>
      <x:c r="C120" s="69" t="str">
        <x:v>SEA</x:v>
      </x:c>
      <x:c r="D120" s="74" t="n">
        <x:v>11</x:v>
      </x:c>
      <x:c r="E120" s="74" t="n">
        <x:v>115</x:v>
      </x:c>
      <x:c r="F120" s="75" t="n">
        <x:v>8.4</x:v>
      </x:c>
      <x:c r="G120" s="76" t="n">
        <x:v>7</x:v>
      </x:c>
      <x:c r="H120" s="76" t="n">
        <x:v>16</x:v>
      </x:c>
      <x:c r="I120" s="76" t="n">
        <x:v>1</x:v>
      </x:c>
      <x:c r="J120" s="76" t="n">
        <x:v>52</x:v>
      </x:c>
      <x:c r="K120" s="76" t="n">
        <x:v>524</x:v>
      </x:c>
      <x:c r="L120" s="76" t="n">
        <x:v>6</x:v>
      </x:c>
      <x:c r="M120" s="76" t="n">
        <x:v>1</x:v>
      </x:c>
      <x:c r="N120" s="73" t="str">
        <x:v>https://www.thefantasyfootballers.com/2026-ultimate-draft-kit/udk-andys-projections/?position=FLEX</x:v>
      </x:c>
    </x:row>
    <x:row r="121">
      <x:c r="A121" s="70" t="str">
        <x:v>Tyrone Tracy Jr.</x:v>
      </x:c>
      <x:c r="B121" s="69" t="str">
        <x:v>RB</x:v>
      </x:c>
      <x:c r="C121" s="69" t="str">
        <x:v>NYG</x:v>
      </x:c>
      <x:c r="D121" s="74" t="n">
        <x:v>8</x:v>
      </x:c>
      <x:c r="E121" s="74" t="n">
        <x:v>116</x:v>
      </x:c>
      <x:c r="F121" s="75" t="n">
        <x:v>8.4</x:v>
      </x:c>
      <x:c r="G121" s="76" t="n">
        <x:v>157</x:v>
      </x:c>
      <x:c r="H121" s="76" t="n">
        <x:v>682</x:v>
      </x:c>
      <x:c r="I121" s="76" t="n">
        <x:v>4</x:v>
      </x:c>
      <x:c r="J121" s="76" t="n">
        <x:v>27</x:v>
      </x:c>
      <x:c r="K121" s="76" t="n">
        <x:v>191</x:v>
      </x:c>
      <x:c r="L121" s="76" t="n">
        <x:v>2</x:v>
      </x:c>
      <x:c r="M121" s="76" t="n">
        <x:v>2</x:v>
      </x:c>
      <x:c r="N121" s="73" t="str">
        <x:v>https://www.thefantasyfootballers.com/2026-ultimate-draft-kit/udk-andys-projections/?position=FLEX</x:v>
      </x:c>
    </x:row>
    <x:row r="122">
      <x:c r="A122" s="70" t="str">
        <x:v>Kayshon Boutte</x:v>
      </x:c>
      <x:c r="B122" s="69" t="str">
        <x:v>WR</x:v>
      </x:c>
      <x:c r="C122" s="69" t="str">
        <x:v>HOU</x:v>
      </x:c>
      <x:c r="D122" s="74" t="n">
        <x:v>8</x:v>
      </x:c>
      <x:c r="E122" s="74" t="n">
        <x:v>117</x:v>
      </x:c>
      <x:c r="F122" s="75" t="n">
        <x:v>8.3</x:v>
      </x:c>
      <x:c r="G122" s="76" t="n">
        <x:v>3</x:v>
      </x:c>
      <x:c r="H122" s="76" t="n">
        <x:v>23</x:v>
      </x:c>
      <x:c r="I122" s="76" t="n">
        <x:v>0</x:v>
      </x:c>
      <x:c r="J122" s="76" t="n">
        <x:v>50</x:v>
      </x:c>
      <x:c r="K122" s="76" t="n">
        <x:v>693</x:v>
      </x:c>
      <x:c r="L122" s="76" t="n">
        <x:v>3</x:v>
      </x:c>
      <x:c r="M122" s="76" t="n">
        <x:v>1</x:v>
      </x:c>
      <x:c r="N122" s="73" t="str">
        <x:v>https://www.thefantasyfootballers.com/2026-ultimate-draft-kit/udk-andys-projections/?position=FLEX</x:v>
      </x:c>
    </x:row>
    <x:row r="123">
      <x:c r="A123" s="70" t="str">
        <x:v>Dalton Kincaid</x:v>
      </x:c>
      <x:c r="B123" s="69" t="str">
        <x:v>TE</x:v>
      </x:c>
      <x:c r="C123" s="69" t="str">
        <x:v>BUF</x:v>
      </x:c>
      <x:c r="D123" s="74" t="n">
        <x:v>7</x:v>
      </x:c>
      <x:c r="E123" s="74" t="n">
        <x:v>118</x:v>
      </x:c>
      <x:c r="F123" s="75" t="n">
        <x:v>8.2</x:v>
      </x:c>
      <x:c r="G123" s="76" t="n">
        <x:v>0</x:v>
      </x:c>
      <x:c r="H123" s="76" t="n">
        <x:v>0</x:v>
      </x:c>
      <x:c r="I123" s="76" t="n">
        <x:v>0</x:v>
      </x:c>
      <x:c r="J123" s="76" t="n">
        <x:v>42</x:v>
      </x:c>
      <x:c r="K123" s="76" t="n">
        <x:v>646</x:v>
      </x:c>
      <x:c r="L123" s="76" t="n">
        <x:v>6</x:v>
      </x:c>
      <x:c r="M123" s="76" t="n">
        <x:v>0</x:v>
      </x:c>
      <x:c r="N123" s="73" t="str">
        <x:v>https://www.thefantasyfootballers.com/2026-ultimate-draft-kit/udk-andys-projections/?position=FLEX</x:v>
      </x:c>
    </x:row>
    <x:row r="124">
      <x:c r="A124" s="70" t="str">
        <x:v>Jauan Jennings</x:v>
      </x:c>
      <x:c r="B124" s="69" t="str">
        <x:v>WR</x:v>
      </x:c>
      <x:c r="C124" s="69" t="str">
        <x:v>MIN</x:v>
      </x:c>
      <x:c r="D124" s="74" t="n">
        <x:v>6</x:v>
      </x:c>
      <x:c r="E124" s="74" t="n">
        <x:v>119</x:v>
      </x:c>
      <x:c r="F124" s="75" t="n">
        <x:v>8.2</x:v>
      </x:c>
      <x:c r="G124" s="76" t="n">
        <x:v>3</x:v>
      </x:c>
      <x:c r="H124" s="76" t="n">
        <x:v>18</x:v>
      </x:c>
      <x:c r="I124" s="76" t="n">
        <x:v>0</x:v>
      </x:c>
      <x:c r="J124" s="76" t="n">
        <x:v>48</x:v>
      </x:c>
      <x:c r="K124" s="76" t="n">
        <x:v>560</x:v>
      </x:c>
      <x:c r="L124" s="76" t="n">
        <x:v>6</x:v>
      </x:c>
      <x:c r="M124" s="76" t="n">
        <x:v>1</x:v>
      </x:c>
      <x:c r="N124" s="73" t="str">
        <x:v>https://www.thefantasyfootballers.com/2026-ultimate-draft-kit/udk-andys-projections/?position=FLEX</x:v>
      </x:c>
    </x:row>
    <x:row r="125">
      <x:c r="A125" s="70" t="str">
        <x:v>Jalen Coker</x:v>
      </x:c>
      <x:c r="B125" s="69" t="str">
        <x:v>WR</x:v>
      </x:c>
      <x:c r="C125" s="69" t="str">
        <x:v>CAR</x:v>
      </x:c>
      <x:c r="D125" s="74" t="n">
        <x:v>5</x:v>
      </x:c>
      <x:c r="E125" s="74" t="n">
        <x:v>120</x:v>
      </x:c>
      <x:c r="F125" s="75" t="n">
        <x:v>8.2</x:v>
      </x:c>
      <x:c r="G125" s="76" t="n">
        <x:v>0</x:v>
      </x:c>
      <x:c r="H125" s="76" t="n">
        <x:v>0</x:v>
      </x:c>
      <x:c r="I125" s="76" t="n">
        <x:v>0</x:v>
      </x:c>
      <x:c r="J125" s="76" t="n">
        <x:v>51</x:v>
      </x:c>
      <x:c r="K125" s="76" t="n">
        <x:v>610</x:v>
      </x:c>
      <x:c r="L125" s="76" t="n">
        <x:v>5</x:v>
      </x:c>
      <x:c r="M125" s="76" t="n">
        <x:v>2</x:v>
      </x:c>
      <x:c r="N125" s="73" t="str">
        <x:v>https://www.thefantasyfootballers.com/2026-ultimate-draft-kit/udk-andys-projections/?position=FLEX</x:v>
      </x:c>
    </x:row>
    <x:row r="126">
      <x:c r="A126" s="70" t="str">
        <x:v>Malik Washington</x:v>
      </x:c>
      <x:c r="B126" s="69" t="str">
        <x:v>WR</x:v>
      </x:c>
      <x:c r="C126" s="69" t="str">
        <x:v>MIA</x:v>
      </x:c>
      <x:c r="D126" s="74" t="n">
        <x:v>6</x:v>
      </x:c>
      <x:c r="E126" s="74" t="n">
        <x:v>121</x:v>
      </x:c>
      <x:c r="F126" s="75" t="n">
        <x:v>8.1</x:v>
      </x:c>
      <x:c r="G126" s="76" t="n">
        <x:v>14</x:v>
      </x:c>
      <x:c r="H126" s="76" t="n">
        <x:v>74</x:v>
      </x:c>
      <x:c r="I126" s="76" t="n">
        <x:v>1</x:v>
      </x:c>
      <x:c r="J126" s="76" t="n">
        <x:v>59</x:v>
      </x:c>
      <x:c r="K126" s="76" t="n">
        <x:v>444</x:v>
      </x:c>
      <x:c r="L126" s="76" t="n">
        <x:v>4</x:v>
      </x:c>
      <x:c r="M126" s="76" t="n">
        <x:v>1</x:v>
      </x:c>
      <x:c r="N126" s="73" t="str">
        <x:v>https://www.thefantasyfootballers.com/2026-ultimate-draft-kit/udk-andys-projections/?position=FLEX</x:v>
      </x:c>
    </x:row>
    <x:row r="127">
      <x:c r="A127" s="70" t="str">
        <x:v>Jordan James</x:v>
      </x:c>
      <x:c r="B127" s="69" t="str">
        <x:v>RB</x:v>
      </x:c>
      <x:c r="C127" s="69" t="str">
        <x:v>SF</x:v>
      </x:c>
      <x:c r="D127" s="74" t="n">
        <x:v>8</x:v>
      </x:c>
      <x:c r="E127" s="74" t="n">
        <x:v>122</x:v>
      </x:c>
      <x:c r="F127" s="75" t="n">
        <x:v>8.1</x:v>
      </x:c>
      <x:c r="G127" s="76" t="n">
        <x:v>132</x:v>
      </x:c>
      <x:c r="H127" s="76" t="n">
        <x:v>523</x:v>
      </x:c>
      <x:c r="I127" s="76" t="n">
        <x:v>5</x:v>
      </x:c>
      <x:c r="J127" s="76" t="n">
        <x:v>30</x:v>
      </x:c>
      <x:c r="K127" s="76" t="n">
        <x:v>228</x:v>
      </x:c>
      <x:c r="L127" s="76" t="n">
        <x:v>2</x:v>
      </x:c>
      <x:c r="M127" s="76" t="n">
        <x:v>2</x:v>
      </x:c>
      <x:c r="N127" s="73" t="str">
        <x:v>https://www.thefantasyfootballers.com/2026-ultimate-draft-kit/udk-andys-projections/?position=FLEX</x:v>
      </x:c>
    </x:row>
    <x:row r="128">
      <x:c r="A128" s="70" t="str">
        <x:v>Jordyn Tyson</x:v>
      </x:c>
      <x:c r="B128" s="69" t="str">
        <x:v>WR</x:v>
      </x:c>
      <x:c r="C128" s="69" t="str">
        <x:v>NO</x:v>
      </x:c>
      <x:c r="D128" s="74" t="n">
        <x:v>8</x:v>
      </x:c>
      <x:c r="E128" s="74" t="n">
        <x:v>123</x:v>
      </x:c>
      <x:c r="F128" s="75" t="n">
        <x:v>8.1</x:v>
      </x:c>
      <x:c r="G128" s="76" t="n">
        <x:v>7</x:v>
      </x:c>
      <x:c r="H128" s="76" t="n">
        <x:v>44</x:v>
      </x:c>
      <x:c r="I128" s="76" t="n">
        <x:v>0</x:v>
      </x:c>
      <x:c r="J128" s="76" t="n">
        <x:v>46</x:v>
      </x:c>
      <x:c r="K128" s="76" t="n">
        <x:v>636</x:v>
      </x:c>
      <x:c r="L128" s="76" t="n">
        <x:v>4</x:v>
      </x:c>
      <x:c r="M128" s="76" t="n">
        <x:v>1</x:v>
      </x:c>
      <x:c r="N128" s="73" t="str">
        <x:v>https://www.thefantasyfootballers.com/2026-ultimate-draft-kit/udk-andys-projections/?position=FLEX</x:v>
      </x:c>
    </x:row>
    <x:row r="129">
      <x:c r="A129" s="70" t="str">
        <x:v>Jalen Nailor</x:v>
      </x:c>
      <x:c r="B129" s="69" t="str">
        <x:v>WR</x:v>
      </x:c>
      <x:c r="C129" s="69" t="str">
        <x:v>LV</x:v>
      </x:c>
      <x:c r="D129" s="74" t="n">
        <x:v>13</x:v>
      </x:c>
      <x:c r="E129" s="74" t="n">
        <x:v>124</x:v>
      </x:c>
      <x:c r="F129" s="75" t="n">
        <x:v>8</x:v>
      </x:c>
      <x:c r="G129" s="76" t="n">
        <x:v>8</x:v>
      </x:c>
      <x:c r="H129" s="76" t="n">
        <x:v>47</x:v>
      </x:c>
      <x:c r="I129" s="76" t="n">
        <x:v>0</x:v>
      </x:c>
      <x:c r="J129" s="76" t="n">
        <x:v>48</x:v>
      </x:c>
      <x:c r="K129" s="76" t="n">
        <x:v>642</x:v>
      </x:c>
      <x:c r="L129" s="76" t="n">
        <x:v>4</x:v>
      </x:c>
      <x:c r="M129" s="76" t="n">
        <x:v>1</x:v>
      </x:c>
      <x:c r="N129" s="73" t="str">
        <x:v>https://www.thefantasyfootballers.com/2026-ultimate-draft-kit/udk-andys-projections/?position=FLEX</x:v>
      </x:c>
    </x:row>
    <x:row r="130">
      <x:c r="A130" s="70" t="str">
        <x:v>DeMario Douglas</x:v>
      </x:c>
      <x:c r="B130" s="69" t="str">
        <x:v>WR</x:v>
      </x:c>
      <x:c r="C130" s="69" t="str">
        <x:v>NE</x:v>
      </x:c>
      <x:c r="D130" s="74" t="n">
        <x:v>11</x:v>
      </x:c>
      <x:c r="E130" s="74" t="n">
        <x:v>125</x:v>
      </x:c>
      <x:c r="F130" s="75" t="n">
        <x:v>8</x:v>
      </x:c>
      <x:c r="G130" s="76" t="n">
        <x:v>10</x:v>
      </x:c>
      <x:c r="H130" s="76" t="n">
        <x:v>34</x:v>
      </x:c>
      <x:c r="I130" s="76" t="n">
        <x:v>0</x:v>
      </x:c>
      <x:c r="J130" s="76" t="n">
        <x:v>49</x:v>
      </x:c>
      <x:c r="K130" s="76" t="n">
        <x:v>664</x:v>
      </x:c>
      <x:c r="L130" s="76" t="n">
        <x:v>3</x:v>
      </x:c>
      <x:c r="M130" s="76" t="n">
        <x:v>1</x:v>
      </x:c>
      <x:c r="N130" s="73" t="str">
        <x:v>https://www.thefantasyfootballers.com/2026-ultimate-draft-kit/udk-andys-projections/?position=FLEX</x:v>
      </x:c>
    </x:row>
    <x:row r="131">
      <x:c r="A131" s="70" t="str">
        <x:v>Mark Andrews</x:v>
      </x:c>
      <x:c r="B131" s="69" t="str">
        <x:v>TE</x:v>
      </x:c>
      <x:c r="C131" s="69" t="str">
        <x:v>BAL</x:v>
      </x:c>
      <x:c r="D131" s="74" t="n">
        <x:v>13</x:v>
      </x:c>
      <x:c r="E131" s="74" t="n">
        <x:v>126</x:v>
      </x:c>
      <x:c r="F131" s="75" t="n">
        <x:v>7.9</x:v>
      </x:c>
      <x:c r="G131" s="76" t="n">
        <x:v>8</x:v>
      </x:c>
      <x:c r="H131" s="76" t="n">
        <x:v>33</x:v>
      </x:c>
      <x:c r="I131" s="76" t="n">
        <x:v>1</x:v>
      </x:c>
      <x:c r="J131" s="76" t="n">
        <x:v>48</x:v>
      </x:c>
      <x:c r="K131" s="76" t="n">
        <x:v>414</x:v>
      </x:c>
      <x:c r="L131" s="76" t="n">
        <x:v>6</x:v>
      </x:c>
      <x:c r="M131" s="76" t="n">
        <x:v>0</x:v>
      </x:c>
      <x:c r="N131" s="73" t="str">
        <x:v>https://www.thefantasyfootballers.com/2026-ultimate-draft-kit/udk-andys-projections/?position=FLEX</x:v>
      </x:c>
    </x:row>
    <x:row r="132">
      <x:c r="A132" s="70" t="str">
        <x:v>Tre Tucker</x:v>
      </x:c>
      <x:c r="B132" s="69" t="str">
        <x:v>WR</x:v>
      </x:c>
      <x:c r="C132" s="69" t="str">
        <x:v>LV</x:v>
      </x:c>
      <x:c r="D132" s="74" t="n">
        <x:v>13</x:v>
      </x:c>
      <x:c r="E132" s="74" t="n">
        <x:v>127</x:v>
      </x:c>
      <x:c r="F132" s="75" t="n">
        <x:v>7.8</x:v>
      </x:c>
      <x:c r="G132" s="76" t="n">
        <x:v>6</x:v>
      </x:c>
      <x:c r="H132" s="76" t="n">
        <x:v>42</x:v>
      </x:c>
      <x:c r="I132" s="76" t="n">
        <x:v>0</x:v>
      </x:c>
      <x:c r="J132" s="76" t="n">
        <x:v>49</x:v>
      </x:c>
      <x:c r="K132" s="76" t="n">
        <x:v>597</x:v>
      </x:c>
      <x:c r="L132" s="76" t="n">
        <x:v>4</x:v>
      </x:c>
      <x:c r="M132" s="76" t="n">
        <x:v>1</x:v>
      </x:c>
      <x:c r="N132" s="73" t="str">
        <x:v>https://www.thefantasyfootballers.com/2026-ultimate-draft-kit/udk-andys-projections/?position=FLEX</x:v>
      </x:c>
    </x:row>
    <x:row r="133">
      <x:c r="A133" s="70" t="str">
        <x:v>Omar Cooper Jr.</x:v>
      </x:c>
      <x:c r="B133" s="69" t="str">
        <x:v>WR</x:v>
      </x:c>
      <x:c r="C133" s="69" t="str">
        <x:v>NYJ</x:v>
      </x:c>
      <x:c r="D133" s="74" t="n">
        <x:v>13</x:v>
      </x:c>
      <x:c r="E133" s="74" t="n">
        <x:v>128</x:v>
      </x:c>
      <x:c r="F133" s="75" t="n">
        <x:v>7.7</x:v>
      </x:c>
      <x:c r="G133" s="76" t="n">
        <x:v>8</x:v>
      </x:c>
      <x:c r="H133" s="76" t="n">
        <x:v>46</x:v>
      </x:c>
      <x:c r="I133" s="76" t="n">
        <x:v>0</x:v>
      </x:c>
      <x:c r="J133" s="76" t="n">
        <x:v>45</x:v>
      </x:c>
      <x:c r="K133" s="76" t="n">
        <x:v>582</x:v>
      </x:c>
      <x:c r="L133" s="76" t="n">
        <x:v>4</x:v>
      </x:c>
      <x:c r="M133" s="76" t="n">
        <x:v>1</x:v>
      </x:c>
      <x:c r="N133" s="73" t="str">
        <x:v>https://www.thefantasyfootballers.com/2026-ultimate-draft-kit/udk-andys-projections/?position=FLEX</x:v>
      </x:c>
    </x:row>
    <x:row r="134">
      <x:c r="A134" s="70" t="str">
        <x:v>Colby Parkinson</x:v>
      </x:c>
      <x:c r="B134" s="69" t="str">
        <x:v>TE</x:v>
      </x:c>
      <x:c r="C134" s="69" t="str">
        <x:v>LAR</x:v>
      </x:c>
      <x:c r="D134" s="74" t="n">
        <x:v>11</x:v>
      </x:c>
      <x:c r="E134" s="74" t="n">
        <x:v>129</x:v>
      </x:c>
      <x:c r="F134" s="75" t="n">
        <x:v>7.7</x:v>
      </x:c>
      <x:c r="G134" s="76" t="n">
        <x:v>0</x:v>
      </x:c>
      <x:c r="H134" s="76" t="n">
        <x:v>0</x:v>
      </x:c>
      <x:c r="I134" s="76" t="n">
        <x:v>0</x:v>
      </x:c>
      <x:c r="J134" s="76" t="n">
        <x:v>48</x:v>
      </x:c>
      <x:c r="K134" s="76" t="n">
        <x:v>470</x:v>
      </x:c>
      <x:c r="L134" s="76" t="n">
        <x:v>6</x:v>
      </x:c>
      <x:c r="M134" s="76" t="n">
        <x:v>0</x:v>
      </x:c>
      <x:c r="N134" s="73" t="str">
        <x:v>https://www.thefantasyfootballers.com/2026-ultimate-draft-kit/udk-andys-projections/?position=FLEX</x:v>
      </x:c>
    </x:row>
    <x:row r="135">
      <x:c r="A135" s="70" t="str">
        <x:v>Malik Benson</x:v>
      </x:c>
      <x:c r="B135" s="69" t="str">
        <x:v>WR</x:v>
      </x:c>
      <x:c r="C135" s="69" t="str">
        <x:v>LV</x:v>
      </x:c>
      <x:c r="D135" s="74" t="n">
        <x:v>13</x:v>
      </x:c>
      <x:c r="E135" s="74" t="n">
        <x:v>130</x:v>
      </x:c>
      <x:c r="F135" s="75" t="n">
        <x:v>7.7</x:v>
      </x:c>
      <x:c r="G135" s="76" t="n">
        <x:v>6</x:v>
      </x:c>
      <x:c r="H135" s="76" t="n">
        <x:v>36</x:v>
      </x:c>
      <x:c r="I135" s="76" t="n">
        <x:v>0</x:v>
      </x:c>
      <x:c r="J135" s="76" t="n">
        <x:v>45</x:v>
      </x:c>
      <x:c r="K135" s="76" t="n">
        <x:v>596</x:v>
      </x:c>
      <x:c r="L135" s="76" t="n">
        <x:v>4</x:v>
      </x:c>
      <x:c r="M135" s="76" t="n">
        <x:v>0</x:v>
      </x:c>
      <x:c r="N135" s="73" t="str">
        <x:v>https://www.thefantasyfootballers.com/2026-ultimate-draft-kit/udk-andys-projections/?position=FLEX</x:v>
      </x:c>
    </x:row>
    <x:row r="136">
      <x:c r="A136" s="70" t="str">
        <x:v>Tre' Harris</x:v>
      </x:c>
      <x:c r="B136" s="69" t="str">
        <x:v>WR</x:v>
      </x:c>
      <x:c r="C136" s="69" t="str">
        <x:v>LAC</x:v>
      </x:c>
      <x:c r="D136" s="74" t="n">
        <x:v>7</x:v>
      </x:c>
      <x:c r="E136" s="74" t="n">
        <x:v>131</x:v>
      </x:c>
      <x:c r="F136" s="75" t="n">
        <x:v>7.7</x:v>
      </x:c>
      <x:c r="G136" s="76" t="n">
        <x:v>5</x:v>
      </x:c>
      <x:c r="H136" s="76" t="n">
        <x:v>32</x:v>
      </x:c>
      <x:c r="I136" s="76" t="n">
        <x:v>0</x:v>
      </x:c>
      <x:c r="J136" s="76" t="n">
        <x:v>52</x:v>
      </x:c>
      <x:c r="K136" s="76" t="n">
        <x:v>645</x:v>
      </x:c>
      <x:c r="L136" s="76" t="n">
        <x:v>2</x:v>
      </x:c>
      <x:c r="M136" s="76" t="n">
        <x:v>1</x:v>
      </x:c>
      <x:c r="N136" s="73" t="str">
        <x:v>https://www.thefantasyfootballers.com/2026-ultimate-draft-kit/udk-andys-projections/?position=FLEX</x:v>
      </x:c>
    </x:row>
    <x:row r="137">
      <x:c r="A137" s="70" t="str">
        <x:v>J.K. Dobbins</x:v>
      </x:c>
      <x:c r="B137" s="69" t="str">
        <x:v>RB</x:v>
      </x:c>
      <x:c r="C137" s="69" t="str">
        <x:v>DEN</x:v>
      </x:c>
      <x:c r="D137" s="74" t="n">
        <x:v>10</x:v>
      </x:c>
      <x:c r="E137" s="74" t="n">
        <x:v>132</x:v>
      </x:c>
      <x:c r="F137" s="75" t="n">
        <x:v>7.6</x:v>
      </x:c>
      <x:c r="G137" s="76" t="n">
        <x:v>181</x:v>
      </x:c>
      <x:c r="H137" s="76" t="n">
        <x:v>724</x:v>
      </x:c>
      <x:c r="I137" s="76" t="n">
        <x:v>6</x:v>
      </x:c>
      <x:c r="J137" s="76" t="n">
        <x:v>15</x:v>
      </x:c>
      <x:c r="K137" s="76" t="n">
        <x:v>82</x:v>
      </x:c>
      <x:c r="L137" s="76" t="n">
        <x:v>0</x:v>
      </x:c>
      <x:c r="M137" s="76" t="n">
        <x:v>1</x:v>
      </x:c>
      <x:c r="N137" s="73" t="str">
        <x:v>https://www.thefantasyfootballers.com/2026-ultimate-draft-kit/udk-andys-projections/?position=FLEX</x:v>
      </x:c>
    </x:row>
    <x:row r="138">
      <x:c r="A138" s="70" t="str">
        <x:v>Pat Freiermuth</x:v>
      </x:c>
      <x:c r="B138" s="69" t="str">
        <x:v>TE</x:v>
      </x:c>
      <x:c r="C138" s="69" t="str">
        <x:v>PIT</x:v>
      </x:c>
      <x:c r="D138" s="74" t="n">
        <x:v>9</x:v>
      </x:c>
      <x:c r="E138" s="74" t="n">
        <x:v>133</x:v>
      </x:c>
      <x:c r="F138" s="75" t="n">
        <x:v>7.6</x:v>
      </x:c>
      <x:c r="G138" s="76" t="n">
        <x:v>1</x:v>
      </x:c>
      <x:c r="H138" s="76" t="n">
        <x:v>5</x:v>
      </x:c>
      <x:c r="I138" s="76" t="n">
        <x:v>0</x:v>
      </x:c>
      <x:c r="J138" s="76" t="n">
        <x:v>48</x:v>
      </x:c>
      <x:c r="K138" s="76" t="n">
        <x:v>551</x:v>
      </x:c>
      <x:c r="L138" s="76" t="n">
        <x:v>4</x:v>
      </x:c>
      <x:c r="M138" s="76" t="n">
        <x:v>0</x:v>
      </x:c>
      <x:c r="N138" s="73" t="str">
        <x:v>https://www.thefantasyfootballers.com/2026-ultimate-draft-kit/udk-andys-projections/?position=FLEX</x:v>
      </x:c>
    </x:row>
    <x:row r="139">
      <x:c r="A139" s="70" t="str">
        <x:v>Tank Bigsby</x:v>
      </x:c>
      <x:c r="B139" s="69" t="str">
        <x:v>RB</x:v>
      </x:c>
      <x:c r="C139" s="69" t="str">
        <x:v>PHI</x:v>
      </x:c>
      <x:c r="D139" s="74" t="n">
        <x:v>10</x:v>
      </x:c>
      <x:c r="E139" s="74" t="n">
        <x:v>134</x:v>
      </x:c>
      <x:c r="F139" s="75" t="n">
        <x:v>7.5</x:v>
      </x:c>
      <x:c r="G139" s="76" t="n">
        <x:v>119</x:v>
      </x:c>
      <x:c r="H139" s="76" t="n">
        <x:v>531</x:v>
      </x:c>
      <x:c r="I139" s="76" t="n">
        <x:v>4</x:v>
      </x:c>
      <x:c r="J139" s="76" t="n">
        <x:v>25</x:v>
      </x:c>
      <x:c r="K139" s="76" t="n">
        <x:v>204</x:v>
      </x:c>
      <x:c r="L139" s="76" t="n">
        <x:v>1</x:v>
      </x:c>
      <x:c r="M139" s="76" t="n">
        <x:v>1</x:v>
      </x:c>
      <x:c r="N139" s="73" t="str">
        <x:v>https://www.thefantasyfootballers.com/2026-ultimate-draft-kit/udk-andys-projections/?position=FLEX</x:v>
      </x:c>
    </x:row>
    <x:row r="140">
      <x:c r="A140" s="70" t="str">
        <x:v>Jonah Coleman</x:v>
      </x:c>
      <x:c r="B140" s="69" t="str">
        <x:v>RB</x:v>
      </x:c>
      <x:c r="C140" s="69" t="str">
        <x:v>DEN</x:v>
      </x:c>
      <x:c r="D140" s="74" t="n">
        <x:v>10</x:v>
      </x:c>
      <x:c r="E140" s="74" t="n">
        <x:v>135</x:v>
      </x:c>
      <x:c r="F140" s="75" t="n">
        <x:v>7.4</x:v>
      </x:c>
      <x:c r="G140" s="76" t="n">
        <x:v>130</x:v>
      </x:c>
      <x:c r="H140" s="76" t="n">
        <x:v>587</x:v>
      </x:c>
      <x:c r="I140" s="76" t="n">
        <x:v>4</x:v>
      </x:c>
      <x:c r="J140" s="76" t="n">
        <x:v>23</x:v>
      </x:c>
      <x:c r="K140" s="76" t="n">
        <x:v>157</x:v>
      </x:c>
      <x:c r="L140" s="76" t="n">
        <x:v>1</x:v>
      </x:c>
      <x:c r="M140" s="76" t="n">
        <x:v>1</x:v>
      </x:c>
      <x:c r="N140" s="73" t="str">
        <x:v>https://www.thefantasyfootballers.com/2026-ultimate-draft-kit/udk-andys-projections/?position=FLEX</x:v>
      </x:c>
    </x:row>
    <x:row r="141">
      <x:c r="A141" s="70" t="str">
        <x:v>Keenan Allen</x:v>
      </x:c>
      <x:c r="B141" s="69" t="str">
        <x:v>WR</x:v>
      </x:c>
      <x:c r="C141" s="69" t="str">
        <x:v>IND</x:v>
      </x:c>
      <x:c r="D141" s="74" t="n">
        <x:v>13</x:v>
      </x:c>
      <x:c r="E141" s="74" t="n">
        <x:v>136</x:v>
      </x:c>
      <x:c r="F141" s="75" t="n">
        <x:v>7.4</x:v>
      </x:c>
      <x:c r="G141" s="76" t="n">
        <x:v>0</x:v>
      </x:c>
      <x:c r="H141" s="76" t="n">
        <x:v>0</x:v>
      </x:c>
      <x:c r="I141" s="76" t="n">
        <x:v>0</x:v>
      </x:c>
      <x:c r="J141" s="76" t="n">
        <x:v>55</x:v>
      </x:c>
      <x:c r="K141" s="76" t="n">
        <x:v>531</x:v>
      </x:c>
      <x:c r="L141" s="76" t="n">
        <x:v>3</x:v>
      </x:c>
      <x:c r="M141" s="76" t="n">
        <x:v>0</x:v>
      </x:c>
      <x:c r="N141" s="73" t="str">
        <x:v>https://www.thefantasyfootballers.com/2026-ultimate-draft-kit/udk-andys-projections/?position=FLEX</x:v>
      </x:c>
    </x:row>
    <x:row r="142">
      <x:c r="A142" s="70" t="str">
        <x:v>Woody Marks</x:v>
      </x:c>
      <x:c r="B142" s="69" t="str">
        <x:v>RB</x:v>
      </x:c>
      <x:c r="C142" s="69" t="str">
        <x:v>HOU</x:v>
      </x:c>
      <x:c r="D142" s="74" t="n">
        <x:v>8</x:v>
      </x:c>
      <x:c r="E142" s="74" t="n">
        <x:v>137</x:v>
      </x:c>
      <x:c r="F142" s="75" t="n">
        <x:v>7.4</x:v>
      </x:c>
      <x:c r="G142" s="76" t="n">
        <x:v>141</x:v>
      </x:c>
      <x:c r="H142" s="76" t="n">
        <x:v>535</x:v>
      </x:c>
      <x:c r="I142" s="76" t="n">
        <x:v>4</x:v>
      </x:c>
      <x:c r="J142" s="76" t="n">
        <x:v>22</x:v>
      </x:c>
      <x:c r="K142" s="76" t="n">
        <x:v>208</x:v>
      </x:c>
      <x:c r="L142" s="76" t="n">
        <x:v>1</x:v>
      </x:c>
      <x:c r="M142" s="76" t="n">
        <x:v>1</x:v>
      </x:c>
      <x:c r="N142" s="73" t="str">
        <x:v>https://www.thefantasyfootballers.com/2026-ultimate-draft-kit/udk-andys-projections/?position=FLEX</x:v>
      </x:c>
    </x:row>
    <x:row r="143">
      <x:c r="A143" s="70" t="str">
        <x:v>Malachi Fields</x:v>
      </x:c>
      <x:c r="B143" s="69" t="str">
        <x:v>WR</x:v>
      </x:c>
      <x:c r="C143" s="69" t="str">
        <x:v>NYG</x:v>
      </x:c>
      <x:c r="D143" s="74" t="n">
        <x:v>8</x:v>
      </x:c>
      <x:c r="E143" s="74" t="n">
        <x:v>138</x:v>
      </x:c>
      <x:c r="F143" s="75" t="n">
        <x:v>7.3</x:v>
      </x:c>
      <x:c r="G143" s="76" t="n">
        <x:v>7</x:v>
      </x:c>
      <x:c r="H143" s="76" t="n">
        <x:v>35</x:v>
      </x:c>
      <x:c r="I143" s="76" t="n">
        <x:v>0</x:v>
      </x:c>
      <x:c r="J143" s="76" t="n">
        <x:v>41</x:v>
      </x:c>
      <x:c r="K143" s="76" t="n">
        <x:v>587</x:v>
      </x:c>
      <x:c r="L143" s="76" t="n">
        <x:v>3</x:v>
      </x:c>
      <x:c r="M143" s="76" t="n">
        <x:v>0</x:v>
      </x:c>
      <x:c r="N143" s="73" t="str">
        <x:v>https://www.thefantasyfootballers.com/2026-ultimate-draft-kit/udk-andys-projections/?position=FLEX</x:v>
      </x:c>
    </x:row>
    <x:row r="144">
      <x:c r="A144" s="70" t="str">
        <x:v>Chimere Dike</x:v>
      </x:c>
      <x:c r="B144" s="69" t="str">
        <x:v>WR</x:v>
      </x:c>
      <x:c r="C144" s="69" t="str">
        <x:v>TEN</x:v>
      </x:c>
      <x:c r="D144" s="74" t="n">
        <x:v>9</x:v>
      </x:c>
      <x:c r="E144" s="74" t="n">
        <x:v>139</x:v>
      </x:c>
      <x:c r="F144" s="75" t="n">
        <x:v>7.3</x:v>
      </x:c>
      <x:c r="G144" s="76" t="n">
        <x:v>8</x:v>
      </x:c>
      <x:c r="H144" s="76" t="n">
        <x:v>33</x:v>
      </x:c>
      <x:c r="I144" s="76" t="n">
        <x:v>0</x:v>
      </x:c>
      <x:c r="J144" s="76" t="n">
        <x:v>49</x:v>
      </x:c>
      <x:c r="K144" s="76" t="n">
        <x:v>551</x:v>
      </x:c>
      <x:c r="L144" s="76" t="n">
        <x:v>3</x:v>
      </x:c>
      <x:c r="M144" s="76" t="n">
        <x:v>1</x:v>
      </x:c>
      <x:c r="N144" s="73" t="str">
        <x:v>https://www.thefantasyfootballers.com/2026-ultimate-draft-kit/udk-andys-projections/?position=FLEX</x:v>
      </x:c>
    </x:row>
    <x:row r="145">
      <x:c r="A145" s="70" t="str">
        <x:v>RJ Harvey</x:v>
      </x:c>
      <x:c r="B145" s="69" t="str">
        <x:v>RB</x:v>
      </x:c>
      <x:c r="C145" s="69" t="str">
        <x:v>DEN</x:v>
      </x:c>
      <x:c r="D145" s="74" t="n">
        <x:v>10</x:v>
      </x:c>
      <x:c r="E145" s="74" t="n">
        <x:v>140</x:v>
      </x:c>
      <x:c r="F145" s="75" t="n">
        <x:v>7.1</x:v>
      </x:c>
      <x:c r="G145" s="76" t="n">
        <x:v>103</x:v>
      </x:c>
      <x:c r="H145" s="76" t="n">
        <x:v>382</x:v>
      </x:c>
      <x:c r="I145" s="76" t="n">
        <x:v>4</x:v>
      </x:c>
      <x:c r="J145" s="76" t="n">
        <x:v>23</x:v>
      </x:c>
      <x:c r="K145" s="76" t="n">
        <x:v>240</x:v>
      </x:c>
      <x:c r="L145" s="76" t="n">
        <x:v>2</x:v>
      </x:c>
      <x:c r="M145" s="76" t="n">
        <x:v>2</x:v>
      </x:c>
      <x:c r="N145" s="73" t="str">
        <x:v>https://www.thefantasyfootballers.com/2026-ultimate-draft-kit/udk-andys-projections/?position=FLEX</x:v>
      </x:c>
    </x:row>
    <x:row r="146">
      <x:c r="A146" s="70" t="str">
        <x:v>Cade Otton</x:v>
      </x:c>
      <x:c r="B146" s="69" t="str">
        <x:v>TE</x:v>
      </x:c>
      <x:c r="C146" s="69" t="str">
        <x:v>TB</x:v>
      </x:c>
      <x:c r="D146" s="74" t="n">
        <x:v>10</x:v>
      </x:c>
      <x:c r="E146" s="74" t="n">
        <x:v>141</x:v>
      </x:c>
      <x:c r="F146" s="75" t="n">
        <x:v>7</x:v>
      </x:c>
      <x:c r="G146" s="76" t="n">
        <x:v>1</x:v>
      </x:c>
      <x:c r="H146" s="76" t="n">
        <x:v>3</x:v>
      </x:c>
      <x:c r="I146" s="76" t="n">
        <x:v>0</x:v>
      </x:c>
      <x:c r="J146" s="76" t="n">
        <x:v>52</x:v>
      </x:c>
      <x:c r="K146" s="76" t="n">
        <x:v>496</x:v>
      </x:c>
      <x:c r="L146" s="76" t="n">
        <x:v>3</x:v>
      </x:c>
      <x:c r="M146" s="76" t="n">
        <x:v>1</x:v>
      </x:c>
      <x:c r="N146" s="73" t="str">
        <x:v>https://www.thefantasyfootballers.com/2026-ultimate-draft-kit/udk-andys-projections/?position=FLEX</x:v>
      </x:c>
    </x:row>
    <x:row r="147">
      <x:c r="A147" s="70" t="str">
        <x:v>Dontayvion Wicks</x:v>
      </x:c>
      <x:c r="B147" s="69" t="str">
        <x:v>WR</x:v>
      </x:c>
      <x:c r="C147" s="69" t="str">
        <x:v>PHI</x:v>
      </x:c>
      <x:c r="D147" s="74" t="n">
        <x:v>10</x:v>
      </x:c>
      <x:c r="E147" s="74" t="n">
        <x:v>142</x:v>
      </x:c>
      <x:c r="F147" s="75" t="n">
        <x:v>6.9</x:v>
      </x:c>
      <x:c r="G147" s="76" t="n">
        <x:v>7</x:v>
      </x:c>
      <x:c r="H147" s="76" t="n">
        <x:v>34</x:v>
      </x:c>
      <x:c r="I147" s="76" t="n">
        <x:v>0</x:v>
      </x:c>
      <x:c r="J147" s="76" t="n">
        <x:v>43</x:v>
      </x:c>
      <x:c r="K147" s="76" t="n">
        <x:v>511</x:v>
      </x:c>
      <x:c r="L147" s="76" t="n">
        <x:v>3</x:v>
      </x:c>
      <x:c r="M147" s="76" t="n">
        <x:v>0</x:v>
      </x:c>
      <x:c r="N147" s="73" t="str">
        <x:v>https://www.thefantasyfootballers.com/2026-ultimate-draft-kit/udk-andys-projections/?position=FLEX</x:v>
      </x:c>
    </x:row>
    <x:row r="148">
      <x:c r="A148" s="70" t="str">
        <x:v>Aaron Jones Sr.</x:v>
      </x:c>
      <x:c r="B148" s="69" t="str">
        <x:v>RB</x:v>
      </x:c>
      <x:c r="C148" s="69" t="str">
        <x:v>MIN</x:v>
      </x:c>
      <x:c r="D148" s="74" t="n">
        <x:v>6</x:v>
      </x:c>
      <x:c r="E148" s="74" t="n">
        <x:v>143</x:v>
      </x:c>
      <x:c r="F148" s="75" t="n">
        <x:v>6.9</x:v>
      </x:c>
      <x:c r="G148" s="76" t="n">
        <x:v>126</x:v>
      </x:c>
      <x:c r="H148" s="76" t="n">
        <x:v>515</x:v>
      </x:c>
      <x:c r="I148" s="76" t="n">
        <x:v>3</x:v>
      </x:c>
      <x:c r="J148" s="76" t="n">
        <x:v>23</x:v>
      </x:c>
      <x:c r="K148" s="76" t="n">
        <x:v>176</x:v>
      </x:c>
      <x:c r="L148" s="76" t="n">
        <x:v>2</x:v>
      </x:c>
      <x:c r="M148" s="76" t="n">
        <x:v>1</x:v>
      </x:c>
      <x:c r="N148" s="73" t="str">
        <x:v>https://www.thefantasyfootballers.com/2026-ultimate-draft-kit/udk-andys-projections/?position=FLEX</x:v>
      </x:c>
    </x:row>
    <x:row r="149">
      <x:c r="A149" s="70" t="str">
        <x:v>Deebo Samuel Sr.</x:v>
      </x:c>
      <x:c r="B149" s="69" t="str">
        <x:v>WR</x:v>
      </x:c>
      <x:c r="C149" s="69" t="str">
        <x:v>SF</x:v>
      </x:c>
      <x:c r="D149" s="74" t="n">
        <x:v>8</x:v>
      </x:c>
      <x:c r="E149" s="74" t="n">
        <x:v>144</x:v>
      </x:c>
      <x:c r="F149" s="75" t="n">
        <x:v>6.9</x:v>
      </x:c>
      <x:c r="G149" s="76" t="n">
        <x:v>27</x:v>
      </x:c>
      <x:c r="H149" s="76" t="n">
        <x:v>142</x:v>
      </x:c>
      <x:c r="I149" s="76" t="n">
        <x:v>1</x:v>
      </x:c>
      <x:c r="J149" s="76" t="n">
        <x:v>41</x:v>
      </x:c>
      <x:c r="K149" s="76" t="n">
        <x:v>423</x:v>
      </x:c>
      <x:c r="L149" s="76" t="n">
        <x:v>3</x:v>
      </x:c>
      <x:c r="M149" s="76" t="n">
        <x:v>1</x:v>
      </x:c>
      <x:c r="N149" s="73" t="str">
        <x:v>https://www.thefantasyfootballers.com/2026-ultimate-draft-kit/udk-andys-projections/?position=FLEX</x:v>
      </x:c>
    </x:row>
    <x:row r="150">
      <x:c r="A150" s="70" t="str">
        <x:v>Gunnar Helm</x:v>
      </x:c>
      <x:c r="B150" s="69" t="str">
        <x:v>TE</x:v>
      </x:c>
      <x:c r="C150" s="69" t="str">
        <x:v>TEN</x:v>
      </x:c>
      <x:c r="D150" s="74" t="n">
        <x:v>9</x:v>
      </x:c>
      <x:c r="E150" s="74" t="n">
        <x:v>145</x:v>
      </x:c>
      <x:c r="F150" s="75" t="n">
        <x:v>6.8</x:v>
      </x:c>
      <x:c r="G150" s="76" t="n">
        <x:v>0</x:v>
      </x:c>
      <x:c r="H150" s="76" t="n">
        <x:v>0</x:v>
      </x:c>
      <x:c r="I150" s="76" t="n">
        <x:v>0</x:v>
      </x:c>
      <x:c r="J150" s="76" t="n">
        <x:v>55</x:v>
      </x:c>
      <x:c r="K150" s="76" t="n">
        <x:v>480</x:v>
      </x:c>
      <x:c r="L150" s="76" t="n">
        <x:v>2</x:v>
      </x:c>
      <x:c r="M150" s="76" t="n">
        <x:v>0</x:v>
      </x:c>
      <x:c r="N150" s="73" t="str">
        <x:v>https://www.thefantasyfootballers.com/2026-ultimate-draft-kit/udk-andys-projections/?position=FLEX</x:v>
      </x:c>
    </x:row>
    <x:row r="151">
      <x:c r="A151" s="70" t="str">
        <x:v>Elic Ayomanor</x:v>
      </x:c>
      <x:c r="B151" s="69" t="str">
        <x:v>WR</x:v>
      </x:c>
      <x:c r="C151" s="69" t="str">
        <x:v>TEN</x:v>
      </x:c>
      <x:c r="D151" s="74" t="n">
        <x:v>9</x:v>
      </x:c>
      <x:c r="E151" s="74" t="n">
        <x:v>146</x:v>
      </x:c>
      <x:c r="F151" s="75" t="n">
        <x:v>6.7</x:v>
      </x:c>
      <x:c r="G151" s="76" t="n">
        <x:v>4</x:v>
      </x:c>
      <x:c r="H151" s="76" t="n">
        <x:v>19</x:v>
      </x:c>
      <x:c r="I151" s="76" t="n">
        <x:v>0</x:v>
      </x:c>
      <x:c r="J151" s="76" t="n">
        <x:v>43</x:v>
      </x:c>
      <x:c r="K151" s="76" t="n">
        <x:v>516</x:v>
      </x:c>
      <x:c r="L151" s="76" t="n">
        <x:v>3</x:v>
      </x:c>
      <x:c r="M151" s="76" t="n">
        <x:v>1</x:v>
      </x:c>
      <x:c r="N151" s="73" t="str">
        <x:v>https://www.thefantasyfootballers.com/2026-ultimate-draft-kit/udk-andys-projections/?position=FLEX</x:v>
      </x:c>
    </x:row>
    <x:row r="152">
      <x:c r="A152" s="70" t="str">
        <x:v>Pat Bryant</x:v>
      </x:c>
      <x:c r="B152" s="69" t="str">
        <x:v>WR</x:v>
      </x:c>
      <x:c r="C152" s="69" t="str">
        <x:v>DEN</x:v>
      </x:c>
      <x:c r="D152" s="74" t="n">
        <x:v>10</x:v>
      </x:c>
      <x:c r="E152" s="74" t="n">
        <x:v>147</x:v>
      </x:c>
      <x:c r="F152" s="75" t="n">
        <x:v>6.7</x:v>
      </x:c>
      <x:c r="G152" s="76" t="n">
        <x:v>0</x:v>
      </x:c>
      <x:c r="H152" s="76" t="n">
        <x:v>0</x:v>
      </x:c>
      <x:c r="I152" s="76" t="n">
        <x:v>0</x:v>
      </x:c>
      <x:c r="J152" s="76" t="n">
        <x:v>42</x:v>
      </x:c>
      <x:c r="K152" s="76" t="n">
        <x:v>532</x:v>
      </x:c>
      <x:c r="L152" s="76" t="n">
        <x:v>3</x:v>
      </x:c>
      <x:c r="M152" s="76" t="n">
        <x:v>0</x:v>
      </x:c>
      <x:c r="N152" s="73" t="str">
        <x:v>https://www.thefantasyfootballers.com/2026-ultimate-draft-kit/udk-andys-projections/?position=FLEX</x:v>
      </x:c>
    </x:row>
    <x:row r="153">
      <x:c r="A153" s="70" t="str">
        <x:v>Kyle Williams</x:v>
      </x:c>
      <x:c r="B153" s="69" t="str">
        <x:v>WR</x:v>
      </x:c>
      <x:c r="C153" s="69" t="str">
        <x:v>NE</x:v>
      </x:c>
      <x:c r="D153" s="74" t="n">
        <x:v>11</x:v>
      </x:c>
      <x:c r="E153" s="74" t="n">
        <x:v>148</x:v>
      </x:c>
      <x:c r="F153" s="75" t="n">
        <x:v>6.6</x:v>
      </x:c>
      <x:c r="G153" s="76" t="n">
        <x:v>6</x:v>
      </x:c>
      <x:c r="H153" s="76" t="n">
        <x:v>27</x:v>
      </x:c>
      <x:c r="I153" s="76" t="n">
        <x:v>0</x:v>
      </x:c>
      <x:c r="J153" s="76" t="n">
        <x:v>45</x:v>
      </x:c>
      <x:c r="K153" s="76" t="n">
        <x:v>546</x:v>
      </x:c>
      <x:c r="L153" s="76" t="n">
        <x:v>2</x:v>
      </x:c>
      <x:c r="M153" s="76" t="n">
        <x:v>0</x:v>
      </x:c>
      <x:c r="N153" s="73" t="str">
        <x:v>https://www.thefantasyfootballers.com/2026-ultimate-draft-kit/udk-andys-projections/?position=FLEX</x:v>
      </x:c>
    </x:row>
    <x:row r="154">
      <x:c r="A154" s="70" t="str">
        <x:v>Tory Horton</x:v>
      </x:c>
      <x:c r="B154" s="69" t="str">
        <x:v>WR</x:v>
      </x:c>
      <x:c r="C154" s="69" t="str">
        <x:v>SEA</x:v>
      </x:c>
      <x:c r="D154" s="74" t="n">
        <x:v>11</x:v>
      </x:c>
      <x:c r="E154" s="74" t="n">
        <x:v>149</x:v>
      </x:c>
      <x:c r="F154" s="75" t="n">
        <x:v>6.6</x:v>
      </x:c>
      <x:c r="G154" s="76" t="n">
        <x:v>4</x:v>
      </x:c>
      <x:c r="H154" s="76" t="n">
        <x:v>31</x:v>
      </x:c>
      <x:c r="I154" s="76" t="n">
        <x:v>0</x:v>
      </x:c>
      <x:c r="J154" s="76" t="n">
        <x:v>40</x:v>
      </x:c>
      <x:c r="K154" s="76" t="n">
        <x:v>452</x:v>
      </x:c>
      <x:c r="L154" s="76" t="n">
        <x:v>4</x:v>
      </x:c>
      <x:c r="M154" s="76" t="n">
        <x:v>0</x:v>
      </x:c>
      <x:c r="N154" s="73" t="str">
        <x:v>https://www.thefantasyfootballers.com/2026-ultimate-draft-kit/udk-andys-projections/?position=FLEX</x:v>
      </x:c>
    </x:row>
    <x:row r="155">
      <x:c r="A155" s="70" t="str">
        <x:v>Chris Brooks</x:v>
      </x:c>
      <x:c r="B155" s="69" t="str">
        <x:v>RB</x:v>
      </x:c>
      <x:c r="C155" s="69" t="str">
        <x:v>GB</x:v>
      </x:c>
      <x:c r="D155" s="74" t="n">
        <x:v>11</x:v>
      </x:c>
      <x:c r="E155" s="74" t="n">
        <x:v>150</x:v>
      </x:c>
      <x:c r="F155" s="75" t="n">
        <x:v>6.6</x:v>
      </x:c>
      <x:c r="G155" s="76" t="n">
        <x:v>105</x:v>
      </x:c>
      <x:c r="H155" s="76" t="n">
        <x:v>440</x:v>
      </x:c>
      <x:c r="I155" s="76" t="n">
        <x:v>3</x:v>
      </x:c>
      <x:c r="J155" s="76" t="n">
        <x:v>31</x:v>
      </x:c>
      <x:c r="K155" s="76" t="n">
        <x:v>230</x:v>
      </x:c>
      <x:c r="L155" s="76" t="n">
        <x:v>0</x:v>
      </x:c>
      <x:c r="M155" s="76" t="n">
        <x:v>2</x:v>
      </x:c>
      <x:c r="N155" s="73" t="str">
        <x:v>https://www.thefantasyfootballers.com/2026-ultimate-draft-kit/udk-andys-projections/?position=FLEX</x:v>
      </x:c>
    </x:row>
    <x:row r="156">
      <x:c r="A156" s="70" t="str">
        <x:v>Ja'Kobi Lane</x:v>
      </x:c>
      <x:c r="B156" s="69" t="str">
        <x:v>WR</x:v>
      </x:c>
      <x:c r="C156" s="69" t="str">
        <x:v>BAL</x:v>
      </x:c>
      <x:c r="D156" s="74" t="n">
        <x:v>13</x:v>
      </x:c>
      <x:c r="E156" s="74" t="n">
        <x:v>151</x:v>
      </x:c>
      <x:c r="F156" s="75" t="n">
        <x:v>6.6</x:v>
      </x:c>
      <x:c r="G156" s="76" t="n">
        <x:v>4</x:v>
      </x:c>
      <x:c r="H156" s="76" t="n">
        <x:v>25</x:v>
      </x:c>
      <x:c r="I156" s="76" t="n">
        <x:v>0</x:v>
      </x:c>
      <x:c r="J156" s="76" t="n">
        <x:v>34</x:v>
      </x:c>
      <x:c r="K156" s="76" t="n">
        <x:v>538</x:v>
      </x:c>
      <x:c r="L156" s="76" t="n">
        <x:v>4</x:v>
      </x:c>
      <x:c r="M156" s="76" t="n">
        <x:v>0</x:v>
      </x:c>
      <x:c r="N156" s="73" t="str">
        <x:v>https://www.thefantasyfootballers.com/2026-ultimate-draft-kit/udk-andys-projections/?position=FLEX</x:v>
      </x:c>
    </x:row>
    <x:row r="157">
      <x:c r="A157" s="70" t="str">
        <x:v>Chris Rodriguez Jr.</x:v>
      </x:c>
      <x:c r="B157" s="69" t="str">
        <x:v>RB</x:v>
      </x:c>
      <x:c r="C157" s="69" t="str">
        <x:v>JAX</x:v>
      </x:c>
      <x:c r="D157" s="74" t="n">
        <x:v>7</x:v>
      </x:c>
      <x:c r="E157" s="74" t="n">
        <x:v>152</x:v>
      </x:c>
      <x:c r="F157" s="75" t="n">
        <x:v>6.6</x:v>
      </x:c>
      <x:c r="G157" s="76" t="n">
        <x:v>136</x:v>
      </x:c>
      <x:c r="H157" s="76" t="n">
        <x:v>572</x:v>
      </x:c>
      <x:c r="I157" s="76" t="n">
        <x:v>5</x:v>
      </x:c>
      <x:c r="J157" s="76" t="n">
        <x:v>13</x:v>
      </x:c>
      <x:c r="K157" s="76" t="n">
        <x:v>108</x:v>
      </x:c>
      <x:c r="L157" s="76" t="n">
        <x:v>0</x:v>
      </x:c>
      <x:c r="M157" s="76" t="n">
        <x:v>1</x:v>
      </x:c>
      <x:c r="N157" s="73" t="str">
        <x:v>https://www.thefantasyfootballers.com/2026-ultimate-draft-kit/udk-andys-projections/?position=FLEX</x:v>
      </x:c>
    </x:row>
    <x:row r="158">
      <x:c r="A158" s="70" t="str">
        <x:v>Troy Franklin</x:v>
      </x:c>
      <x:c r="B158" s="69" t="str">
        <x:v>WR</x:v>
      </x:c>
      <x:c r="C158" s="69" t="str">
        <x:v>DEN</x:v>
      </x:c>
      <x:c r="D158" s="74" t="n">
        <x:v>10</x:v>
      </x:c>
      <x:c r="E158" s="74" t="n">
        <x:v>153</x:v>
      </x:c>
      <x:c r="F158" s="75" t="n">
        <x:v>6.5</x:v>
      </x:c>
      <x:c r="G158" s="76" t="n">
        <x:v>3</x:v>
      </x:c>
      <x:c r="H158" s="76" t="n">
        <x:v>14</x:v>
      </x:c>
      <x:c r="I158" s="76" t="n">
        <x:v>0</x:v>
      </x:c>
      <x:c r="J158" s="76" t="n">
        <x:v>40</x:v>
      </x:c>
      <x:c r="K158" s="76" t="n">
        <x:v>543</x:v>
      </x:c>
      <x:c r="L158" s="76" t="n">
        <x:v>3</x:v>
      </x:c>
      <x:c r="M158" s="76" t="n">
        <x:v>1</x:v>
      </x:c>
      <x:c r="N158" s="73" t="str">
        <x:v>https://www.thefantasyfootballers.com/2026-ultimate-draft-kit/udk-andys-projections/?position=FLEX</x:v>
      </x:c>
    </x:row>
    <x:row r="159">
      <x:c r="A159" s="70" t="str">
        <x:v>T.J. Hockenson</x:v>
      </x:c>
      <x:c r="B159" s="69" t="str">
        <x:v>TE</x:v>
      </x:c>
      <x:c r="C159" s="69" t="str">
        <x:v>MIN</x:v>
      </x:c>
      <x:c r="D159" s="74" t="n">
        <x:v>6</x:v>
      </x:c>
      <x:c r="E159" s="74" t="n">
        <x:v>154</x:v>
      </x:c>
      <x:c r="F159" s="75" t="n">
        <x:v>6.4</x:v>
      </x:c>
      <x:c r="G159" s="76" t="n">
        <x:v>1</x:v>
      </x:c>
      <x:c r="H159" s="76" t="n">
        <x:v>3</x:v>
      </x:c>
      <x:c r="I159" s="76" t="n">
        <x:v>0</x:v>
      </x:c>
      <x:c r="J159" s="76" t="n">
        <x:v>44</x:v>
      </x:c>
      <x:c r="K159" s="76" t="n">
        <x:v>408</x:v>
      </x:c>
      <x:c r="L159" s="76" t="n">
        <x:v>4</x:v>
      </x:c>
      <x:c r="M159" s="76" t="n">
        <x:v>0</x:v>
      </x:c>
      <x:c r="N159" s="73" t="str">
        <x:v>https://www.thefantasyfootballers.com/2026-ultimate-draft-kit/udk-andys-projections/?position=FLEX</x:v>
      </x:c>
    </x:row>
    <x:row r="160">
      <x:c r="A160" s="70" t="str">
        <x:v>Adonai Mitchell</x:v>
      </x:c>
      <x:c r="B160" s="69" t="str">
        <x:v>WR</x:v>
      </x:c>
      <x:c r="C160" s="69" t="str">
        <x:v>NYJ</x:v>
      </x:c>
      <x:c r="D160" s="74" t="n">
        <x:v>13</x:v>
      </x:c>
      <x:c r="E160" s="74" t="n">
        <x:v>155</x:v>
      </x:c>
      <x:c r="F160" s="75" t="n">
        <x:v>6.4</x:v>
      </x:c>
      <x:c r="G160" s="76" t="n">
        <x:v>4</x:v>
      </x:c>
      <x:c r="H160" s="76" t="n">
        <x:v>15</x:v>
      </x:c>
      <x:c r="I160" s="76" t="n">
        <x:v>0</x:v>
      </x:c>
      <x:c r="J160" s="76" t="n">
        <x:v>39</x:v>
      </x:c>
      <x:c r="K160" s="76" t="n">
        <x:v>539</x:v>
      </x:c>
      <x:c r="L160" s="76" t="n">
        <x:v>3</x:v>
      </x:c>
      <x:c r="M160" s="76" t="n">
        <x:v>1</x:v>
      </x:c>
      <x:c r="N160" s="73" t="str">
        <x:v>https://www.thefantasyfootballers.com/2026-ultimate-draft-kit/udk-andys-projections/?position=FLEX</x:v>
      </x:c>
    </x:row>
    <x:row r="161">
      <x:c r="A161" s="70" t="str">
        <x:v>Calvin Ridley</x:v>
      </x:c>
      <x:c r="B161" s="69" t="str">
        <x:v>WR</x:v>
      </x:c>
      <x:c r="C161" s="69" t="str">
        <x:v>TEN</x:v>
      </x:c>
      <x:c r="D161" s="74" t="n">
        <x:v>9</x:v>
      </x:c>
      <x:c r="E161" s="74" t="n">
        <x:v>156</x:v>
      </x:c>
      <x:c r="F161" s="75" t="n">
        <x:v>6.2</x:v>
      </x:c>
      <x:c r="G161" s="76" t="n">
        <x:v>2</x:v>
      </x:c>
      <x:c r="H161" s="76" t="n">
        <x:v>10</x:v>
      </x:c>
      <x:c r="I161" s="76" t="n">
        <x:v>0</x:v>
      </x:c>
      <x:c r="J161" s="76" t="n">
        <x:v>39</x:v>
      </x:c>
      <x:c r="K161" s="76" t="n">
        <x:v>493</x:v>
      </x:c>
      <x:c r="L161" s="76" t="n">
        <x:v>3</x:v>
      </x:c>
      <x:c r="M161" s="76" t="n">
        <x:v>1</x:v>
      </x:c>
      <x:c r="N161" s="73" t="str">
        <x:v>https://www.thefantasyfootballers.com/2026-ultimate-draft-kit/udk-andys-projections/?position=FLEX</x:v>
      </x:c>
    </x:row>
    <x:row r="162">
      <x:c r="A162" s="70" t="str">
        <x:v>Samaje Perine</x:v>
      </x:c>
      <x:c r="B162" s="69" t="str">
        <x:v>RB</x:v>
      </x:c>
      <x:c r="C162" s="69" t="str">
        <x:v>CIN</x:v>
      </x:c>
      <x:c r="D162" s="74" t="n">
        <x:v>6</x:v>
      </x:c>
      <x:c r="E162" s="74" t="n">
        <x:v>157</x:v>
      </x:c>
      <x:c r="F162" s="75" t="n">
        <x:v>6.1</x:v>
      </x:c>
      <x:c r="G162" s="76" t="n">
        <x:v>84</x:v>
      </x:c>
      <x:c r="H162" s="76" t="n">
        <x:v>396</x:v>
      </x:c>
      <x:c r="I162" s="76" t="n">
        <x:v>3</x:v>
      </x:c>
      <x:c r="J162" s="76" t="n">
        <x:v>25</x:v>
      </x:c>
      <x:c r="K162" s="76" t="n">
        <x:v>135</x:v>
      </x:c>
      <x:c r="L162" s="76" t="n">
        <x:v>2</x:v>
      </x:c>
      <x:c r="M162" s="76" t="n">
        <x:v>2</x:v>
      </x:c>
      <x:c r="N162" s="73" t="str">
        <x:v>https://www.thefantasyfootballers.com/2026-ultimate-draft-kit/udk-andys-projections/?position=FLEX</x:v>
      </x:c>
    </x:row>
    <x:row r="163">
      <x:c r="A163" s="70" t="str">
        <x:v>Alvin Kamara</x:v>
      </x:c>
      <x:c r="B163" s="69" t="str">
        <x:v>RB</x:v>
      </x:c>
      <x:c r="C163" s="69" t="str">
        <x:v>NO</x:v>
      </x:c>
      <x:c r="D163" s="74" t="n">
        <x:v>8</x:v>
      </x:c>
      <x:c r="E163" s="74" t="n">
        <x:v>158</x:v>
      </x:c>
      <x:c r="F163" s="75" t="n">
        <x:v>6.1</x:v>
      </x:c>
      <x:c r="G163" s="76" t="n">
        <x:v>68</x:v>
      </x:c>
      <x:c r="H163" s="76" t="n">
        <x:v>251</x:v>
      </x:c>
      <x:c r="I163" s="76" t="n">
        <x:v>2</x:v>
      </x:c>
      <x:c r="J163" s="76" t="n">
        <x:v>37</x:v>
      </x:c>
      <x:c r="K163" s="76" t="n">
        <x:v>201</x:v>
      </x:c>
      <x:c r="L163" s="76" t="n">
        <x:v>2</x:v>
      </x:c>
      <x:c r="M163" s="76" t="n">
        <x:v>1</x:v>
      </x:c>
      <x:c r="N163" s="73" t="str">
        <x:v>https://www.thefantasyfootballers.com/2026-ultimate-draft-kit/udk-andys-projections/?position=FLEX</x:v>
      </x:c>
    </x:row>
    <x:row r="164">
      <x:c r="A164" s="70" t="str">
        <x:v>Keaton Mitchell</x:v>
      </x:c>
      <x:c r="B164" s="69" t="str">
        <x:v>RB</x:v>
      </x:c>
      <x:c r="C164" s="69" t="str">
        <x:v>LAC</x:v>
      </x:c>
      <x:c r="D164" s="74" t="n">
        <x:v>7</x:v>
      </x:c>
      <x:c r="E164" s="74" t="n">
        <x:v>159</x:v>
      </x:c>
      <x:c r="F164" s="75" t="n">
        <x:v>6.1</x:v>
      </x:c>
      <x:c r="G164" s="76" t="n">
        <x:v>60</x:v>
      </x:c>
      <x:c r="H164" s="76" t="n">
        <x:v>374</x:v>
      </x:c>
      <x:c r="I164" s="76" t="n">
        <x:v>3</x:v>
      </x:c>
      <x:c r="J164" s="76" t="n">
        <x:v>25</x:v>
      </x:c>
      <x:c r="K164" s="76" t="n">
        <x:v>188</x:v>
      </x:c>
      <x:c r="L164" s="76" t="n">
        <x:v>1</x:v>
      </x:c>
      <x:c r="M164" s="76" t="n">
        <x:v>1</x:v>
      </x:c>
      <x:c r="N164" s="73" t="str">
        <x:v>https://www.thefantasyfootballers.com/2026-ultimate-draft-kit/udk-andys-projections/?position=FLEX</x:v>
      </x:c>
    </x:row>
    <x:row r="165">
      <x:c r="A165" s="70" t="str">
        <x:v>Tyler Allgeier</x:v>
      </x:c>
      <x:c r="B165" s="69" t="str">
        <x:v>RB</x:v>
      </x:c>
      <x:c r="C165" s="69" t="str">
        <x:v>ARI</x:v>
      </x:c>
      <x:c r="D165" s="74" t="n">
        <x:v>14</x:v>
      </x:c>
      <x:c r="E165" s="74" t="n">
        <x:v>160</x:v>
      </x:c>
      <x:c r="F165" s="75" t="n">
        <x:v>6.1</x:v>
      </x:c>
      <x:c r="G165" s="76" t="n">
        <x:v>139</x:v>
      </x:c>
      <x:c r="H165" s="76" t="n">
        <x:v>477</x:v>
      </x:c>
      <x:c r="I165" s="76" t="n">
        <x:v>5</x:v>
      </x:c>
      <x:c r="J165" s="76" t="n">
        <x:v>17</x:v>
      </x:c>
      <x:c r="K165" s="76" t="n">
        <x:v>95</x:v>
      </x:c>
      <x:c r="L165" s="76" t="n">
        <x:v>0</x:v>
      </x:c>
      <x:c r="M165" s="76" t="n">
        <x:v>0</x:v>
      </x:c>
      <x:c r="N165" s="73" t="str">
        <x:v>https://www.thefantasyfootballers.com/2026-ultimate-draft-kit/udk-andys-projections/?position=FLEX</x:v>
      </x:c>
    </x:row>
    <x:row r="166">
      <x:c r="A166" s="70" t="str">
        <x:v>Cooper Kupp</x:v>
      </x:c>
      <x:c r="B166" s="69" t="str">
        <x:v>WR</x:v>
      </x:c>
      <x:c r="C166" s="69" t="str">
        <x:v>SEA</x:v>
      </x:c>
      <x:c r="D166" s="74" t="n">
        <x:v>11</x:v>
      </x:c>
      <x:c r="E166" s="74" t="n">
        <x:v>161</x:v>
      </x:c>
      <x:c r="F166" s="75" t="n">
        <x:v>6.1</x:v>
      </x:c>
      <x:c r="G166" s="76" t="n">
        <x:v>2</x:v>
      </x:c>
      <x:c r="H166" s="76" t="n">
        <x:v>7</x:v>
      </x:c>
      <x:c r="I166" s="76" t="n">
        <x:v>0</x:v>
      </x:c>
      <x:c r="J166" s="76" t="n">
        <x:v>42</x:v>
      </x:c>
      <x:c r="K166" s="76" t="n">
        <x:v>485</x:v>
      </x:c>
      <x:c r="L166" s="76" t="n">
        <x:v>2</x:v>
      </x:c>
      <x:c r="M166" s="76" t="n">
        <x:v>0</x:v>
      </x:c>
      <x:c r="N166" s="73" t="str">
        <x:v>https://www.thefantasyfootballers.com/2026-ultimate-draft-kit/udk-andys-projections/?position=FLEX</x:v>
      </x:c>
    </x:row>
    <x:row r="167">
      <x:c r="A167" s="70" t="str">
        <x:v>Kenyon Sadiq</x:v>
      </x:c>
      <x:c r="B167" s="69" t="str">
        <x:v>TE</x:v>
      </x:c>
      <x:c r="C167" s="69" t="str">
        <x:v>NYJ</x:v>
      </x:c>
      <x:c r="D167" s="74" t="n">
        <x:v>13</x:v>
      </x:c>
      <x:c r="E167" s="74" t="n">
        <x:v>162</x:v>
      </x:c>
      <x:c r="F167" s="75" t="n">
        <x:v>6</x:v>
      </x:c>
      <x:c r="G167" s="76" t="n">
        <x:v>5</x:v>
      </x:c>
      <x:c r="H167" s="76" t="n">
        <x:v>26</x:v>
      </x:c>
      <x:c r="I167" s="76" t="n">
        <x:v>0</x:v>
      </x:c>
      <x:c r="J167" s="76" t="n">
        <x:v>40</x:v>
      </x:c>
      <x:c r="K167" s="76" t="n">
        <x:v>418</x:v>
      </x:c>
      <x:c r="L167" s="76" t="n">
        <x:v>3</x:v>
      </x:c>
      <x:c r="M167" s="76" t="n">
        <x:v>0</x:v>
      </x:c>
      <x:c r="N167" s="73" t="str">
        <x:v>https://www.thefantasyfootballers.com/2026-ultimate-draft-kit/udk-andys-projections/?position=FLEX</x:v>
      </x:c>
    </x:row>
    <x:row r="168">
      <x:c r="A168" s="70" t="str">
        <x:v>Isiah Pacheco</x:v>
      </x:c>
      <x:c r="B168" s="69" t="str">
        <x:v>RB</x:v>
      </x:c>
      <x:c r="C168" s="69" t="str">
        <x:v>DET</x:v>
      </x:c>
      <x:c r="D168" s="74" t="n">
        <x:v>6</x:v>
      </x:c>
      <x:c r="E168" s="74" t="n">
        <x:v>163</x:v>
      </x:c>
      <x:c r="F168" s="75" t="n">
        <x:v>6</x:v>
      </x:c>
      <x:c r="G168" s="76" t="n">
        <x:v>95</x:v>
      </x:c>
      <x:c r="H168" s="76" t="n">
        <x:v>390</x:v>
      </x:c>
      <x:c r="I168" s="76" t="n">
        <x:v>4</x:v>
      </x:c>
      <x:c r="J168" s="76" t="n">
        <x:v>21</x:v>
      </x:c>
      <x:c r="K168" s="76" t="n">
        <x:v>145</x:v>
      </x:c>
      <x:c r="L168" s="76" t="n">
        <x:v>1</x:v>
      </x:c>
      <x:c r="M168" s="76" t="n">
        <x:v>1</x:v>
      </x:c>
      <x:c r="N168" s="73" t="str">
        <x:v>https://www.thefantasyfootballers.com/2026-ultimate-draft-kit/udk-andys-projections/?position=FLEX</x:v>
      </x:c>
    </x:row>
    <x:row r="169">
      <x:c r="A169" s="70" t="str">
        <x:v>Darren Waller</x:v>
      </x:c>
      <x:c r="B169" s="69" t="str">
        <x:v>TE</x:v>
      </x:c>
      <x:c r="C169" s="69" t="str">
        <x:v>CAR</x:v>
      </x:c>
      <x:c r="D169" s="74" t="n">
        <x:v>5</x:v>
      </x:c>
      <x:c r="E169" s="74" t="n">
        <x:v>164</x:v>
      </x:c>
      <x:c r="F169" s="75" t="n">
        <x:v>6</x:v>
      </x:c>
      <x:c r="G169" s="76" t="n">
        <x:v>2</x:v>
      </x:c>
      <x:c r="H169" s="76" t="n">
        <x:v>8</x:v>
      </x:c>
      <x:c r="I169" s="76" t="n">
        <x:v>0</x:v>
      </x:c>
      <x:c r="J169" s="76" t="n">
        <x:v>38</x:v>
      </x:c>
      <x:c r="K169" s="76" t="n">
        <x:v>412</x:v>
      </x:c>
      <x:c r="L169" s="76" t="n">
        <x:v>4</x:v>
      </x:c>
      <x:c r="M169" s="76" t="n">
        <x:v>1</x:v>
      </x:c>
      <x:c r="N169" s="73" t="str">
        <x:v>https://www.thefantasyfootballers.com/2026-ultimate-draft-kit/udk-andys-projections/?position=FLEX</x:v>
      </x:c>
    </x:row>
    <x:row r="170">
      <x:c r="A170" s="70" t="str">
        <x:v>Dylan Sampson</x:v>
      </x:c>
      <x:c r="B170" s="69" t="str">
        <x:v>RB</x:v>
      </x:c>
      <x:c r="C170" s="69" t="str">
        <x:v>CLE</x:v>
      </x:c>
      <x:c r="D170" s="74" t="n">
        <x:v>11</x:v>
      </x:c>
      <x:c r="E170" s="74" t="n">
        <x:v>165</x:v>
      </x:c>
      <x:c r="F170" s="75" t="n">
        <x:v>5.9</x:v>
      </x:c>
      <x:c r="G170" s="76" t="n">
        <x:v>88</x:v>
      </x:c>
      <x:c r="H170" s="76" t="n">
        <x:v>239</x:v>
      </x:c>
      <x:c r="I170" s="76" t="n">
        <x:v>1</x:v>
      </x:c>
      <x:c r="J170" s="76" t="n">
        <x:v>35</x:v>
      </x:c>
      <x:c r="K170" s="76" t="n">
        <x:v>285</x:v>
      </x:c>
      <x:c r="L170" s="76" t="n">
        <x:v>2</x:v>
      </x:c>
      <x:c r="M170" s="76" t="n">
        <x:v>1</x:v>
      </x:c>
      <x:c r="N170" s="73" t="str">
        <x:v>https://www.thefantasyfootballers.com/2026-ultimate-draft-kit/udk-andys-projections/?position=FLEX</x:v>
      </x:c>
    </x:row>
    <x:row r="171">
      <x:c r="A171" s="70" t="str">
        <x:v>Darius Slayton</x:v>
      </x:c>
      <x:c r="B171" s="69" t="str">
        <x:v>WR</x:v>
      </x:c>
      <x:c r="C171" s="69" t="str">
        <x:v>NYG</x:v>
      </x:c>
      <x:c r="D171" s="74" t="n">
        <x:v>8</x:v>
      </x:c>
      <x:c r="E171" s="74" t="n">
        <x:v>166</x:v>
      </x:c>
      <x:c r="F171" s="75" t="n">
        <x:v>5.9</x:v>
      </x:c>
      <x:c r="G171" s="76" t="n">
        <x:v>1</x:v>
      </x:c>
      <x:c r="H171" s="76" t="n">
        <x:v>5</x:v>
      </x:c>
      <x:c r="I171" s="76" t="n">
        <x:v>0</x:v>
      </x:c>
      <x:c r="J171" s="76" t="n">
        <x:v>35</x:v>
      </x:c>
      <x:c r="K171" s="76" t="n">
        <x:v>483</x:v>
      </x:c>
      <x:c r="L171" s="76" t="n">
        <x:v>3</x:v>
      </x:c>
      <x:c r="M171" s="76" t="n">
        <x:v>0</x:v>
      </x:c>
      <x:c r="N171" s="73" t="str">
        <x:v>https://www.thefantasyfootballers.com/2026-ultimate-draft-kit/udk-andys-projections/?position=FLEX</x:v>
      </x:c>
    </x:row>
    <x:row r="172">
      <x:c r="A172" s="70" t="str">
        <x:v>Isaac TeSlaa</x:v>
      </x:c>
      <x:c r="B172" s="69" t="str">
        <x:v>WR</x:v>
      </x:c>
      <x:c r="C172" s="69" t="str">
        <x:v>DET</x:v>
      </x:c>
      <x:c r="D172" s="74" t="n">
        <x:v>6</x:v>
      </x:c>
      <x:c r="E172" s="74" t="n">
        <x:v>167</x:v>
      </x:c>
      <x:c r="F172" s="75" t="n">
        <x:v>5.9</x:v>
      </x:c>
      <x:c r="G172" s="76" t="n">
        <x:v>3</x:v>
      </x:c>
      <x:c r="H172" s="76" t="n">
        <x:v>15</x:v>
      </x:c>
      <x:c r="I172" s="76" t="n">
        <x:v>0</x:v>
      </x:c>
      <x:c r="J172" s="76" t="n">
        <x:v>30</x:v>
      </x:c>
      <x:c r="K172" s="76" t="n">
        <x:v>408</x:v>
      </x:c>
      <x:c r="L172" s="76" t="n">
        <x:v>5</x:v>
      </x:c>
      <x:c r="M172" s="76" t="n">
        <x:v>0</x:v>
      </x:c>
      <x:c r="N172" s="73" t="str">
        <x:v>https://www.thefantasyfootballers.com/2026-ultimate-draft-kit/udk-andys-projections/?position=FLEX</x:v>
      </x:c>
    </x:row>
    <x:row r="173">
      <x:c r="A173" s="70" t="str">
        <x:v>Evan Engram</x:v>
      </x:c>
      <x:c r="B173" s="69" t="str">
        <x:v>TE</x:v>
      </x:c>
      <x:c r="C173" s="69" t="str">
        <x:v>DEN</x:v>
      </x:c>
      <x:c r="D173" s="74" t="n">
        <x:v>10</x:v>
      </x:c>
      <x:c r="E173" s="74" t="n">
        <x:v>168</x:v>
      </x:c>
      <x:c r="F173" s="75" t="n">
        <x:v>5.9</x:v>
      </x:c>
      <x:c r="G173" s="76" t="n">
        <x:v>2</x:v>
      </x:c>
      <x:c r="H173" s="76" t="n">
        <x:v>7</x:v>
      </x:c>
      <x:c r="I173" s="76" t="n">
        <x:v>0</x:v>
      </x:c>
      <x:c r="J173" s="76" t="n">
        <x:v>43</x:v>
      </x:c>
      <x:c r="K173" s="76" t="n">
        <x:v>408</x:v>
      </x:c>
      <x:c r="L173" s="76" t="n">
        <x:v>3</x:v>
      </x:c>
      <x:c r="M173" s="76" t="n">
        <x:v>0</x:v>
      </x:c>
      <x:c r="N173" s="73" t="str">
        <x:v>https://www.thefantasyfootballers.com/2026-ultimate-draft-kit/udk-andys-projections/?position=FLEX</x:v>
      </x:c>
    </x:row>
    <x:row r="174">
      <x:c r="A174" s="70" t="str">
        <x:v>Braelon Allen</x:v>
      </x:c>
      <x:c r="B174" s="69" t="str">
        <x:v>RB</x:v>
      </x:c>
      <x:c r="C174" s="69" t="str">
        <x:v>NYJ</x:v>
      </x:c>
      <x:c r="D174" s="74" t="n">
        <x:v>13</x:v>
      </x:c>
      <x:c r="E174" s="74" t="n">
        <x:v>169</x:v>
      </x:c>
      <x:c r="F174" s="75" t="n">
        <x:v>5.8</x:v>
      </x:c>
      <x:c r="G174" s="76" t="n">
        <x:v>136</x:v>
      </x:c>
      <x:c r="H174" s="76" t="n">
        <x:v>592</x:v>
      </x:c>
      <x:c r="I174" s="76" t="n">
        <x:v>3</x:v>
      </x:c>
      <x:c r="J174" s="76" t="n">
        <x:v>14</x:v>
      </x:c>
      <x:c r="K174" s="76" t="n">
        <x:v>139</x:v>
      </x:c>
      <x:c r="L174" s="76" t="n">
        <x:v>0</x:v>
      </x:c>
      <x:c r="M174" s="76" t="n">
        <x:v>2</x:v>
      </x:c>
      <x:c r="N174" s="73" t="str">
        <x:v>https://www.thefantasyfootballers.com/2026-ultimate-draft-kit/udk-andys-projections/?position=FLEX</x:v>
      </x:c>
    </x:row>
    <x:row r="175">
      <x:c r="A175" s="70" t="str">
        <x:v>Cyrus Allen</x:v>
      </x:c>
      <x:c r="B175" s="69" t="str">
        <x:v>WR</x:v>
      </x:c>
      <x:c r="C175" s="69" t="str">
        <x:v>KC</x:v>
      </x:c>
      <x:c r="D175" s="74" t="n">
        <x:v>5</x:v>
      </x:c>
      <x:c r="E175" s="74" t="n">
        <x:v>170</x:v>
      </x:c>
      <x:c r="F175" s="75" t="n">
        <x:v>5.8</x:v>
      </x:c>
      <x:c r="G175" s="76" t="n">
        <x:v>13</x:v>
      </x:c>
      <x:c r="H175" s="76" t="n">
        <x:v>85</x:v>
      </x:c>
      <x:c r="I175" s="76" t="n">
        <x:v>0</x:v>
      </x:c>
      <x:c r="J175" s="76" t="n">
        <x:v>30</x:v>
      </x:c>
      <x:c r="K175" s="76" t="n">
        <x:v>408</x:v>
      </x:c>
      <x:c r="L175" s="76" t="n">
        <x:v>3</x:v>
      </x:c>
      <x:c r="M175" s="76" t="n">
        <x:v>0</x:v>
      </x:c>
      <x:c r="N175" s="73" t="str">
        <x:v>https://www.thefantasyfootballers.com/2026-ultimate-draft-kit/udk-andys-projections/?position=FLEX</x:v>
      </x:c>
    </x:row>
    <x:row r="176">
      <x:c r="A176" s="70" t="str">
        <x:v>Kimani Vidal</x:v>
      </x:c>
      <x:c r="B176" s="69" t="str">
        <x:v>RB</x:v>
      </x:c>
      <x:c r="C176" s="69" t="str">
        <x:v>LAC</x:v>
      </x:c>
      <x:c r="D176" s="74" t="n">
        <x:v>7</x:v>
      </x:c>
      <x:c r="E176" s="74" t="n">
        <x:v>171</x:v>
      </x:c>
      <x:c r="F176" s="75" t="n">
        <x:v>5.8</x:v>
      </x:c>
      <x:c r="G176" s="76" t="n">
        <x:v>90</x:v>
      </x:c>
      <x:c r="H176" s="76" t="n">
        <x:v>501</x:v>
      </x:c>
      <x:c r="I176" s="76" t="n">
        <x:v>2</x:v>
      </x:c>
      <x:c r="J176" s="76" t="n">
        <x:v>18</x:v>
      </x:c>
      <x:c r="K176" s="76" t="n">
        <x:v>151</x:v>
      </x:c>
      <x:c r="L176" s="76" t="n">
        <x:v>1</x:v>
      </x:c>
      <x:c r="M176" s="76" t="n">
        <x:v>1</x:v>
      </x:c>
      <x:c r="N176" s="73" t="str">
        <x:v>https://www.thefantasyfootballers.com/2026-ultimate-draft-kit/udk-andys-projections/?position=FLEX</x:v>
      </x:c>
    </x:row>
    <x:row r="177">
      <x:c r="A177" s="70" t="str">
        <x:v>Jerry Jeudy</x:v>
      </x:c>
      <x:c r="B177" s="69" t="str">
        <x:v>WR</x:v>
      </x:c>
      <x:c r="C177" s="69" t="str">
        <x:v>CLE</x:v>
      </x:c>
      <x:c r="D177" s="74" t="n">
        <x:v>11</x:v>
      </x:c>
      <x:c r="E177" s="74" t="n">
        <x:v>172</x:v>
      </x:c>
      <x:c r="F177" s="75" t="n">
        <x:v>5.8</x:v>
      </x:c>
      <x:c r="G177" s="76" t="n">
        <x:v>1</x:v>
      </x:c>
      <x:c r="H177" s="76" t="n">
        <x:v>4</x:v>
      </x:c>
      <x:c r="I177" s="76" t="n">
        <x:v>0</x:v>
      </x:c>
      <x:c r="J177" s="76" t="n">
        <x:v>35</x:v>
      </x:c>
      <x:c r="K177" s="76" t="n">
        <x:v>525</x:v>
      </x:c>
      <x:c r="L177" s="76" t="n">
        <x:v>2</x:v>
      </x:c>
      <x:c r="M177" s="76" t="n">
        <x:v>1</x:v>
      </x:c>
      <x:c r="N177" s="73" t="str">
        <x:v>https://www.thefantasyfootballers.com/2026-ultimate-draft-kit/udk-andys-projections/?position=FLEX</x:v>
      </x:c>
    </x:row>
    <x:row r="178">
      <x:c r="A178" s="70" t="str">
        <x:v>Zach Charbonnet</x:v>
      </x:c>
      <x:c r="B178" s="69" t="str">
        <x:v>RB</x:v>
      </x:c>
      <x:c r="C178" s="69" t="str">
        <x:v>SEA</x:v>
      </x:c>
      <x:c r="D178" s="74" t="n">
        <x:v>11</x:v>
      </x:c>
      <x:c r="E178" s="74" t="n">
        <x:v>173</x:v>
      </x:c>
      <x:c r="F178" s="75" t="n">
        <x:v>5.8</x:v>
      </x:c>
      <x:c r="G178" s="76" t="n">
        <x:v>101</x:v>
      </x:c>
      <x:c r="H178" s="76" t="n">
        <x:v>415</x:v>
      </x:c>
      <x:c r="I178" s="76" t="n">
        <x:v>6</x:v>
      </x:c>
      <x:c r="J178" s="76" t="n">
        <x:v>12</x:v>
      </x:c>
      <x:c r="K178" s="76" t="n">
        <x:v>76</x:v>
      </x:c>
      <x:c r="L178" s="76" t="n">
        <x:v>0</x:v>
      </x:c>
      <x:c r="M178" s="76" t="n">
        <x:v>1</x:v>
      </x:c>
      <x:c r="N178" s="73" t="str">
        <x:v>https://www.thefantasyfootballers.com/2026-ultimate-draft-kit/udk-andys-projections/?position=FLEX</x:v>
      </x:c>
    </x:row>
    <x:row r="179">
      <x:c r="A179" s="70" t="str">
        <x:v>Xavier Hutchinson</x:v>
      </x:c>
      <x:c r="B179" s="69" t="str">
        <x:v>WR</x:v>
      </x:c>
      <x:c r="C179" s="69" t="str">
        <x:v>HOU</x:v>
      </x:c>
      <x:c r="D179" s="74" t="n">
        <x:v>8</x:v>
      </x:c>
      <x:c r="E179" s="74" t="n">
        <x:v>174</x:v>
      </x:c>
      <x:c r="F179" s="75" t="n">
        <x:v>5.7</x:v>
      </x:c>
      <x:c r="G179" s="76" t="n">
        <x:v>5</x:v>
      </x:c>
      <x:c r="H179" s="76" t="n">
        <x:v>29</x:v>
      </x:c>
      <x:c r="I179" s="76" t="n">
        <x:v>0</x:v>
      </x:c>
      <x:c r="J179" s="76" t="n">
        <x:v>35</x:v>
      </x:c>
      <x:c r="K179" s="76" t="n">
        <x:v>422</x:v>
      </x:c>
      <x:c r="L179" s="76" t="n">
        <x:v>3</x:v>
      </x:c>
      <x:c r="M179" s="76" t="n">
        <x:v>0</x:v>
      </x:c>
      <x:c r="N179" s="73" t="str">
        <x:v>https://www.thefantasyfootballers.com/2026-ultimate-draft-kit/udk-andys-projections/?position=FLEX</x:v>
      </x:c>
    </x:row>
    <x:row r="180">
      <x:c r="A180" s="70" t="str">
        <x:v>Keon Coleman</x:v>
      </x:c>
      <x:c r="B180" s="69" t="str">
        <x:v>WR</x:v>
      </x:c>
      <x:c r="C180" s="69" t="str">
        <x:v>BUF</x:v>
      </x:c>
      <x:c r="D180" s="74" t="n">
        <x:v>7</x:v>
      </x:c>
      <x:c r="E180" s="74" t="n">
        <x:v>175</x:v>
      </x:c>
      <x:c r="F180" s="75" t="n">
        <x:v>5.7</x:v>
      </x:c>
      <x:c r="G180" s="76" t="n">
        <x:v>0</x:v>
      </x:c>
      <x:c r="H180" s="76" t="n">
        <x:v>0</x:v>
      </x:c>
      <x:c r="I180" s="76" t="n">
        <x:v>0</x:v>
      </x:c>
      <x:c r="J180" s="76" t="n">
        <x:v>37</x:v>
      </x:c>
      <x:c r="K180" s="76" t="n">
        <x:v>393</x:v>
      </x:c>
      <x:c r="L180" s="76" t="n">
        <x:v>4</x:v>
      </x:c>
      <x:c r="M180" s="76" t="n">
        <x:v>1</x:v>
      </x:c>
      <x:c r="N180" s="73" t="str">
        <x:v>https://www.thefantasyfootballers.com/2026-ultimate-draft-kit/udk-andys-projections/?position=FLEX</x:v>
      </x:c>
    </x:row>
    <x:row r="181">
      <x:c r="A181" s="70" t="str">
        <x:v>Ryan Flournoy</x:v>
      </x:c>
      <x:c r="B181" s="69" t="str">
        <x:v>WR</x:v>
      </x:c>
      <x:c r="C181" s="69" t="str">
        <x:v>DAL</x:v>
      </x:c>
      <x:c r="D181" s="74" t="n">
        <x:v>14</x:v>
      </x:c>
      <x:c r="E181" s="74" t="n">
        <x:v>176</x:v>
      </x:c>
      <x:c r="F181" s="75" t="n">
        <x:v>5.7</x:v>
      </x:c>
      <x:c r="G181" s="76" t="n">
        <x:v>8</x:v>
      </x:c>
      <x:c r="H181" s="76" t="n">
        <x:v>38</x:v>
      </x:c>
      <x:c r="I181" s="76" t="n">
        <x:v>0</x:v>
      </x:c>
      <x:c r="J181" s="76" t="n">
        <x:v>34</x:v>
      </x:c>
      <x:c r="K181" s="76" t="n">
        <x:v>412</x:v>
      </x:c>
      <x:c r="L181" s="76" t="n">
        <x:v>3</x:v>
      </x:c>
      <x:c r="M181" s="76" t="n">
        <x:v>0</x:v>
      </x:c>
      <x:c r="N181" s="73" t="str">
        <x:v>https://www.thefantasyfootballers.com/2026-ultimate-draft-kit/udk-andys-projections/?position=FLEX</x:v>
      </x:c>
    </x:row>
    <x:row r="182">
      <x:c r="A182" s="70" t="str">
        <x:v>Germie Bernard</x:v>
      </x:c>
      <x:c r="B182" s="69" t="str">
        <x:v>WR</x:v>
      </x:c>
      <x:c r="C182" s="69" t="str">
        <x:v>PIT</x:v>
      </x:c>
      <x:c r="D182" s="74" t="n">
        <x:v>9</x:v>
      </x:c>
      <x:c r="E182" s="74" t="n">
        <x:v>177</x:v>
      </x:c>
      <x:c r="F182" s="75" t="n">
        <x:v>5.7</x:v>
      </x:c>
      <x:c r="G182" s="76" t="n">
        <x:v>8</x:v>
      </x:c>
      <x:c r="H182" s="76" t="n">
        <x:v>48</x:v>
      </x:c>
      <x:c r="I182" s="76" t="n">
        <x:v>0</x:v>
      </x:c>
      <x:c r="J182" s="76" t="n">
        <x:v>34</x:v>
      </x:c>
      <x:c r="K182" s="76" t="n">
        <x:v>420</x:v>
      </x:c>
      <x:c r="L182" s="76" t="n">
        <x:v>3</x:v>
      </x:c>
      <x:c r="M182" s="76" t="n">
        <x:v>1</x:v>
      </x:c>
      <x:c r="N182" s="73" t="str">
        <x:v>https://www.thefantasyfootballers.com/2026-ultimate-draft-kit/udk-andys-projections/?position=FLEX</x:v>
      </x:c>
    </x:row>
    <x:row r="183">
      <x:c r="A183" s="70" t="str">
        <x:v>Jalen McMillan</x:v>
      </x:c>
      <x:c r="B183" s="69" t="str">
        <x:v>WR</x:v>
      </x:c>
      <x:c r="C183" s="69" t="str">
        <x:v>TB</x:v>
      </x:c>
      <x:c r="D183" s="74" t="n">
        <x:v>10</x:v>
      </x:c>
      <x:c r="E183" s="74" t="n">
        <x:v>178</x:v>
      </x:c>
      <x:c r="F183" s="75" t="n">
        <x:v>5.6</x:v>
      </x:c>
      <x:c r="G183" s="76" t="n">
        <x:v>4</x:v>
      </x:c>
      <x:c r="H183" s="76" t="n">
        <x:v>21</x:v>
      </x:c>
      <x:c r="I183" s="76" t="n">
        <x:v>0</x:v>
      </x:c>
      <x:c r="J183" s="76" t="n">
        <x:v>34</x:v>
      </x:c>
      <x:c r="K183" s="76" t="n">
        <x:v>421</x:v>
      </x:c>
      <x:c r="L183" s="76" t="n">
        <x:v>3</x:v>
      </x:c>
      <x:c r="M183" s="76" t="n">
        <x:v>0</x:v>
      </x:c>
      <x:c r="N183" s="73" t="str">
        <x:v>https://www.thefantasyfootballers.com/2026-ultimate-draft-kit/udk-andys-projections/?position=FLEX</x:v>
      </x:c>
    </x:row>
    <x:row r="184">
      <x:c r="A184" s="70" t="str">
        <x:v>Rashod Bateman</x:v>
      </x:c>
      <x:c r="B184" s="69" t="str">
        <x:v>WR</x:v>
      </x:c>
      <x:c r="C184" s="69" t="str">
        <x:v>BAL</x:v>
      </x:c>
      <x:c r="D184" s="74" t="n">
        <x:v>13</x:v>
      </x:c>
      <x:c r="E184" s="74" t="n">
        <x:v>179</x:v>
      </x:c>
      <x:c r="F184" s="75" t="n">
        <x:v>5.6</x:v>
      </x:c>
      <x:c r="G184" s="76" t="n">
        <x:v>2</x:v>
      </x:c>
      <x:c r="H184" s="76" t="n">
        <x:v>14</x:v>
      </x:c>
      <x:c r="I184" s="76" t="n">
        <x:v>0</x:v>
      </x:c>
      <x:c r="J184" s="76" t="n">
        <x:v>34</x:v>
      </x:c>
      <x:c r="K184" s="76" t="n">
        <x:v>418</x:v>
      </x:c>
      <x:c r="L184" s="76" t="n">
        <x:v>3</x:v>
      </x:c>
      <x:c r="M184" s="76" t="n">
        <x:v>0</x:v>
      </x:c>
      <x:c r="N184" s="73" t="str">
        <x:v>https://www.thefantasyfootballers.com/2026-ultimate-draft-kit/udk-andys-projections/?position=FLEX</x:v>
      </x:c>
    </x:row>
    <x:row r="185">
      <x:c r="A185" s="70" t="str">
        <x:v>Elijah Arroyo</x:v>
      </x:c>
      <x:c r="B185" s="69" t="str">
        <x:v>TE</x:v>
      </x:c>
      <x:c r="C185" s="69" t="str">
        <x:v>SEA</x:v>
      </x:c>
      <x:c r="D185" s="74" t="n">
        <x:v>11</x:v>
      </x:c>
      <x:c r="E185" s="74" t="n">
        <x:v>180</x:v>
      </x:c>
      <x:c r="F185" s="75" t="n">
        <x:v>5.6</x:v>
      </x:c>
      <x:c r="G185" s="76" t="n">
        <x:v>2</x:v>
      </x:c>
      <x:c r="H185" s="76" t="n">
        <x:v>11</x:v>
      </x:c>
      <x:c r="I185" s="76" t="n">
        <x:v>0</x:v>
      </x:c>
      <x:c r="J185" s="76" t="n">
        <x:v>38</x:v>
      </x:c>
      <x:c r="K185" s="76" t="n">
        <x:v>418</x:v>
      </x:c>
      <x:c r="L185" s="76" t="n">
        <x:v>3</x:v>
      </x:c>
      <x:c r="M185" s="76" t="n">
        <x:v>1</x:v>
      </x:c>
      <x:c r="N185" s="73" t="str">
        <x:v>https://www.thefantasyfootballers.com/2026-ultimate-draft-kit/udk-andys-projections/?position=FLEX</x:v>
      </x:c>
    </x:row>
    <x:row r="186">
      <x:c r="A186" s="70" t="str">
        <x:v>Darnell Mooney</x:v>
      </x:c>
      <x:c r="B186" s="69" t="str">
        <x:v>WR</x:v>
      </x:c>
      <x:c r="C186" s="69" t="str">
        <x:v>NYG</x:v>
      </x:c>
      <x:c r="D186" s="74" t="n">
        <x:v>8</x:v>
      </x:c>
      <x:c r="E186" s="74" t="n">
        <x:v>181</x:v>
      </x:c>
      <x:c r="F186" s="75" t="n">
        <x:v>5.5</x:v>
      </x:c>
      <x:c r="G186" s="76" t="n">
        <x:v>3</x:v>
      </x:c>
      <x:c r="H186" s="76" t="n">
        <x:v>17</x:v>
      </x:c>
      <x:c r="I186" s="76" t="n">
        <x:v>0</x:v>
      </x:c>
      <x:c r="J186" s="76" t="n">
        <x:v>33</x:v>
      </x:c>
      <x:c r="K186" s="76" t="n">
        <x:v>456</x:v>
      </x:c>
      <x:c r="L186" s="76" t="n">
        <x:v>2</x:v>
      </x:c>
      <x:c r="M186" s="76" t="n">
        <x:v>0</x:v>
      </x:c>
      <x:c r="N186" s="73" t="str">
        <x:v>https://www.thefantasyfootballers.com/2026-ultimate-draft-kit/udk-andys-projections/?position=FLEX</x:v>
      </x:c>
    </x:row>
    <x:row r="187">
      <x:c r="A187" s="70" t="str">
        <x:v>Antonio Williams</x:v>
      </x:c>
      <x:c r="B187" s="69" t="str">
        <x:v>WR</x:v>
      </x:c>
      <x:c r="C187" s="69" t="str">
        <x:v>WAS</x:v>
      </x:c>
      <x:c r="D187" s="74" t="n">
        <x:v>7</x:v>
      </x:c>
      <x:c r="E187" s="74" t="n">
        <x:v>182</x:v>
      </x:c>
      <x:c r="F187" s="75" t="n">
        <x:v>5.5</x:v>
      </x:c>
      <x:c r="G187" s="76" t="n">
        <x:v>8</x:v>
      </x:c>
      <x:c r="H187" s="76" t="n">
        <x:v>48</x:v>
      </x:c>
      <x:c r="I187" s="76" t="n">
        <x:v>0</x:v>
      </x:c>
      <x:c r="J187" s="76" t="n">
        <x:v>33</x:v>
      </x:c>
      <x:c r="K187" s="76" t="n">
        <x:v>406</x:v>
      </x:c>
      <x:c r="L187" s="76" t="n">
        <x:v>3</x:v>
      </x:c>
      <x:c r="M187" s="76" t="n">
        <x:v>1</x:v>
      </x:c>
      <x:c r="N187" s="73" t="str">
        <x:v>https://www.thefantasyfootballers.com/2026-ultimate-draft-kit/udk-andys-projections/?position=FLEX</x:v>
      </x:c>
    </x:row>
    <x:row r="188">
      <x:c r="A188" s="70" t="str">
        <x:v>Theo Johnson</x:v>
      </x:c>
      <x:c r="B188" s="69" t="str">
        <x:v>TE</x:v>
      </x:c>
      <x:c r="C188" s="69" t="str">
        <x:v>NYG</x:v>
      </x:c>
      <x:c r="D188" s="74" t="n">
        <x:v>8</x:v>
      </x:c>
      <x:c r="E188" s="74" t="n">
        <x:v>183</x:v>
      </x:c>
      <x:c r="F188" s="75" t="n">
        <x:v>5.5</x:v>
      </x:c>
      <x:c r="G188" s="76" t="n">
        <x:v>2</x:v>
      </x:c>
      <x:c r="H188" s="76" t="n">
        <x:v>7</x:v>
      </x:c>
      <x:c r="I188" s="76" t="n">
        <x:v>0</x:v>
      </x:c>
      <x:c r="J188" s="76" t="n">
        <x:v>35</x:v>
      </x:c>
      <x:c r="K188" s="76" t="n">
        <x:v>395</x:v>
      </x:c>
      <x:c r="L188" s="76" t="n">
        <x:v>3</x:v>
      </x:c>
      <x:c r="M188" s="76" t="n">
        <x:v>1</x:v>
      </x:c>
      <x:c r="N188" s="73" t="str">
        <x:v>https://www.thefantasyfootballers.com/2026-ultimate-draft-kit/udk-andys-projections/?position=FLEX</x:v>
      </x:c>
    </x:row>
    <x:row r="189">
      <x:c r="A189" s="70" t="str">
        <x:v>Mason Taylor</x:v>
      </x:c>
      <x:c r="B189" s="69" t="str">
        <x:v>TE</x:v>
      </x:c>
      <x:c r="C189" s="69" t="str">
        <x:v>NYJ</x:v>
      </x:c>
      <x:c r="D189" s="74" t="n">
        <x:v>13</x:v>
      </x:c>
      <x:c r="E189" s="74" t="n">
        <x:v>184</x:v>
      </x:c>
      <x:c r="F189" s="75" t="n">
        <x:v>5.4</x:v>
      </x:c>
      <x:c r="G189" s="76" t="n">
        <x:v>0</x:v>
      </x:c>
      <x:c r="H189" s="76" t="n">
        <x:v>0</x:v>
      </x:c>
      <x:c r="I189" s="76" t="n">
        <x:v>0</x:v>
      </x:c>
      <x:c r="J189" s="76" t="n">
        <x:v>43</x:v>
      </x:c>
      <x:c r="K189" s="76" t="n">
        <x:v>365</x:v>
      </x:c>
      <x:c r="L189" s="76" t="n">
        <x:v>2</x:v>
      </x:c>
      <x:c r="M189" s="76" t="n">
        <x:v>0</x:v>
      </x:c>
      <x:c r="N189" s="73" t="str">
        <x:v>https://www.thefantasyfootballers.com/2026-ultimate-draft-kit/udk-andys-projections/?position=FLEX</x:v>
      </x:c>
    </x:row>
    <x:row r="190">
      <x:c r="A190" s="70" t="str">
        <x:v>Tez Johnson</x:v>
      </x:c>
      <x:c r="B190" s="69" t="str">
        <x:v>WR</x:v>
      </x:c>
      <x:c r="C190" s="69" t="str">
        <x:v>TB</x:v>
      </x:c>
      <x:c r="D190" s="74" t="n">
        <x:v>10</x:v>
      </x:c>
      <x:c r="E190" s="74" t="n">
        <x:v>185</x:v>
      </x:c>
      <x:c r="F190" s="75" t="n">
        <x:v>5.4</x:v>
      </x:c>
      <x:c r="G190" s="76" t="n">
        <x:v>8</x:v>
      </x:c>
      <x:c r="H190" s="76" t="n">
        <x:v>52</x:v>
      </x:c>
      <x:c r="I190" s="76" t="n">
        <x:v>0</x:v>
      </x:c>
      <x:c r="J190" s="76" t="n">
        <x:v>32</x:v>
      </x:c>
      <x:c r="K190" s="76" t="n">
        <x:v>371</x:v>
      </x:c>
      <x:c r="L190" s="76" t="n">
        <x:v>3</x:v>
      </x:c>
      <x:c r="M190" s="76" t="n">
        <x:v>0</x:v>
      </x:c>
      <x:c r="N190" s="73" t="str">
        <x:v>https://www.thefantasyfootballers.com/2026-ultimate-draft-kit/udk-andys-projections/?position=FLEX</x:v>
      </x:c>
    </x:row>
    <x:row r="191">
      <x:c r="A191" s="70" t="str">
        <x:v>David Njoku</x:v>
      </x:c>
      <x:c r="B191" s="69" t="str">
        <x:v>TE</x:v>
      </x:c>
      <x:c r="C191" s="69" t="str">
        <x:v>LAC</x:v>
      </x:c>
      <x:c r="D191" s="74" t="n">
        <x:v>7</x:v>
      </x:c>
      <x:c r="E191" s="74" t="n">
        <x:v>186</x:v>
      </x:c>
      <x:c r="F191" s="75" t="n">
        <x:v>5.3</x:v>
      </x:c>
      <x:c r="G191" s="76" t="n">
        <x:v>0</x:v>
      </x:c>
      <x:c r="H191" s="76" t="n">
        <x:v>0</x:v>
      </x:c>
      <x:c r="I191" s="76" t="n">
        <x:v>0</x:v>
      </x:c>
      <x:c r="J191" s="76" t="n">
        <x:v>35</x:v>
      </x:c>
      <x:c r="K191" s="76" t="n">
        <x:v>322</x:v>
      </x:c>
      <x:c r="L191" s="76" t="n">
        <x:v>4</x:v>
      </x:c>
      <x:c r="M191" s="76" t="n">
        <x:v>0</x:v>
      </x:c>
      <x:c r="N191" s="73" t="str">
        <x:v>https://www.thefantasyfootballers.com/2026-ultimate-draft-kit/udk-andys-projections/?position=FLEX</x:v>
      </x:c>
    </x:row>
    <x:row r="192">
      <x:c r="A192" s="70" t="str">
        <x:v>Ted Hurst III</x:v>
      </x:c>
      <x:c r="B192" s="69" t="str">
        <x:v>WR</x:v>
      </x:c>
      <x:c r="C192" s="69" t="str">
        <x:v>TB</x:v>
      </x:c>
      <x:c r="D192" s="74" t="n">
        <x:v>10</x:v>
      </x:c>
      <x:c r="E192" s="74" t="n">
        <x:v>187</x:v>
      </x:c>
      <x:c r="F192" s="75" t="n">
        <x:v>5.3</x:v>
      </x:c>
      <x:c r="G192" s="76" t="n">
        <x:v>5</x:v>
      </x:c>
      <x:c r="H192" s="76" t="n">
        <x:v>36</x:v>
      </x:c>
      <x:c r="I192" s="76" t="n">
        <x:v>0</x:v>
      </x:c>
      <x:c r="J192" s="76" t="n">
        <x:v>30</x:v>
      </x:c>
      <x:c r="K192" s="76" t="n">
        <x:v>390</x:v>
      </x:c>
      <x:c r="L192" s="76" t="n">
        <x:v>3</x:v>
      </x:c>
      <x:c r="M192" s="76" t="n">
        <x:v>0</x:v>
      </x:c>
      <x:c r="N192" s="73" t="str">
        <x:v>https://www.thefantasyfootballers.com/2026-ultimate-draft-kit/udk-andys-projections/?position=FLEX</x:v>
      </x:c>
    </x:row>
    <x:row r="193">
      <x:c r="A193" s="70" t="str">
        <x:v>Zachariah Branch</x:v>
      </x:c>
      <x:c r="B193" s="69" t="str">
        <x:v>WR</x:v>
      </x:c>
      <x:c r="C193" s="69" t="str">
        <x:v>ATL</x:v>
      </x:c>
      <x:c r="D193" s="74" t="n">
        <x:v>11</x:v>
      </x:c>
      <x:c r="E193" s="74" t="n">
        <x:v>188</x:v>
      </x:c>
      <x:c r="F193" s="75" t="n">
        <x:v>5.2</x:v>
      </x:c>
      <x:c r="G193" s="76" t="n">
        <x:v>0</x:v>
      </x:c>
      <x:c r="H193" s="76" t="n">
        <x:v>83</x:v>
      </x:c>
      <x:c r="I193" s="76" t="n">
        <x:v>0</x:v>
      </x:c>
      <x:c r="J193" s="76" t="n">
        <x:v>31</x:v>
      </x:c>
      <x:c r="K193" s="76" t="n">
        <x:v>396</x:v>
      </x:c>
      <x:c r="L193" s="76" t="n">
        <x:v>2</x:v>
      </x:c>
      <x:c r="M193" s="76" t="n">
        <x:v>0</x:v>
      </x:c>
      <x:c r="N193" s="73" t="str">
        <x:v>https://www.thefantasyfootballers.com/2026-ultimate-draft-kit/udk-andys-projections/?position=FLEX</x:v>
      </x:c>
    </x:row>
    <x:row r="194">
      <x:c r="A194" s="70" t="str">
        <x:v>Malik Davis</x:v>
      </x:c>
      <x:c r="B194" s="69" t="str">
        <x:v>RB</x:v>
      </x:c>
      <x:c r="C194" s="69" t="str">
        <x:v>DAL</x:v>
      </x:c>
      <x:c r="D194" s="74" t="n">
        <x:v>14</x:v>
      </x:c>
      <x:c r="E194" s="74" t="n">
        <x:v>189</x:v>
      </x:c>
      <x:c r="F194" s="75" t="n">
        <x:v>5.2</x:v>
      </x:c>
      <x:c r="G194" s="76" t="n">
        <x:v>80</x:v>
      </x:c>
      <x:c r="H194" s="76" t="n">
        <x:v>331</x:v>
      </x:c>
      <x:c r="I194" s="76" t="n">
        <x:v>3</x:v>
      </x:c>
      <x:c r="J194" s="76" t="n">
        <x:v>23</x:v>
      </x:c>
      <x:c r="K194" s="76" t="n">
        <x:v>159</x:v>
      </x:c>
      <x:c r="L194" s="76" t="n">
        <x:v>0</x:v>
      </x:c>
      <x:c r="M194" s="76" t="n">
        <x:v>2</x:v>
      </x:c>
      <x:c r="N194" s="73" t="str">
        <x:v>https://www.thefantasyfootballers.com/2026-ultimate-draft-kit/udk-andys-projections/?position=FLEX</x:v>
      </x:c>
    </x:row>
    <x:row r="195">
      <x:c r="A195" s="70" t="str">
        <x:v>Caleb Douglas</x:v>
      </x:c>
      <x:c r="B195" s="69" t="str">
        <x:v>WR</x:v>
      </x:c>
      <x:c r="C195" s="69" t="str">
        <x:v>MIA</x:v>
      </x:c>
      <x:c r="D195" s="74" t="n">
        <x:v>6</x:v>
      </x:c>
      <x:c r="E195" s="74" t="n">
        <x:v>190</x:v>
      </x:c>
      <x:c r="F195" s="75" t="n">
        <x:v>5.2</x:v>
      </x:c>
      <x:c r="G195" s="76" t="n">
        <x:v>3</x:v>
      </x:c>
      <x:c r="H195" s="76" t="n">
        <x:v>18</x:v>
      </x:c>
      <x:c r="I195" s="76" t="n">
        <x:v>0</x:v>
      </x:c>
      <x:c r="J195" s="76" t="n">
        <x:v>28</x:v>
      </x:c>
      <x:c r="K195" s="76" t="n">
        <x:v>398</x:v>
      </x:c>
      <x:c r="L195" s="76" t="n">
        <x:v>3</x:v>
      </x:c>
      <x:c r="M195" s="76" t="n">
        <x:v>1</x:v>
      </x:c>
      <x:c r="N195" s="73" t="str">
        <x:v>https://www.thefantasyfootballers.com/2026-ultimate-draft-kit/udk-andys-projections/?position=FLEX</x:v>
      </x:c>
    </x:row>
    <x:row r="196">
      <x:c r="A196" s="70" t="str">
        <x:v>Kaytron Allen</x:v>
      </x:c>
      <x:c r="B196" s="69" t="str">
        <x:v>RB</x:v>
      </x:c>
      <x:c r="C196" s="69" t="str">
        <x:v>WAS</x:v>
      </x:c>
      <x:c r="D196" s="74" t="n">
        <x:v>7</x:v>
      </x:c>
      <x:c r="E196" s="74" t="n">
        <x:v>191</x:v>
      </x:c>
      <x:c r="F196" s="75" t="n">
        <x:v>5.1</x:v>
      </x:c>
      <x:c r="G196" s="76" t="n">
        <x:v>93</x:v>
      </x:c>
      <x:c r="H196" s="76" t="n">
        <x:v>414</x:v>
      </x:c>
      <x:c r="I196" s="76" t="n">
        <x:v>2</x:v>
      </x:c>
      <x:c r="J196" s="76" t="n">
        <x:v>17</x:v>
      </x:c>
      <x:c r="K196" s="76" t="n">
        <x:v>128</x:v>
      </x:c>
      <x:c r="L196" s="76" t="n">
        <x:v>1</x:v>
      </x:c>
      <x:c r="M196" s="76" t="n">
        <x:v>1</x:v>
      </x:c>
      <x:c r="N196" s="73" t="str">
        <x:v>https://www.thefantasyfootballers.com/2026-ultimate-draft-kit/udk-andys-projections/?position=FLEX</x:v>
      </x:c>
    </x:row>
    <x:row r="197">
      <x:c r="A197" s="70" t="str">
        <x:v>LeQuint Allen Jr.</x:v>
      </x:c>
      <x:c r="B197" s="69" t="str">
        <x:v>RB</x:v>
      </x:c>
      <x:c r="C197" s="69" t="str">
        <x:v>JAX</x:v>
      </x:c>
      <x:c r="D197" s="74" t="n">
        <x:v>7</x:v>
      </x:c>
      <x:c r="E197" s="74" t="n">
        <x:v>192</x:v>
      </x:c>
      <x:c r="F197" s="75" t="n">
        <x:v>5.1</x:v>
      </x:c>
      <x:c r="G197" s="76" t="n">
        <x:v>47</x:v>
      </x:c>
      <x:c r="H197" s="76" t="n">
        <x:v>196</x:v>
      </x:c>
      <x:c r="I197" s="76" t="n">
        <x:v>2</x:v>
      </x:c>
      <x:c r="J197" s="76" t="n">
        <x:v>30</x:v>
      </x:c>
      <x:c r="K197" s="76" t="n">
        <x:v>220</x:v>
      </x:c>
      <x:c r="L197" s="76" t="n">
        <x:v>1</x:v>
      </x:c>
      <x:c r="M197" s="76" t="n">
        <x:v>1</x:v>
      </x:c>
      <x:c r="N197" s="73" t="str">
        <x:v>https://www.thefantasyfootballers.com/2026-ultimate-draft-kit/udk-andys-projections/?position=FLEX</x:v>
      </x:c>
    </x:row>
    <x:row r="198">
      <x:c r="A198" s="70" t="str">
        <x:v>Tank Dell</x:v>
      </x:c>
      <x:c r="B198" s="69" t="str">
        <x:v>WR</x:v>
      </x:c>
      <x:c r="C198" s="69" t="str">
        <x:v>HOU</x:v>
      </x:c>
      <x:c r="D198" s="74" t="n">
        <x:v>8</x:v>
      </x:c>
      <x:c r="E198" s="74" t="n">
        <x:v>193</x:v>
      </x:c>
      <x:c r="F198" s="75" t="n">
        <x:v>5.1</x:v>
      </x:c>
      <x:c r="G198" s="76" t="n">
        <x:v>5</x:v>
      </x:c>
      <x:c r="H198" s="76" t="n">
        <x:v>33</x:v>
      </x:c>
      <x:c r="I198" s="76" t="n">
        <x:v>0</x:v>
      </x:c>
      <x:c r="J198" s="76" t="n">
        <x:v>30</x:v>
      </x:c>
      <x:c r="K198" s="76" t="n">
        <x:v>386</x:v>
      </x:c>
      <x:c r="L198" s="76" t="n">
        <x:v>3</x:v>
      </x:c>
      <x:c r="M198" s="76" t="n">
        <x:v>1</x:v>
      </x:c>
      <x:c r="N198" s="73" t="str">
        <x:v>https://www.thefantasyfootballers.com/2026-ultimate-draft-kit/udk-andys-projections/?position=FLEX</x:v>
      </x:c>
    </x:row>
    <x:row r="199">
      <x:c r="A199" s="70" t="str">
        <x:v>Oronde Gadsden</x:v>
      </x:c>
      <x:c r="B199" s="69" t="str">
        <x:v>TE</x:v>
      </x:c>
      <x:c r="C199" s="69" t="str">
        <x:v>LAC</x:v>
      </x:c>
      <x:c r="D199" s="74" t="n">
        <x:v>7</x:v>
      </x:c>
      <x:c r="E199" s="74" t="n">
        <x:v>194</x:v>
      </x:c>
      <x:c r="F199" s="75" t="n">
        <x:v>5.1</x:v>
      </x:c>
      <x:c r="G199" s="76" t="n">
        <x:v>1</x:v>
      </x:c>
      <x:c r="H199" s="76" t="n">
        <x:v>5</x:v>
      </x:c>
      <x:c r="I199" s="76" t="n">
        <x:v>0</x:v>
      </x:c>
      <x:c r="J199" s="76" t="n">
        <x:v>32</x:v>
      </x:c>
      <x:c r="K199" s="76" t="n">
        <x:v>407</x:v>
      </x:c>
      <x:c r="L199" s="76" t="n">
        <x:v>2</x:v>
      </x:c>
      <x:c r="M199" s="76" t="n">
        <x:v>1</x:v>
      </x:c>
      <x:c r="N199" s="73" t="str">
        <x:v>https://www.thefantasyfootballers.com/2026-ultimate-draft-kit/udk-andys-projections/?position=FLEX</x:v>
      </x:c>
    </x:row>
    <x:row r="200">
      <x:c r="A200" s="70" t="str">
        <x:v>DJ Giddens</x:v>
      </x:c>
      <x:c r="B200" s="69" t="str">
        <x:v>RB</x:v>
      </x:c>
      <x:c r="C200" s="69" t="str">
        <x:v>IND</x:v>
      </x:c>
      <x:c r="D200" s="74" t="n">
        <x:v>13</x:v>
      </x:c>
      <x:c r="E200" s="74" t="n">
        <x:v>195</x:v>
      </x:c>
      <x:c r="F200" s="75" t="n">
        <x:v>5.1</x:v>
      </x:c>
      <x:c r="G200" s="76" t="n">
        <x:v>85</x:v>
      </x:c>
      <x:c r="H200" s="76" t="n">
        <x:v>360</x:v>
      </x:c>
      <x:c r="I200" s="76" t="n">
        <x:v>3</x:v>
      </x:c>
      <x:c r="J200" s="76" t="n">
        <x:v>16</x:v>
      </x:c>
      <x:c r="K200" s="76" t="n">
        <x:v>120</x:v>
      </x:c>
      <x:c r="L200" s="76" t="n">
        <x:v>1</x:v>
      </x:c>
      <x:c r="M200" s="76" t="n">
        <x:v>1</x:v>
      </x:c>
      <x:c r="N200" s="73" t="str">
        <x:v>https://www.thefantasyfootballers.com/2026-ultimate-draft-kit/udk-andys-projections/?position=FLEX</x:v>
      </x:c>
    </x:row>
    <x:row r="201">
      <x:c r="A201" s="70" t="str">
        <x:v>Justice Hill</x:v>
      </x:c>
      <x:c r="B201" s="69" t="str">
        <x:v>RB</x:v>
      </x:c>
      <x:c r="C201" s="69" t="str">
        <x:v>BAL</x:v>
      </x:c>
      <x:c r="D201" s="74" t="n">
        <x:v>13</x:v>
      </x:c>
      <x:c r="E201" s="74" t="n">
        <x:v>196</x:v>
      </x:c>
      <x:c r="F201" s="75" t="n">
        <x:v>5</x:v>
      </x:c>
      <x:c r="G201" s="76" t="n">
        <x:v>30</x:v>
      </x:c>
      <x:c r="H201" s="76" t="n">
        <x:v>174</x:v>
      </x:c>
      <x:c r="I201" s="76" t="n">
        <x:v>3</x:v>
      </x:c>
      <x:c r="J201" s="76" t="n">
        <x:v>25</x:v>
      </x:c>
      <x:c r="K201" s="76" t="n">
        <x:v>150</x:v>
      </x:c>
      <x:c r="L201" s="76" t="n">
        <x:v>2</x:v>
      </x:c>
      <x:c r="M201" s="76" t="n">
        <x:v>0</x:v>
      </x:c>
      <x:c r="N201" s="73" t="str">
        <x:v>https://www.thefantasyfootballers.com/2026-ultimate-draft-kit/udk-andys-projections/?position=FLEX</x:v>
      </x:c>
    </x:row>
    <x:row r="202">
      <x:c r="A202" s="70" t="str">
        <x:v>Jack Bech</x:v>
      </x:c>
      <x:c r="B202" s="69" t="str">
        <x:v>WR</x:v>
      </x:c>
      <x:c r="C202" s="69" t="str">
        <x:v>LV</x:v>
      </x:c>
      <x:c r="D202" s="74" t="n">
        <x:v>13</x:v>
      </x:c>
      <x:c r="E202" s="74" t="n">
        <x:v>197</x:v>
      </x:c>
      <x:c r="F202" s="75" t="n">
        <x:v>5</x:v>
      </x:c>
      <x:c r="G202" s="76" t="n">
        <x:v>4</x:v>
      </x:c>
      <x:c r="H202" s="76" t="n">
        <x:v>21</x:v>
      </x:c>
      <x:c r="I202" s="76" t="n">
        <x:v>0</x:v>
      </x:c>
      <x:c r="J202" s="76" t="n">
        <x:v>33</x:v>
      </x:c>
      <x:c r="K202" s="76" t="n">
        <x:v>399</x:v>
      </x:c>
      <x:c r="L202" s="76" t="n">
        <x:v>2</x:v>
      </x:c>
      <x:c r="M202" s="76" t="n">
        <x:v>1</x:v>
      </x:c>
      <x:c r="N202" s="73" t="str">
        <x:v>https://www.thefantasyfootballers.com/2026-ultimate-draft-kit/udk-andys-projections/?position=FLEX</x:v>
      </x:c>
    </x:row>
    <x:row r="203">
      <x:c r="A203" s="70" t="str">
        <x:v>Olamide Zaccheaus</x:v>
      </x:c>
      <x:c r="B203" s="69" t="str">
        <x:v>WR</x:v>
      </x:c>
      <x:c r="C203" s="69" t="str">
        <x:v>ATL</x:v>
      </x:c>
      <x:c r="D203" s="74" t="n">
        <x:v>11</x:v>
      </x:c>
      <x:c r="E203" s="74" t="n">
        <x:v>198</x:v>
      </x:c>
      <x:c r="F203" s="75" t="n">
        <x:v>5</x:v>
      </x:c>
      <x:c r="G203" s="76" t="n">
        <x:v>5</x:v>
      </x:c>
      <x:c r="H203" s="76" t="n">
        <x:v>30</x:v>
      </x:c>
      <x:c r="I203" s="76" t="n">
        <x:v>0</x:v>
      </x:c>
      <x:c r="J203" s="76" t="n">
        <x:v>36</x:v>
      </x:c>
      <x:c r="K203" s="76" t="n">
        <x:v>299</x:v>
      </x:c>
      <x:c r="L203" s="76" t="n">
        <x:v>3</x:v>
      </x:c>
      <x:c r="M203" s="76" t="n">
        <x:v>0</x:v>
      </x:c>
      <x:c r="N203" s="73" t="str">
        <x:v>https://www.thefantasyfootballers.com/2026-ultimate-draft-kit/udk-andys-projections/?position=FLEX</x:v>
      </x:c>
    </x:row>
    <x:row r="204">
      <x:c r="A204" s="70" t="str">
        <x:v>Jalen Tolbert</x:v>
      </x:c>
      <x:c r="B204" s="69" t="str">
        <x:v>WR</x:v>
      </x:c>
      <x:c r="C204" s="69" t="str">
        <x:v>MIA</x:v>
      </x:c>
      <x:c r="D204" s="74" t="n">
        <x:v>6</x:v>
      </x:c>
      <x:c r="E204" s="74" t="n">
        <x:v>199</x:v>
      </x:c>
      <x:c r="F204" s="75" t="n">
        <x:v>4.9</x:v>
      </x:c>
      <x:c r="G204" s="76" t="n">
        <x:v>2</x:v>
      </x:c>
      <x:c r="H204" s="76" t="n">
        <x:v>9</x:v>
      </x:c>
      <x:c r="I204" s="76" t="n">
        <x:v>0</x:v>
      </x:c>
      <x:c r="J204" s="76" t="n">
        <x:v>32</x:v>
      </x:c>
      <x:c r="K204" s="76" t="n">
        <x:v>367</x:v>
      </x:c>
      <x:c r="L204" s="76" t="n">
        <x:v>2</x:v>
      </x:c>
      <x:c r="M204" s="76" t="n">
        <x:v>0</x:v>
      </x:c>
      <x:c r="N204" s="73" t="str">
        <x:v>https://www.thefantasyfootballers.com/2026-ultimate-draft-kit/udk-andys-projections/?position=FLEX</x:v>
      </x:c>
    </x:row>
    <x:row r="205">
      <x:c r="A205" s="70" t="str">
        <x:v>Cole Kmet</x:v>
      </x:c>
      <x:c r="B205" s="69" t="str">
        <x:v>TE</x:v>
      </x:c>
      <x:c r="C205" s="69" t="str">
        <x:v>CHI</x:v>
      </x:c>
      <x:c r="D205" s="74" t="n">
        <x:v>10</x:v>
      </x:c>
      <x:c r="E205" s="74" t="n">
        <x:v>200</x:v>
      </x:c>
      <x:c r="F205" s="75" t="n">
        <x:v>4.9</x:v>
      </x:c>
      <x:c r="G205" s="76" t="n">
        <x:v>0</x:v>
      </x:c>
      <x:c r="H205" s="76" t="n">
        <x:v>0</x:v>
      </x:c>
      <x:c r="I205" s="76" t="n">
        <x:v>0</x:v>
      </x:c>
      <x:c r="J205" s="76" t="n">
        <x:v>34</x:v>
      </x:c>
      <x:c r="K205" s="76" t="n">
        <x:v>319</x:v>
      </x:c>
      <x:c r="L205" s="76" t="n">
        <x:v>3</x:v>
      </x:c>
      <x:c r="M205" s="76" t="n">
        <x:v>0</x:v>
      </x:c>
      <x:c r="N205" s="73" t="str">
        <x:v>https://www.thefantasyfootballers.com/2026-ultimate-draft-kit/udk-andys-projections/?position=FLEX</x:v>
      </x:c>
    </x:row>
    <x:row r="206">
      <x:c r="A206" s="70" t="str">
        <x:v>Mike Washington Jr.</x:v>
      </x:c>
      <x:c r="B206" s="69" t="str">
        <x:v>RB</x:v>
      </x:c>
      <x:c r="C206" s="69" t="str">
        <x:v>LV</x:v>
      </x:c>
      <x:c r="D206" s="74" t="n">
        <x:v>13</x:v>
      </x:c>
      <x:c r="E206" s="74" t="n">
        <x:v>201</x:v>
      </x:c>
      <x:c r="F206" s="75" t="n">
        <x:v>4.8</x:v>
      </x:c>
      <x:c r="G206" s="76" t="n">
        <x:v>67</x:v>
      </x:c>
      <x:c r="H206" s="76" t="n">
        <x:v>276</x:v>
      </x:c>
      <x:c r="I206" s="76" t="n">
        <x:v>3</x:v>
      </x:c>
      <x:c r="J206" s="76" t="n">
        <x:v>19</x:v>
      </x:c>
      <x:c r="K206" s="76" t="n">
        <x:v>142</x:v>
      </x:c>
      <x:c r="L206" s="76" t="n">
        <x:v>1</x:v>
      </x:c>
      <x:c r="M206" s="76" t="n">
        <x:v>1</x:v>
      </x:c>
      <x:c r="N206" s="73" t="str">
        <x:v>https://www.thefantasyfootballers.com/2026-ultimate-draft-kit/udk-andys-projections/?position=FLEX</x:v>
      </x:c>
    </x:row>
    <x:row r="207">
      <x:c r="A207" s="70" t="str">
        <x:v>Kendrick Bourne</x:v>
      </x:c>
      <x:c r="B207" s="69" t="str">
        <x:v>WR</x:v>
      </x:c>
      <x:c r="C207" s="69" t="str">
        <x:v>ARI</x:v>
      </x:c>
      <x:c r="D207" s="74" t="n">
        <x:v>14</x:v>
      </x:c>
      <x:c r="E207" s="74" t="n">
        <x:v>202</x:v>
      </x:c>
      <x:c r="F207" s="75" t="n">
        <x:v>4.8</x:v>
      </x:c>
      <x:c r="G207" s="76" t="n">
        <x:v>0</x:v>
      </x:c>
      <x:c r="H207" s="76" t="n">
        <x:v>0</x:v>
      </x:c>
      <x:c r="I207" s="76" t="n">
        <x:v>0</x:v>
      </x:c>
      <x:c r="J207" s="76" t="n">
        <x:v>34</x:v>
      </x:c>
      <x:c r="K207" s="76" t="n">
        <x:v>472</x:v>
      </x:c>
      <x:c r="L207" s="76" t="n">
        <x:v>0</x:v>
      </x:c>
      <x:c r="M207" s="76" t="n">
        <x:v>0</x:v>
      </x:c>
      <x:c r="N207" s="73" t="str">
        <x:v>https://www.thefantasyfootballers.com/2026-ultimate-draft-kit/udk-andys-projections/?position=FLEX</x:v>
      </x:c>
    </x:row>
    <x:row r="208">
      <x:c r="A208" s="70" t="str">
        <x:v>Mack Hollins</x:v>
      </x:c>
      <x:c r="B208" s="69" t="str">
        <x:v>WR</x:v>
      </x:c>
      <x:c r="C208" s="69" t="str">
        <x:v>NE</x:v>
      </x:c>
      <x:c r="D208" s="74" t="n">
        <x:v>11</x:v>
      </x:c>
      <x:c r="E208" s="74" t="n">
        <x:v>203</x:v>
      </x:c>
      <x:c r="F208" s="75" t="n">
        <x:v>4.7</x:v>
      </x:c>
      <x:c r="G208" s="76" t="n">
        <x:v>2</x:v>
      </x:c>
      <x:c r="H208" s="76" t="n">
        <x:v>8</x:v>
      </x:c>
      <x:c r="I208" s="76" t="n">
        <x:v>0</x:v>
      </x:c>
      <x:c r="J208" s="76" t="n">
        <x:v>34</x:v>
      </x:c>
      <x:c r="K208" s="76" t="n">
        <x:v>402</x:v>
      </x:c>
      <x:c r="L208" s="76" t="n">
        <x:v>1</x:v>
      </x:c>
      <x:c r="M208" s="76" t="n">
        <x:v>0</x:v>
      </x:c>
      <x:c r="N208" s="73" t="str">
        <x:v>https://www.thefantasyfootballers.com/2026-ultimate-draft-kit/udk-andys-projections/?position=FLEX</x:v>
      </x:c>
    </x:row>
    <x:row r="209">
      <x:c r="A209" s="70" t="str">
        <x:v>Ty Johnson</x:v>
      </x:c>
      <x:c r="B209" s="69" t="str">
        <x:v>RB</x:v>
      </x:c>
      <x:c r="C209" s="69" t="str">
        <x:v>BUF</x:v>
      </x:c>
      <x:c r="D209" s="74" t="n">
        <x:v>7</x:v>
      </x:c>
      <x:c r="E209" s="74" t="n">
        <x:v>204</x:v>
      </x:c>
      <x:c r="F209" s="75" t="n">
        <x:v>4.6</x:v>
      </x:c>
      <x:c r="G209" s="76" t="n">
        <x:v>49</x:v>
      </x:c>
      <x:c r="H209" s="76" t="n">
        <x:v>189</x:v>
      </x:c>
      <x:c r="I209" s="76" t="n">
        <x:v>3</x:v>
      </x:c>
      <x:c r="J209" s="76" t="n">
        <x:v>17</x:v>
      </x:c>
      <x:c r="K209" s="76" t="n">
        <x:v>186</x:v>
      </x:c>
      <x:c r="L209" s="76" t="n">
        <x:v>2</x:v>
      </x:c>
      <x:c r="M209" s="76" t="n">
        <x:v>0</x:v>
      </x:c>
      <x:c r="N209" s="73" t="str">
        <x:v>https://www.thefantasyfootballers.com/2026-ultimate-draft-kit/udk-andys-projections/?position=FLEX</x:v>
      </x:c>
    </x:row>
    <x:row r="210">
      <x:c r="A210" s="70" t="str">
        <x:v>Marvin Mims Jr.</x:v>
      </x:c>
      <x:c r="B210" s="69" t="str">
        <x:v>WR</x:v>
      </x:c>
      <x:c r="C210" s="69" t="str">
        <x:v>DEN</x:v>
      </x:c>
      <x:c r="D210" s="74" t="n">
        <x:v>10</x:v>
      </x:c>
      <x:c r="E210" s="74" t="n">
        <x:v>205</x:v>
      </x:c>
      <x:c r="F210" s="75" t="n">
        <x:v>4.6</x:v>
      </x:c>
      <x:c r="G210" s="76" t="n">
        <x:v>10</x:v>
      </x:c>
      <x:c r="H210" s="76" t="n">
        <x:v>69</x:v>
      </x:c>
      <x:c r="I210" s="76" t="n">
        <x:v>1</x:v>
      </x:c>
      <x:c r="J210" s="76" t="n">
        <x:v>24</x:v>
      </x:c>
      <x:c r="K210" s="76" t="n">
        <x:v>340</x:v>
      </x:c>
      <x:c r="L210" s="76" t="n">
        <x:v>2</x:v>
      </x:c>
      <x:c r="M210" s="76" t="n">
        <x:v>1</x:v>
      </x:c>
      <x:c r="N210" s="73" t="str">
        <x:v>https://www.thefantasyfootballers.com/2026-ultimate-draft-kit/udk-andys-projections/?position=FLEX</x:v>
      </x:c>
    </x:row>
    <x:row r="211">
      <x:c r="A211" s="70" t="str">
        <x:v>Brian Robinson</x:v>
      </x:c>
      <x:c r="B211" s="69" t="str">
        <x:v>RB</x:v>
      </x:c>
      <x:c r="C211" s="69" t="str">
        <x:v>ATL</x:v>
      </x:c>
      <x:c r="D211" s="74" t="n">
        <x:v>11</x:v>
      </x:c>
      <x:c r="E211" s="74" t="n">
        <x:v>206</x:v>
      </x:c>
      <x:c r="F211" s="75" t="n">
        <x:v>4.6</x:v>
      </x:c>
      <x:c r="G211" s="76" t="n">
        <x:v>110</x:v>
      </x:c>
      <x:c r="H211" s="76" t="n">
        <x:v>425</x:v>
      </x:c>
      <x:c r="I211" s="76" t="n">
        <x:v>3</x:v>
      </x:c>
      <x:c r="J211" s="76" t="n">
        <x:v>12</x:v>
      </x:c>
      <x:c r="K211" s="76" t="n">
        <x:v>57</x:v>
      </x:c>
      <x:c r="L211" s="76" t="n">
        <x:v>0</x:v>
      </x:c>
      <x:c r="M211" s="76" t="n">
        <x:v>0</x:v>
      </x:c>
      <x:c r="N211" s="73" t="str">
        <x:v>https://www.thefantasyfootballers.com/2026-ultimate-draft-kit/udk-andys-projections/?position=FLEX</x:v>
      </x:c>
    </x:row>
    <x:row r="212">
      <x:c r="A212" s="70" t="str">
        <x:v>Tyquan Thornton</x:v>
      </x:c>
      <x:c r="B212" s="69" t="str">
        <x:v>WR</x:v>
      </x:c>
      <x:c r="C212" s="69" t="str">
        <x:v>KC</x:v>
      </x:c>
      <x:c r="D212" s="74" t="n">
        <x:v>5</x:v>
      </x:c>
      <x:c r="E212" s="74" t="n">
        <x:v>207</x:v>
      </x:c>
      <x:c r="F212" s="75" t="n">
        <x:v>4.5</x:v>
      </x:c>
      <x:c r="G212" s="76" t="n">
        <x:v>2</x:v>
      </x:c>
      <x:c r="H212" s="76" t="n">
        <x:v>18</x:v>
      </x:c>
      <x:c r="I212" s="76" t="n">
        <x:v>0</x:v>
      </x:c>
      <x:c r="J212" s="76" t="n">
        <x:v>24</x:v>
      </x:c>
      <x:c r="K212" s="76" t="n">
        <x:v>347</x:v>
      </x:c>
      <x:c r="L212" s="76" t="n">
        <x:v>3</x:v>
      </x:c>
      <x:c r="M212" s="76" t="n">
        <x:v>0</x:v>
      </x:c>
      <x:c r="N212" s="73" t="str">
        <x:v>https://www.thefantasyfootballers.com/2026-ultimate-draft-kit/udk-andys-projections/?position=FLEX</x:v>
      </x:c>
    </x:row>
    <x:row r="213">
      <x:c r="A213" s="70" t="str">
        <x:v>Michael Mayer</x:v>
      </x:c>
      <x:c r="B213" s="69" t="str">
        <x:v>TE</x:v>
      </x:c>
      <x:c r="C213" s="69" t="str">
        <x:v>LV</x:v>
      </x:c>
      <x:c r="D213" s="74" t="n">
        <x:v>13</x:v>
      </x:c>
      <x:c r="E213" s="74" t="n">
        <x:v>208</x:v>
      </x:c>
      <x:c r="F213" s="75" t="n">
        <x:v>4.5</x:v>
      </x:c>
      <x:c r="G213" s="76" t="n">
        <x:v>0</x:v>
      </x:c>
      <x:c r="H213" s="76" t="n">
        <x:v>0</x:v>
      </x:c>
      <x:c r="I213" s="76" t="n">
        <x:v>0</x:v>
      </x:c>
      <x:c r="J213" s="76" t="n">
        <x:v>36</x:v>
      </x:c>
      <x:c r="K213" s="76" t="n">
        <x:v>340</x:v>
      </x:c>
      <x:c r="L213" s="76" t="n">
        <x:v>1</x:v>
      </x:c>
      <x:c r="M213" s="76" t="n">
        <x:v>0</x:v>
      </x:c>
      <x:c r="N213" s="73" t="str">
        <x:v>https://www.thefantasyfootballers.com/2026-ultimate-draft-kit/udk-andys-projections/?position=FLEX</x:v>
      </x:c>
    </x:row>
    <x:row r="214">
      <x:c r="A214" s="70" t="str">
        <x:v>Treylon Burks</x:v>
      </x:c>
      <x:c r="B214" s="69" t="str">
        <x:v>WR</x:v>
      </x:c>
      <x:c r="C214" s="69" t="str">
        <x:v>WAS</x:v>
      </x:c>
      <x:c r="D214" s="74" t="n">
        <x:v>7</x:v>
      </x:c>
      <x:c r="E214" s="74" t="n">
        <x:v>209</x:v>
      </x:c>
      <x:c r="F214" s="75" t="n">
        <x:v>4.5</x:v>
      </x:c>
      <x:c r="G214" s="76" t="n">
        <x:v>5</x:v>
      </x:c>
      <x:c r="H214" s="76" t="n">
        <x:v>26</x:v>
      </x:c>
      <x:c r="I214" s="76" t="n">
        <x:v>0</x:v>
      </x:c>
      <x:c r="J214" s="76" t="n">
        <x:v>27</x:v>
      </x:c>
      <x:c r="K214" s="76" t="n">
        <x:v>324</x:v>
      </x:c>
      <x:c r="L214" s="76" t="n">
        <x:v>2</x:v>
      </x:c>
      <x:c r="M214" s="76" t="n">
        <x:v>0</x:v>
      </x:c>
      <x:c r="N214" s="73" t="str">
        <x:v>https://www.thefantasyfootballers.com/2026-ultimate-draft-kit/udk-andys-projections/?position=FLEX</x:v>
      </x:c>
    </x:row>
    <x:row r="215">
      <x:c r="A215" s="70" t="str">
        <x:v>Eli Stowers</x:v>
      </x:c>
      <x:c r="B215" s="69" t="str">
        <x:v>TE</x:v>
      </x:c>
      <x:c r="C215" s="69" t="str">
        <x:v>PHI</x:v>
      </x:c>
      <x:c r="D215" s="74" t="n">
        <x:v>10</x:v>
      </x:c>
      <x:c r="E215" s="74" t="n">
        <x:v>210</x:v>
      </x:c>
      <x:c r="F215" s="75" t="n">
        <x:v>4.4</x:v>
      </x:c>
      <x:c r="G215" s="76" t="n">
        <x:v>4</x:v>
      </x:c>
      <x:c r="H215" s="76" t="n">
        <x:v>20</x:v>
      </x:c>
      <x:c r="I215" s="76" t="n">
        <x:v>0</x:v>
      </x:c>
      <x:c r="J215" s="76" t="n">
        <x:v>26</x:v>
      </x:c>
      <x:c r="K215" s="76" t="n">
        <x:v>292</x:v>
      </x:c>
      <x:c r="L215" s="76" t="n">
        <x:v>3</x:v>
      </x:c>
      <x:c r="M215" s="76" t="n">
        <x:v>0</x:v>
      </x:c>
      <x:c r="N215" s="73" t="str">
        <x:v>https://www.thefantasyfootballers.com/2026-ultimate-draft-kit/udk-andys-projections/?position=FLEX</x:v>
      </x:c>
    </x:row>
    <x:row r="216">
      <x:c r="A216" s="70" t="str">
        <x:v>Brenen Thompson</x:v>
      </x:c>
      <x:c r="B216" s="69" t="str">
        <x:v>WR</x:v>
      </x:c>
      <x:c r="C216" s="69" t="str">
        <x:v>LAC</x:v>
      </x:c>
      <x:c r="D216" s="74" t="n">
        <x:v>7</x:v>
      </x:c>
      <x:c r="E216" s="74" t="n">
        <x:v>211</x:v>
      </x:c>
      <x:c r="F216" s="75" t="n">
        <x:v>4.4</x:v>
      </x:c>
      <x:c r="G216" s="76" t="n">
        <x:v>8</x:v>
      </x:c>
      <x:c r="H216" s="76" t="n">
        <x:v>52</x:v>
      </x:c>
      <x:c r="I216" s="76" t="n">
        <x:v>0</x:v>
      </x:c>
      <x:c r="J216" s="76" t="n">
        <x:v>28</x:v>
      </x:c>
      <x:c r="K216" s="76" t="n">
        <x:v>380</x:v>
      </x:c>
      <x:c r="L216" s="76" t="n">
        <x:v>1</x:v>
      </x:c>
      <x:c r="M216" s="76" t="n">
        <x:v>1</x:v>
      </x:c>
      <x:c r="N216" s="73" t="str">
        <x:v>https://www.thefantasyfootballers.com/2026-ultimate-draft-kit/udk-andys-projections/?position=FLEX</x:v>
      </x:c>
    </x:row>
    <x:row r="217">
      <x:c r="A217" s="70" t="str">
        <x:v>Dawson Knox</x:v>
      </x:c>
      <x:c r="B217" s="69" t="str">
        <x:v>TE</x:v>
      </x:c>
      <x:c r="C217" s="69" t="str">
        <x:v>BUF</x:v>
      </x:c>
      <x:c r="D217" s="74" t="n">
        <x:v>7</x:v>
      </x:c>
      <x:c r="E217" s="74" t="n">
        <x:v>212</x:v>
      </x:c>
      <x:c r="F217" s="75" t="n">
        <x:v>4.4</x:v>
      </x:c>
      <x:c r="G217" s="76" t="n">
        <x:v>0</x:v>
      </x:c>
      <x:c r="H217" s="76" t="n">
        <x:v>0</x:v>
      </x:c>
      <x:c r="I217" s="76" t="n">
        <x:v>0</x:v>
      </x:c>
      <x:c r="J217" s="76" t="n">
        <x:v>26</x:v>
      </x:c>
      <x:c r="K217" s="76" t="n">
        <x:v>299</x:v>
      </x:c>
      <x:c r="L217" s="76" t="n">
        <x:v>3</x:v>
      </x:c>
      <x:c r="M217" s="76" t="n">
        <x:v>0</x:v>
      </x:c>
      <x:c r="N217" s="73" t="str">
        <x:v>https://www.thefantasyfootballers.com/2026-ultimate-draft-kit/udk-andys-projections/?position=FLEX</x:v>
      </x:c>
    </x:row>
    <x:row r="218">
      <x:c r="A218" s="70" t="str">
        <x:v>Mike Gesicki</x:v>
      </x:c>
      <x:c r="B218" s="69" t="str">
        <x:v>TE</x:v>
      </x:c>
      <x:c r="C218" s="69" t="str">
        <x:v>CIN</x:v>
      </x:c>
      <x:c r="D218" s="74" t="n">
        <x:v>6</x:v>
      </x:c>
      <x:c r="E218" s="74" t="n">
        <x:v>213</x:v>
      </x:c>
      <x:c r="F218" s="75" t="n">
        <x:v>4.3</x:v>
      </x:c>
      <x:c r="G218" s="76" t="n">
        <x:v>0</x:v>
      </x:c>
      <x:c r="H218" s="76" t="n">
        <x:v>0</x:v>
      </x:c>
      <x:c r="I218" s="76" t="n">
        <x:v>0</x:v>
      </x:c>
      <x:c r="J218" s="76" t="n">
        <x:v>30</x:v>
      </x:c>
      <x:c r="K218" s="76" t="n">
        <x:v>318</x:v>
      </x:c>
      <x:c r="L218" s="76" t="n">
        <x:v>2</x:v>
      </x:c>
      <x:c r="M218" s="76" t="n">
        <x:v>0</x:v>
      </x:c>
      <x:c r="N218" s="73" t="str">
        <x:v>https://www.thefantasyfootballers.com/2026-ultimate-draft-kit/udk-andys-projections/?position=FLEX</x:v>
      </x:c>
    </x:row>
    <x:row r="219">
      <x:c r="A219" s="70" t="str">
        <x:v>Jaylin Noel</x:v>
      </x:c>
      <x:c r="B219" s="69" t="str">
        <x:v>WR</x:v>
      </x:c>
      <x:c r="C219" s="69" t="str">
        <x:v>HOU</x:v>
      </x:c>
      <x:c r="D219" s="74" t="n">
        <x:v>8</x:v>
      </x:c>
      <x:c r="E219" s="74" t="n">
        <x:v>214</x:v>
      </x:c>
      <x:c r="F219" s="75" t="n">
        <x:v>4.2</x:v>
      </x:c>
      <x:c r="G219" s="76" t="n">
        <x:v>8</x:v>
      </x:c>
      <x:c r="H219" s="76" t="n">
        <x:v>18</x:v>
      </x:c>
      <x:c r="I219" s="76" t="n">
        <x:v>0</x:v>
      </x:c>
      <x:c r="J219" s="76" t="n">
        <x:v>27</x:v>
      </x:c>
      <x:c r="K219" s="76" t="n">
        <x:v>311</x:v>
      </x:c>
      <x:c r="L219" s="76" t="n">
        <x:v>2</x:v>
      </x:c>
      <x:c r="M219" s="76" t="n">
        <x:v>0</x:v>
      </x:c>
      <x:c r="N219" s="73" t="str">
        <x:v>https://www.thefantasyfootballers.com/2026-ultimate-draft-kit/udk-andys-projections/?position=FLEX</x:v>
      </x:c>
    </x:row>
    <x:row r="220">
      <x:c r="A220" s="70" t="str">
        <x:v>Jake Tonges</x:v>
      </x:c>
      <x:c r="B220" s="69" t="str">
        <x:v>TE</x:v>
      </x:c>
      <x:c r="C220" s="69" t="str">
        <x:v>SF</x:v>
      </x:c>
      <x:c r="D220" s="74" t="n">
        <x:v>8</x:v>
      </x:c>
      <x:c r="E220" s="74" t="n">
        <x:v>215</x:v>
      </x:c>
      <x:c r="F220" s="75" t="n">
        <x:v>4.2</x:v>
      </x:c>
      <x:c r="G220" s="76" t="n">
        <x:v>0</x:v>
      </x:c>
      <x:c r="H220" s="76" t="n">
        <x:v>0</x:v>
      </x:c>
      <x:c r="I220" s="76" t="n">
        <x:v>0</x:v>
      </x:c>
      <x:c r="J220" s="76" t="n">
        <x:v>33</x:v>
      </x:c>
      <x:c r="K220" s="76" t="n">
        <x:v>270</x:v>
      </x:c>
      <x:c r="L220" s="76" t="n">
        <x:v>2</x:v>
      </x:c>
      <x:c r="M220" s="76" t="n">
        <x:v>0</x:v>
      </x:c>
      <x:c r="N220" s="73" t="str">
        <x:v>https://www.thefantasyfootballers.com/2026-ultimate-draft-kit/udk-andys-projections/?position=FLEX</x:v>
      </x:c>
    </x:row>
    <x:row r="221">
      <x:c r="A221" s="70" t="str">
        <x:v>Chris Bell</x:v>
      </x:c>
      <x:c r="B221" s="69" t="str">
        <x:v>WR</x:v>
      </x:c>
      <x:c r="C221" s="69" t="str">
        <x:v>MIA</x:v>
      </x:c>
      <x:c r="D221" s="74" t="n">
        <x:v>6</x:v>
      </x:c>
      <x:c r="E221" s="74" t="n">
        <x:v>216</x:v>
      </x:c>
      <x:c r="F221" s="75" t="n">
        <x:v>4.2</x:v>
      </x:c>
      <x:c r="G221" s="76" t="n">
        <x:v>6</x:v>
      </x:c>
      <x:c r="H221" s="76" t="n">
        <x:v>40</x:v>
      </x:c>
      <x:c r="I221" s="76" t="n">
        <x:v>0</x:v>
      </x:c>
      <x:c r="J221" s="76" t="n">
        <x:v>25</x:v>
      </x:c>
      <x:c r="K221" s="76" t="n">
        <x:v>302</x:v>
      </x:c>
      <x:c r="L221" s="76" t="n">
        <x:v>2</x:v>
      </x:c>
      <x:c r="M221" s="76" t="n">
        <x:v>1</x:v>
      </x:c>
      <x:c r="N221" s="73" t="str">
        <x:v>https://www.thefantasyfootballers.com/2026-ultimate-draft-kit/udk-andys-projections/?position=FLEX</x:v>
      </x:c>
    </x:row>
    <x:row r="222">
      <x:c r="A222" s="70" t="str">
        <x:v>Isaiah Davis</x:v>
      </x:c>
      <x:c r="B222" s="69" t="str">
        <x:v>RB</x:v>
      </x:c>
      <x:c r="C222" s="69" t="str">
        <x:v>NYJ</x:v>
      </x:c>
      <x:c r="D222" s="74" t="n">
        <x:v>13</x:v>
      </x:c>
      <x:c r="E222" s="74" t="n">
        <x:v>217</x:v>
      </x:c>
      <x:c r="F222" s="75" t="n">
        <x:v>4.2</x:v>
      </x:c>
      <x:c r="G222" s="76" t="n">
        <x:v>51</x:v>
      </x:c>
      <x:c r="H222" s="76" t="n">
        <x:v>223</x:v>
      </x:c>
      <x:c r="I222" s="76" t="n">
        <x:v>1</x:v>
      </x:c>
      <x:c r="J222" s="76" t="n">
        <x:v>21</x:v>
      </x:c>
      <x:c r="K222" s="76" t="n">
        <x:v>177</x:v>
      </x:c>
      <x:c r="L222" s="76" t="n">
        <x:v>1</x:v>
      </x:c>
      <x:c r="M222" s="76" t="n">
        <x:v>1</x:v>
      </x:c>
      <x:c r="N222" s="73" t="str">
        <x:v>https://www.thefantasyfootballers.com/2026-ultimate-draft-kit/udk-andys-projections/?position=FLEX</x:v>
      </x:c>
    </x:row>
    <x:row r="223">
      <x:c r="A223" s="70" t="str">
        <x:v>Will Shipley</x:v>
      </x:c>
      <x:c r="B223" s="69" t="str">
        <x:v>RB</x:v>
      </x:c>
      <x:c r="C223" s="69" t="str">
        <x:v>PHI</x:v>
      </x:c>
      <x:c r="D223" s="74" t="n">
        <x:v>10</x:v>
      </x:c>
      <x:c r="E223" s="74" t="n">
        <x:v>218</x:v>
      </x:c>
      <x:c r="F223" s="75" t="n">
        <x:v>4.1</x:v>
      </x:c>
      <x:c r="G223" s="76" t="n">
        <x:v>50</x:v>
      </x:c>
      <x:c r="H223" s="76" t="n">
        <x:v>210</x:v>
      </x:c>
      <x:c r="I223" s="76" t="n">
        <x:v>1</x:v>
      </x:c>
      <x:c r="J223" s="76" t="n">
        <x:v>22</x:v>
      </x:c>
      <x:c r="K223" s="76" t="n">
        <x:v>154</x:v>
      </x:c>
      <x:c r="L223" s="76" t="n">
        <x:v>1</x:v>
      </x:c>
      <x:c r="M223" s="76" t="n">
        <x:v>0</x:v>
      </x:c>
      <x:c r="N223" s="73" t="str">
        <x:v>https://www.thefantasyfootballers.com/2026-ultimate-draft-kit/udk-andys-projections/?position=FLEX</x:v>
      </x:c>
    </x:row>
    <x:row r="224">
      <x:c r="A224" s="70" t="str">
        <x:v>Roman Wilson</x:v>
      </x:c>
      <x:c r="B224" s="69" t="str">
        <x:v>WR</x:v>
      </x:c>
      <x:c r="C224" s="69" t="str">
        <x:v>PIT</x:v>
      </x:c>
      <x:c r="D224" s="74" t="n">
        <x:v>9</x:v>
      </x:c>
      <x:c r="E224" s="74" t="n">
        <x:v>219</x:v>
      </x:c>
      <x:c r="F224" s="75" t="n">
        <x:v>4.1</x:v>
      </x:c>
      <x:c r="G224" s="76" t="n">
        <x:v>2</x:v>
      </x:c>
      <x:c r="H224" s="76" t="n">
        <x:v>14</x:v>
      </x:c>
      <x:c r="I224" s="76" t="n">
        <x:v>0</x:v>
      </x:c>
      <x:c r="J224" s="76" t="n">
        <x:v>25</x:v>
      </x:c>
      <x:c r="K224" s="76" t="n">
        <x:v>310</x:v>
      </x:c>
      <x:c r="L224" s="76" t="n">
        <x:v>2</x:v>
      </x:c>
      <x:c r="M224" s="76" t="n">
        <x:v>0</x:v>
      </x:c>
      <x:c r="N224" s="73" t="str">
        <x:v>https://www.thefantasyfootballers.com/2026-ultimate-draft-kit/udk-andys-projections/?position=FLEX</x:v>
      </x:c>
    </x:row>
    <x:row r="225">
      <x:c r="A225" s="70" t="str">
        <x:v>Emari Demercado</x:v>
      </x:c>
      <x:c r="B225" s="69" t="str">
        <x:v>RB</x:v>
      </x:c>
      <x:c r="C225" s="69" t="str">
        <x:v>FA</x:v>
      </x:c>
      <x:c r="D225" s="74"/>
      <x:c r="E225" s="74" t="n">
        <x:v>220</x:v>
      </x:c>
      <x:c r="F225" s="75" t="n">
        <x:v>4.1</x:v>
      </x:c>
      <x:c r="G225" s="76" t="n">
        <x:v>60</x:v>
      </x:c>
      <x:c r="H225" s="76" t="n">
        <x:v>249</x:v>
      </x:c>
      <x:c r="I225" s="76" t="n">
        <x:v>1</x:v>
      </x:c>
      <x:c r="J225" s="76" t="n">
        <x:v>18</x:v>
      </x:c>
      <x:c r="K225" s="76" t="n">
        <x:v>144</x:v>
      </x:c>
      <x:c r="L225" s="76" t="n">
        <x:v>1</x:v>
      </x:c>
      <x:c r="M225" s="76" t="n">
        <x:v>1</x:v>
      </x:c>
      <x:c r="N225" s="73" t="str">
        <x:v>https://www.thefantasyfootballers.com/2026-ultimate-draft-kit/udk-andys-projections/?position=FLEX</x:v>
      </x:c>
    </x:row>
    <x:row r="226">
      <x:c r="A226" s="70" t="str">
        <x:v>Van Jefferson</x:v>
      </x:c>
      <x:c r="B226" s="69" t="str">
        <x:v>WR</x:v>
      </x:c>
      <x:c r="C226" s="69" t="str">
        <x:v>FA</x:v>
      </x:c>
      <x:c r="D226" s="74"/>
      <x:c r="E226" s="74" t="n">
        <x:v>221</x:v>
      </x:c>
      <x:c r="F226" s="75" t="n">
        <x:v>4.1</x:v>
      </x:c>
      <x:c r="G226" s="76" t="n">
        <x:v>2</x:v>
      </x:c>
      <x:c r="H226" s="76" t="n">
        <x:v>12</x:v>
      </x:c>
      <x:c r="I226" s="76" t="n">
        <x:v>0</x:v>
      </x:c>
      <x:c r="J226" s="76" t="n">
        <x:v>28</x:v>
      </x:c>
      <x:c r="K226" s="76" t="n">
        <x:v>340</x:v>
      </x:c>
      <x:c r="L226" s="76" t="n">
        <x:v>1</x:v>
      </x:c>
      <x:c r="M226" s="76" t="n">
        <x:v>0</x:v>
      </x:c>
      <x:c r="N226" s="73" t="str">
        <x:v>https://www.thefantasyfootballers.com/2026-ultimate-draft-kit/udk-andys-projections/?position=FLEX</x:v>
      </x:c>
    </x:row>
    <x:row r="227">
      <x:c r="A227" s="70" t="str">
        <x:v>Devin Neal</x:v>
      </x:c>
      <x:c r="B227" s="69" t="str">
        <x:v>RB</x:v>
      </x:c>
      <x:c r="C227" s="69" t="str">
        <x:v>NO</x:v>
      </x:c>
      <x:c r="D227" s="74" t="n">
        <x:v>8</x:v>
      </x:c>
      <x:c r="E227" s="74" t="n">
        <x:v>222</x:v>
      </x:c>
      <x:c r="F227" s="75" t="n">
        <x:v>4</x:v>
      </x:c>
      <x:c r="G227" s="76" t="n">
        <x:v>67</x:v>
      </x:c>
      <x:c r="H227" s="76" t="n">
        <x:v>277</x:v>
      </x:c>
      <x:c r="I227" s="76" t="n">
        <x:v>2</x:v>
      </x:c>
      <x:c r="J227" s="76" t="n">
        <x:v>20</x:v>
      </x:c>
      <x:c r="K227" s="76" t="n">
        <x:v>110</x:v>
      </x:c>
      <x:c r="L227" s="76" t="n">
        <x:v>0</x:v>
      </x:c>
      <x:c r="M227" s="76" t="n">
        <x:v>1</x:v>
      </x:c>
      <x:c r="N227" s="73" t="str">
        <x:v>https://www.thefantasyfootballers.com/2026-ultimate-draft-kit/udk-andys-projections/?position=FLEX</x:v>
      </x:c>
    </x:row>
    <x:row r="228">
      <x:c r="A228" s="70" t="str">
        <x:v>Kalif Raymond</x:v>
      </x:c>
      <x:c r="B228" s="69" t="str">
        <x:v>WR</x:v>
      </x:c>
      <x:c r="C228" s="69" t="str">
        <x:v>CHI</x:v>
      </x:c>
      <x:c r="D228" s="74" t="n">
        <x:v>10</x:v>
      </x:c>
      <x:c r="E228" s="74" t="n">
        <x:v>223</x:v>
      </x:c>
      <x:c r="F228" s="75" t="n">
        <x:v>3.9</x:v>
      </x:c>
      <x:c r="G228" s="76" t="n">
        <x:v>1</x:v>
      </x:c>
      <x:c r="H228" s="76" t="n">
        <x:v>16</x:v>
      </x:c>
      <x:c r="I228" s="76" t="n">
        <x:v>0</x:v>
      </x:c>
      <x:c r="J228" s="76" t="n">
        <x:v>26</x:v>
      </x:c>
      <x:c r="K228" s="76" t="n">
        <x:v>306</x:v>
      </x:c>
      <x:c r="L228" s="76" t="n">
        <x:v>1</x:v>
      </x:c>
      <x:c r="M228" s="76" t="n">
        <x:v>0</x:v>
      </x:c>
      <x:c r="N228" s="73" t="str">
        <x:v>https://www.thefantasyfootballers.com/2026-ultimate-draft-kit/udk-andys-projections/?position=FLEX</x:v>
      </x:c>
    </x:row>
    <x:row r="229">
      <x:c r="A229" s="70" t="str">
        <x:v>Hollywood Brown</x:v>
      </x:c>
      <x:c r="B229" s="69" t="str">
        <x:v>WR</x:v>
      </x:c>
      <x:c r="C229" s="69" t="str">
        <x:v>PHI</x:v>
      </x:c>
      <x:c r="D229" s="74" t="n">
        <x:v>10</x:v>
      </x:c>
      <x:c r="E229" s="74" t="n">
        <x:v>224</x:v>
      </x:c>
      <x:c r="F229" s="75" t="n">
        <x:v>3.9</x:v>
      </x:c>
      <x:c r="G229" s="76" t="n">
        <x:v>1</x:v>
      </x:c>
      <x:c r="H229" s="76" t="n">
        <x:v>7</x:v>
      </x:c>
      <x:c r="I229" s="76" t="n">
        <x:v>0</x:v>
      </x:c>
      <x:c r="J229" s="76" t="n">
        <x:v>24</x:v>
      </x:c>
      <x:c r="K229" s="76" t="n">
        <x:v>286</x:v>
      </x:c>
      <x:c r="L229" s="76" t="n">
        <x:v>2</x:v>
      </x:c>
      <x:c r="M229" s="76" t="n">
        <x:v>0</x:v>
      </x:c>
      <x:c r="N229" s="73" t="str">
        <x:v>https://www.thefantasyfootballers.com/2026-ultimate-draft-kit/udk-andys-projections/?position=FLEX</x:v>
      </x:c>
    </x:row>
    <x:row r="230">
      <x:c r="A230" s="70" t="str">
        <x:v>Dont'e Thornton Jr.</x:v>
      </x:c>
      <x:c r="B230" s="69" t="str">
        <x:v>WR</x:v>
      </x:c>
      <x:c r="C230" s="69" t="str">
        <x:v>LV</x:v>
      </x:c>
      <x:c r="D230" s="74" t="n">
        <x:v>13</x:v>
      </x:c>
      <x:c r="E230" s="74" t="n">
        <x:v>225</x:v>
      </x:c>
      <x:c r="F230" s="75" t="n">
        <x:v>3.9</x:v>
      </x:c>
      <x:c r="G230" s="76" t="n">
        <x:v>3</x:v>
      </x:c>
      <x:c r="H230" s="76" t="n">
        <x:v>15</x:v>
      </x:c>
      <x:c r="I230" s="76" t="n">
        <x:v>0</x:v>
      </x:c>
      <x:c r="J230" s="76" t="n">
        <x:v>23</x:v>
      </x:c>
      <x:c r="K230" s="76" t="n">
        <x:v>333</x:v>
      </x:c>
      <x:c r="L230" s="76" t="n">
        <x:v>1</x:v>
      </x:c>
      <x:c r="M230" s="76" t="n">
        <x:v>0</x:v>
      </x:c>
      <x:c r="N230" s="73" t="str">
        <x:v>https://www.thefantasyfootballers.com/2026-ultimate-draft-kit/udk-andys-projections/?position=FLEX</x:v>
      </x:c>
    </x:row>
    <x:row r="231">
      <x:c r="A231" s="70" t="str">
        <x:v>Calvin Austin III</x:v>
      </x:c>
      <x:c r="B231" s="69" t="str">
        <x:v>WR</x:v>
      </x:c>
      <x:c r="C231" s="69" t="str">
        <x:v>NYG</x:v>
      </x:c>
      <x:c r="D231" s="74" t="n">
        <x:v>8</x:v>
      </x:c>
      <x:c r="E231" s="74" t="n">
        <x:v>226</x:v>
      </x:c>
      <x:c r="F231" s="75" t="n">
        <x:v>3.9</x:v>
      </x:c>
      <x:c r="G231" s="76" t="n">
        <x:v>3</x:v>
      </x:c>
      <x:c r="H231" s="76" t="n">
        <x:v>24</x:v>
      </x:c>
      <x:c r="I231" s="76" t="n">
        <x:v>0</x:v>
      </x:c>
      <x:c r="J231" s="76" t="n">
        <x:v>24</x:v>
      </x:c>
      <x:c r="K231" s="76" t="n">
        <x:v>289</x:v>
      </x:c>
      <x:c r="L231" s="76" t="n">
        <x:v>2</x:v>
      </x:c>
      <x:c r="M231" s="76" t="n">
        <x:v>0</x:v>
      </x:c>
      <x:c r="N231" s="73" t="str">
        <x:v>https://www.thefantasyfootballers.com/2026-ultimate-draft-kit/udk-andys-projections/?position=FLEX</x:v>
      </x:c>
    </x:row>
    <x:row r="232">
      <x:c r="A232" s="70" t="str">
        <x:v>Nicholas Singleton</x:v>
      </x:c>
      <x:c r="B232" s="69" t="str">
        <x:v>RB</x:v>
      </x:c>
      <x:c r="C232" s="69" t="str">
        <x:v>TEN</x:v>
      </x:c>
      <x:c r="D232" s="74" t="n">
        <x:v>9</x:v>
      </x:c>
      <x:c r="E232" s="74" t="n">
        <x:v>227</x:v>
      </x:c>
      <x:c r="F232" s="75" t="n">
        <x:v>3.8</x:v>
      </x:c>
      <x:c r="G232" s="76" t="n">
        <x:v>67</x:v>
      </x:c>
      <x:c r="H232" s="76" t="n">
        <x:v>279</x:v>
      </x:c>
      <x:c r="I232" s="76" t="n">
        <x:v>2</x:v>
      </x:c>
      <x:c r="J232" s="76" t="n">
        <x:v>13</x:v>
      </x:c>
      <x:c r="K232" s="76" t="n">
        <x:v>94</x:v>
      </x:c>
      <x:c r="L232" s="76" t="n">
        <x:v>1</x:v>
      </x:c>
      <x:c r="M232" s="76" t="n">
        <x:v>1</x:v>
      </x:c>
      <x:c r="N232" s="73" t="str">
        <x:v>https://www.thefantasyfootballers.com/2026-ultimate-draft-kit/udk-andys-projections/?position=FLEX</x:v>
      </x:c>
    </x:row>
    <x:row r="233">
      <x:c r="A233" s="70" t="str">
        <x:v>Emmett Johnson</x:v>
      </x:c>
      <x:c r="B233" s="69" t="str">
        <x:v>RB</x:v>
      </x:c>
      <x:c r="C233" s="69" t="str">
        <x:v>KC</x:v>
      </x:c>
      <x:c r="D233" s="74" t="n">
        <x:v>5</x:v>
      </x:c>
      <x:c r="E233" s="74" t="n">
        <x:v>228</x:v>
      </x:c>
      <x:c r="F233" s="75" t="n">
        <x:v>3.8</x:v>
      </x:c>
      <x:c r="G233" s="76" t="n">
        <x:v>55</x:v>
      </x:c>
      <x:c r="H233" s="76" t="n">
        <x:v>241</x:v>
      </x:c>
      <x:c r="I233" s="76" t="n">
        <x:v>2</x:v>
      </x:c>
      <x:c r="J233" s="76" t="n">
        <x:v>14</x:v>
      </x:c>
      <x:c r="K233" s="76" t="n">
        <x:v>117</x:v>
      </x:c>
      <x:c r="L233" s="76" t="n">
        <x:v>1</x:v>
      </x:c>
      <x:c r="M233" s="76" t="n">
        <x:v>1</x:v>
      </x:c>
      <x:c r="N233" s="73" t="str">
        <x:v>https://www.thefantasyfootballers.com/2026-ultimate-draft-kit/udk-andys-projections/?position=FLEX</x:v>
      </x:c>
    </x:row>
    <x:row r="234">
      <x:c r="A234" s="70" t="str">
        <x:v>James Conner</x:v>
      </x:c>
      <x:c r="B234" s="69" t="str">
        <x:v>RB</x:v>
      </x:c>
      <x:c r="C234" s="69" t="str">
        <x:v>ARI</x:v>
      </x:c>
      <x:c r="D234" s="74" t="n">
        <x:v>14</x:v>
      </x:c>
      <x:c r="E234" s="74" t="n">
        <x:v>229</x:v>
      </x:c>
      <x:c r="F234" s="75" t="n">
        <x:v>3.8</x:v>
      </x:c>
      <x:c r="G234" s="76" t="n">
        <x:v>66</x:v>
      </x:c>
      <x:c r="H234" s="76" t="n">
        <x:v>236</x:v>
      </x:c>
      <x:c r="I234" s="76" t="n">
        <x:v>2</x:v>
      </x:c>
      <x:c r="J234" s="76" t="n">
        <x:v>14</x:v>
      </x:c>
      <x:c r="K234" s="76" t="n">
        <x:v>65</x:v>
      </x:c>
      <x:c r="L234" s="76" t="n">
        <x:v>2</x:v>
      </x:c>
      <x:c r="M234" s="76" t="n">
        <x:v>0</x:v>
      </x:c>
      <x:c r="N234" s="73" t="str">
        <x:v>https://www.thefantasyfootballers.com/2026-ultimate-draft-kit/udk-andys-projections/?position=FLEX</x:v>
      </x:c>
    </x:row>
    <x:row r="235">
      <x:c r="A235" s="70" t="str">
        <x:v>George Holani</x:v>
      </x:c>
      <x:c r="B235" s="69" t="str">
        <x:v>RB</x:v>
      </x:c>
      <x:c r="C235" s="69" t="str">
        <x:v>SEA</x:v>
      </x:c>
      <x:c r="D235" s="74" t="n">
        <x:v>11</x:v>
      </x:c>
      <x:c r="E235" s="74" t="n">
        <x:v>230</x:v>
      </x:c>
      <x:c r="F235" s="75" t="n">
        <x:v>3.8</x:v>
      </x:c>
      <x:c r="G235" s="76" t="n">
        <x:v>63</x:v>
      </x:c>
      <x:c r="H235" s="76" t="n">
        <x:v>247</x:v>
      </x:c>
      <x:c r="I235" s="76" t="n">
        <x:v>2</x:v>
      </x:c>
      <x:c r="J235" s="76" t="n">
        <x:v>16</x:v>
      </x:c>
      <x:c r="K235" s="76" t="n">
        <x:v>121</x:v>
      </x:c>
      <x:c r="L235" s="76" t="n">
        <x:v>0</x:v>
      </x:c>
      <x:c r="M235" s="76" t="n">
        <x:v>1</x:v>
      </x:c>
      <x:c r="N235" s="73" t="str">
        <x:v>https://www.thefantasyfootballers.com/2026-ultimate-draft-kit/udk-andys-projections/?position=FLEX</x:v>
      </x:c>
    </x:row>
    <x:row r="236">
      <x:c r="A236" s="70" t="str">
        <x:v>Devaughn Vele</x:v>
      </x:c>
      <x:c r="B236" s="69" t="str">
        <x:v>WR</x:v>
      </x:c>
      <x:c r="C236" s="69" t="str">
        <x:v>NO</x:v>
      </x:c>
      <x:c r="D236" s="74" t="n">
        <x:v>8</x:v>
      </x:c>
      <x:c r="E236" s="74" t="n">
        <x:v>231</x:v>
      </x:c>
      <x:c r="F236" s="75" t="n">
        <x:v>3.7</x:v>
      </x:c>
      <x:c r="G236" s="76" t="n">
        <x:v>2</x:v>
      </x:c>
      <x:c r="H236" s="76" t="n">
        <x:v>9</x:v>
      </x:c>
      <x:c r="I236" s="76" t="n">
        <x:v>0</x:v>
      </x:c>
      <x:c r="J236" s="76" t="n">
        <x:v>26</x:v>
      </x:c>
      <x:c r="K236" s="76" t="n">
        <x:v>315</x:v>
      </x:c>
      <x:c r="L236" s="76" t="n">
        <x:v>1</x:v>
      </x:c>
      <x:c r="M236" s="76" t="n">
        <x:v>0</x:v>
      </x:c>
      <x:c r="N236" s="73" t="str">
        <x:v>https://www.thefantasyfootballers.com/2026-ultimate-draft-kit/udk-andys-projections/?position=FLEX</x:v>
      </x:c>
    </x:row>
    <x:row r="237">
      <x:c r="A237" s="70" t="str">
        <x:v>Emanuel Wilson</x:v>
      </x:c>
      <x:c r="B237" s="69" t="str">
        <x:v>RB</x:v>
      </x:c>
      <x:c r="C237" s="69" t="str">
        <x:v>SEA</x:v>
      </x:c>
      <x:c r="D237" s="74" t="n">
        <x:v>11</x:v>
      </x:c>
      <x:c r="E237" s="74" t="n">
        <x:v>232</x:v>
      </x:c>
      <x:c r="F237" s="75" t="n">
        <x:v>3.7</x:v>
      </x:c>
      <x:c r="G237" s="76" t="n">
        <x:v>81</x:v>
      </x:c>
      <x:c r="H237" s="76" t="n">
        <x:v>331</x:v>
      </x:c>
      <x:c r="I237" s="76" t="n">
        <x:v>2</x:v>
      </x:c>
      <x:c r="J237" s="76" t="n">
        <x:v>10</x:v>
      </x:c>
      <x:c r="K237" s="76" t="n">
        <x:v>75</x:v>
      </x:c>
      <x:c r="L237" s="76" t="n">
        <x:v>0</x:v>
      </x:c>
      <x:c r="M237" s="76" t="n">
        <x:v>1</x:v>
      </x:c>
      <x:c r="N237" s="73" t="str">
        <x:v>https://www.thefantasyfootballers.com/2026-ultimate-draft-kit/udk-andys-projections/?position=FLEX</x:v>
      </x:c>
    </x:row>
    <x:row r="238">
      <x:c r="A238" s="70" t="str">
        <x:v>Ja'Tavion Sanders</x:v>
      </x:c>
      <x:c r="B238" s="69" t="str">
        <x:v>TE</x:v>
      </x:c>
      <x:c r="C238" s="69" t="str">
        <x:v>CAR</x:v>
      </x:c>
      <x:c r="D238" s="74" t="n">
        <x:v>5</x:v>
      </x:c>
      <x:c r="E238" s="74" t="n">
        <x:v>233</x:v>
      </x:c>
      <x:c r="F238" s="75" t="n">
        <x:v>3.7</x:v>
      </x:c>
      <x:c r="G238" s="76" t="n">
        <x:v>0</x:v>
      </x:c>
      <x:c r="H238" s="76" t="n">
        <x:v>0</x:v>
      </x:c>
      <x:c r="I238" s="76" t="n">
        <x:v>0</x:v>
      </x:c>
      <x:c r="J238" s="76" t="n">
        <x:v>30</x:v>
      </x:c>
      <x:c r="K238" s="76" t="n">
        <x:v>251</x:v>
      </x:c>
      <x:c r="L238" s="76" t="n">
        <x:v>1</x:v>
      </x:c>
      <x:c r="M238" s="76" t="n">
        <x:v>0</x:v>
      </x:c>
      <x:c r="N238" s="73" t="str">
        <x:v>https://www.thefantasyfootballers.com/2026-ultimate-draft-kit/udk-andys-projections/?position=FLEX</x:v>
      </x:c>
    </x:row>
    <x:row r="239">
      <x:c r="A239" s="70" t="str">
        <x:v>Bryce Lance</x:v>
      </x:c>
      <x:c r="B239" s="69" t="str">
        <x:v>WR</x:v>
      </x:c>
      <x:c r="C239" s="69" t="str">
        <x:v>NO</x:v>
      </x:c>
      <x:c r="D239" s="74" t="n">
        <x:v>8</x:v>
      </x:c>
      <x:c r="E239" s="74" t="n">
        <x:v>234</x:v>
      </x:c>
      <x:c r="F239" s="75" t="n">
        <x:v>3.7</x:v>
      </x:c>
      <x:c r="G239" s="76" t="n">
        <x:v>8</x:v>
      </x:c>
      <x:c r="H239" s="76" t="n">
        <x:v>44</x:v>
      </x:c>
      <x:c r="I239" s="76" t="n">
        <x:v>0</x:v>
      </x:c>
      <x:c r="J239" s="76" t="n">
        <x:v>23</x:v>
      </x:c>
      <x:c r="K239" s="76" t="n">
        <x:v>294</x:v>
      </x:c>
      <x:c r="L239" s="76" t="n">
        <x:v>1</x:v>
      </x:c>
      <x:c r="M239" s="76" t="n">
        <x:v>1</x:v>
      </x:c>
      <x:c r="N239" s="73" t="str">
        <x:v>https://www.thefantasyfootballers.com/2026-ultimate-draft-kit/udk-andys-projections/?position=FLEX</x:v>
      </x:c>
    </x:row>
    <x:row r="240">
      <x:c r="A240" s="70" t="str">
        <x:v>Ben Sinnott</x:v>
      </x:c>
      <x:c r="B240" s="69" t="str">
        <x:v>TE</x:v>
      </x:c>
      <x:c r="C240" s="69" t="str">
        <x:v>WAS</x:v>
      </x:c>
      <x:c r="D240" s="74" t="n">
        <x:v>7</x:v>
      </x:c>
      <x:c r="E240" s="74" t="n">
        <x:v>235</x:v>
      </x:c>
      <x:c r="F240" s="75" t="n">
        <x:v>3.6</x:v>
      </x:c>
      <x:c r="G240" s="76" t="n">
        <x:v>2</x:v>
      </x:c>
      <x:c r="H240" s="76" t="n">
        <x:v>10</x:v>
      </x:c>
      <x:c r="I240" s="76" t="n">
        <x:v>0</x:v>
      </x:c>
      <x:c r="J240" s="76" t="n">
        <x:v>26</x:v>
      </x:c>
      <x:c r="K240" s="76" t="n">
        <x:v>280</x:v>
      </x:c>
      <x:c r="L240" s="76" t="n">
        <x:v>1</x:v>
      </x:c>
      <x:c r="M240" s="76" t="n">
        <x:v>0</x:v>
      </x:c>
      <x:c r="N240" s="73" t="str">
        <x:v>https://www.thefantasyfootballers.com/2026-ultimate-draft-kit/udk-andys-projections/?position=FLEX</x:v>
      </x:c>
    </x:row>
    <x:row r="241">
      <x:c r="A241" s="70" t="str">
        <x:v>Sean Tucker</x:v>
      </x:c>
      <x:c r="B241" s="69" t="str">
        <x:v>RB</x:v>
      </x:c>
      <x:c r="C241" s="69" t="str">
        <x:v>TB</x:v>
      </x:c>
      <x:c r="D241" s="74" t="n">
        <x:v>10</x:v>
      </x:c>
      <x:c r="E241" s="74" t="n">
        <x:v>236</x:v>
      </x:c>
      <x:c r="F241" s="75" t="n">
        <x:v>3.6</x:v>
      </x:c>
      <x:c r="G241" s="76" t="n">
        <x:v>67</x:v>
      </x:c>
      <x:c r="H241" s="76" t="n">
        <x:v>261</x:v>
      </x:c>
      <x:c r="I241" s="76" t="n">
        <x:v>3</x:v>
      </x:c>
      <x:c r="J241" s="76" t="n">
        <x:v>9</x:v>
      </x:c>
      <x:c r="K241" s="76" t="n">
        <x:v>59</x:v>
      </x:c>
      <x:c r="L241" s="76" t="n">
        <x:v>1</x:v>
      </x:c>
      <x:c r="M241" s="76" t="n">
        <x:v>1</x:v>
      </x:c>
      <x:c r="N241" s="73" t="str">
        <x:v>https://www.thefantasyfootballers.com/2026-ultimate-draft-kit/udk-andys-projections/?position=FLEX</x:v>
      </x:c>
    </x:row>
    <x:row r="242">
      <x:c r="A242" s="70" t="str">
        <x:v>Charlie Kolar</x:v>
      </x:c>
      <x:c r="B242" s="69" t="str">
        <x:v>TE</x:v>
      </x:c>
      <x:c r="C242" s="69" t="str">
        <x:v>LAC</x:v>
      </x:c>
      <x:c r="D242" s="74" t="n">
        <x:v>7</x:v>
      </x:c>
      <x:c r="E242" s="74" t="n">
        <x:v>237</x:v>
      </x:c>
      <x:c r="F242" s="75" t="n">
        <x:v>3.5</x:v>
      </x:c>
      <x:c r="G242" s="76" t="n">
        <x:v>0</x:v>
      </x:c>
      <x:c r="H242" s="76" t="n">
        <x:v>0</x:v>
      </x:c>
      <x:c r="I242" s="76" t="n">
        <x:v>0</x:v>
      </x:c>
      <x:c r="J242" s="76" t="n">
        <x:v>24</x:v>
      </x:c>
      <x:c r="K242" s="76" t="n">
        <x:v>236</x:v>
      </x:c>
      <x:c r="L242" s="76" t="n">
        <x:v>2</x:v>
      </x:c>
      <x:c r="M242" s="76" t="n">
        <x:v>0</x:v>
      </x:c>
      <x:c r="N242" s="73" t="str">
        <x:v>https://www.thefantasyfootballers.com/2026-ultimate-draft-kit/udk-andys-projections/?position=FLEX</x:v>
      </x:c>
    </x:row>
    <x:row r="243">
      <x:c r="A243" s="70" t="str">
        <x:v>Terrance Ferguson</x:v>
      </x:c>
      <x:c r="B243" s="69" t="str">
        <x:v>TE</x:v>
      </x:c>
      <x:c r="C243" s="69" t="str">
        <x:v>LAR</x:v>
      </x:c>
      <x:c r="D243" s="74" t="n">
        <x:v>11</x:v>
      </x:c>
      <x:c r="E243" s="74" t="n">
        <x:v>238</x:v>
      </x:c>
      <x:c r="F243" s="75" t="n">
        <x:v>3.5</x:v>
      </x:c>
      <x:c r="G243" s="76" t="n">
        <x:v>0</x:v>
      </x:c>
      <x:c r="H243" s="76" t="n">
        <x:v>0</x:v>
      </x:c>
      <x:c r="I243" s="76" t="n">
        <x:v>0</x:v>
      </x:c>
      <x:c r="J243" s="76" t="n">
        <x:v>26</x:v>
      </x:c>
      <x:c r="K243" s="76" t="n">
        <x:v>257</x:v>
      </x:c>
      <x:c r="L243" s="76" t="n">
        <x:v>1</x:v>
      </x:c>
      <x:c r="M243" s="76" t="n">
        <x:v>0</x:v>
      </x:c>
      <x:c r="N243" s="73" t="str">
        <x:v>https://www.thefantasyfootballers.com/2026-ultimate-draft-kit/udk-andys-projections/?position=FLEX</x:v>
      </x:c>
    </x:row>
    <x:row r="244">
      <x:c r="A244" s="70" t="str">
        <x:v>Brashard Smith</x:v>
      </x:c>
      <x:c r="B244" s="69" t="str">
        <x:v>RB</x:v>
      </x:c>
      <x:c r="C244" s="69" t="str">
        <x:v>KC</x:v>
      </x:c>
      <x:c r="D244" s="74" t="n">
        <x:v>5</x:v>
      </x:c>
      <x:c r="E244" s="74" t="n">
        <x:v>239</x:v>
      </x:c>
      <x:c r="F244" s="75" t="n">
        <x:v>3.5</x:v>
      </x:c>
      <x:c r="G244" s="76" t="n">
        <x:v>41</x:v>
      </x:c>
      <x:c r="H244" s="76" t="n">
        <x:v>165</x:v>
      </x:c>
      <x:c r="I244" s="76" t="n">
        <x:v>1</x:v>
      </x:c>
      <x:c r="J244" s="76" t="n">
        <x:v>20</x:v>
      </x:c>
      <x:c r="K244" s="76" t="n">
        <x:v>146</x:v>
      </x:c>
      <x:c r="L244" s="76" t="n">
        <x:v>1</x:v>
      </x:c>
      <x:c r="M244" s="76" t="n">
        <x:v>1</x:v>
      </x:c>
      <x:c r="N244" s="73" t="str">
        <x:v>https://www.thefantasyfootballers.com/2026-ultimate-draft-kit/udk-andys-projections/?position=FLEX</x:v>
      </x:c>
    </x:row>
    <x:row r="245">
      <x:c r="A245" s="70" t="str">
        <x:v>Noah Gray</x:v>
      </x:c>
      <x:c r="B245" s="69" t="str">
        <x:v>TE</x:v>
      </x:c>
      <x:c r="C245" s="69" t="str">
        <x:v>KC</x:v>
      </x:c>
      <x:c r="D245" s="74" t="n">
        <x:v>5</x:v>
      </x:c>
      <x:c r="E245" s="74" t="n">
        <x:v>240</x:v>
      </x:c>
      <x:c r="F245" s="75" t="n">
        <x:v>3.4</x:v>
      </x:c>
      <x:c r="G245" s="76" t="n">
        <x:v>0</x:v>
      </x:c>
      <x:c r="H245" s="76" t="n">
        <x:v>0</x:v>
      </x:c>
      <x:c r="I245" s="76" t="n">
        <x:v>0</x:v>
      </x:c>
      <x:c r="J245" s="76" t="n">
        <x:v>28</x:v>
      </x:c>
      <x:c r="K245" s="76" t="n">
        <x:v>245</x:v>
      </x:c>
      <x:c r="L245" s="76" t="n">
        <x:v>1</x:v>
      </x:c>
      <x:c r="M245" s="76" t="n">
        <x:v>0</x:v>
      </x:c>
      <x:c r="N245" s="73" t="str">
        <x:v>https://www.thefantasyfootballers.com/2026-ultimate-draft-kit/udk-andys-projections/?position=FLEX</x:v>
      </x:c>
    </x:row>
    <x:row r="246">
      <x:c r="A246" s="70" t="str">
        <x:v>Najee Harris</x:v>
      </x:c>
      <x:c r="B246" s="69" t="str">
        <x:v>RB</x:v>
      </x:c>
      <x:c r="C246" s="69" t="str">
        <x:v>NYG</x:v>
      </x:c>
      <x:c r="D246" s="74" t="n">
        <x:v>8</x:v>
      </x:c>
      <x:c r="E246" s="74" t="n">
        <x:v>241</x:v>
      </x:c>
      <x:c r="F246" s="75" t="n">
        <x:v>3.4</x:v>
      </x:c>
      <x:c r="G246" s="76" t="n">
        <x:v>60</x:v>
      </x:c>
      <x:c r="H246" s="76" t="n">
        <x:v>223</x:v>
      </x:c>
      <x:c r="I246" s="76" t="n">
        <x:v>1</x:v>
      </x:c>
      <x:c r="J246" s="76" t="n">
        <x:v>18</x:v>
      </x:c>
      <x:c r="K246" s="76" t="n">
        <x:v>126</x:v>
      </x:c>
      <x:c r="L246" s="76" t="n">
        <x:v>0</x:v>
      </x:c>
      <x:c r="M246" s="76" t="n">
        <x:v>1</x:v>
      </x:c>
      <x:c r="N246" s="73" t="str">
        <x:v>https://www.thefantasyfootballers.com/2026-ultimate-draft-kit/udk-andys-projections/?position=FLEX</x:v>
      </x:c>
    </x:row>
    <x:row r="247">
      <x:c r="A247" s="70" t="str">
        <x:v>Noah Fant</x:v>
      </x:c>
      <x:c r="B247" s="69" t="str">
        <x:v>TE</x:v>
      </x:c>
      <x:c r="C247" s="69" t="str">
        <x:v>NO</x:v>
      </x:c>
      <x:c r="D247" s="74" t="n">
        <x:v>8</x:v>
      </x:c>
      <x:c r="E247" s="74" t="n">
        <x:v>242</x:v>
      </x:c>
      <x:c r="F247" s="75" t="n">
        <x:v>3.4</x:v>
      </x:c>
      <x:c r="G247" s="76" t="n">
        <x:v>0</x:v>
      </x:c>
      <x:c r="H247" s="76" t="n">
        <x:v>0</x:v>
      </x:c>
      <x:c r="I247" s="76" t="n">
        <x:v>0</x:v>
      </x:c>
      <x:c r="J247" s="76" t="n">
        <x:v>27</x:v>
      </x:c>
      <x:c r="K247" s="76" t="n">
        <x:v>248</x:v>
      </x:c>
      <x:c r="L247" s="76" t="n">
        <x:v>1</x:v>
      </x:c>
      <x:c r="M247" s="76" t="n">
        <x:v>0</x:v>
      </x:c>
      <x:c r="N247" s="73" t="str">
        <x:v>https://www.thefantasyfootballers.com/2026-ultimate-draft-kit/udk-andys-projections/?position=FLEX</x:v>
      </x:c>
    </x:row>
    <x:row r="248">
      <x:c r="A248" s="70" t="str">
        <x:v>Darnell Washington</x:v>
      </x:c>
      <x:c r="B248" s="69" t="str">
        <x:v>TE</x:v>
      </x:c>
      <x:c r="C248" s="69" t="str">
        <x:v>PIT</x:v>
      </x:c>
      <x:c r="D248" s="74" t="n">
        <x:v>9</x:v>
      </x:c>
      <x:c r="E248" s="74" t="n">
        <x:v>243</x:v>
      </x:c>
      <x:c r="F248" s="75" t="n">
        <x:v>3.4</x:v>
      </x:c>
      <x:c r="G248" s="76" t="n">
        <x:v>0</x:v>
      </x:c>
      <x:c r="H248" s="76" t="n">
        <x:v>0</x:v>
      </x:c>
      <x:c r="I248" s="76" t="n">
        <x:v>0</x:v>
      </x:c>
      <x:c r="J248" s="76" t="n">
        <x:v>24</x:v>
      </x:c>
      <x:c r="K248" s="76" t="n">
        <x:v>259</x:v>
      </x:c>
      <x:c r="L248" s="76" t="n">
        <x:v>1</x:v>
      </x:c>
      <x:c r="M248" s="76" t="n">
        <x:v>0</x:v>
      </x:c>
      <x:c r="N248" s="73" t="str">
        <x:v>https://www.thefantasyfootballers.com/2026-ultimate-draft-kit/udk-andys-projections/?position=FLEX</x:v>
      </x:c>
    </x:row>
    <x:row r="249">
      <x:c r="A249" s="70" t="str">
        <x:v>AJ Dillon</x:v>
      </x:c>
      <x:c r="B249" s="69" t="str">
        <x:v>RB</x:v>
      </x:c>
      <x:c r="C249" s="69" t="str">
        <x:v>CAR</x:v>
      </x:c>
      <x:c r="D249" s="74" t="n">
        <x:v>5</x:v>
      </x:c>
      <x:c r="E249" s="74" t="n">
        <x:v>244</x:v>
      </x:c>
      <x:c r="F249" s="75" t="n">
        <x:v>3.3</x:v>
      </x:c>
      <x:c r="G249" s="76" t="n">
        <x:v>65</x:v>
      </x:c>
      <x:c r="H249" s="76" t="n">
        <x:v>242</x:v>
      </x:c>
      <x:c r="I249" s="76" t="n">
        <x:v>3</x:v>
      </x:c>
      <x:c r="J249" s="76" t="n">
        <x:v>13</x:v>
      </x:c>
      <x:c r="K249" s="76" t="n">
        <x:v>62</x:v>
      </x:c>
      <x:c r="L249" s="76" t="n">
        <x:v>0</x:v>
      </x:c>
      <x:c r="M249" s="76" t="n">
        <x:v>3</x:v>
      </x:c>
      <x:c r="N249" s="73" t="str">
        <x:v>https://www.thefantasyfootballers.com/2026-ultimate-draft-kit/udk-andys-projections/?position=FLEX</x:v>
      </x:c>
    </x:row>
    <x:row r="250">
      <x:c r="A250" s="70" t="str">
        <x:v>Andrei Iosivas</x:v>
      </x:c>
      <x:c r="B250" s="69" t="str">
        <x:v>WR</x:v>
      </x:c>
      <x:c r="C250" s="69" t="str">
        <x:v>CIN</x:v>
      </x:c>
      <x:c r="D250" s="74" t="n">
        <x:v>6</x:v>
      </x:c>
      <x:c r="E250" s="74" t="n">
        <x:v>245</x:v>
      </x:c>
      <x:c r="F250" s="75" t="n">
        <x:v>3.3</x:v>
      </x:c>
      <x:c r="G250" s="76" t="n">
        <x:v>1</x:v>
      </x:c>
      <x:c r="H250" s="76" t="n">
        <x:v>9</x:v>
      </x:c>
      <x:c r="I250" s="76" t="n">
        <x:v>0</x:v>
      </x:c>
      <x:c r="J250" s="76" t="n">
        <x:v>19</x:v>
      </x:c>
      <x:c r="K250" s="76" t="n">
        <x:v>282</x:v>
      </x:c>
      <x:c r="L250" s="76" t="n">
        <x:v>1</x:v>
      </x:c>
      <x:c r="M250" s="76" t="n">
        <x:v>0</x:v>
      </x:c>
      <x:c r="N250" s="73" t="str">
        <x:v>https://www.thefantasyfootballers.com/2026-ultimate-draft-kit/udk-andys-projections/?position=FLEX</x:v>
      </x:c>
    </x:row>
    <x:row r="251">
      <x:c r="A251" s="70" t="str">
        <x:v>Christian Kirk</x:v>
      </x:c>
      <x:c r="B251" s="69" t="str">
        <x:v>WR</x:v>
      </x:c>
      <x:c r="C251" s="69" t="str">
        <x:v>SF</x:v>
      </x:c>
      <x:c r="D251" s="74" t="n">
        <x:v>8</x:v>
      </x:c>
      <x:c r="E251" s="74" t="n">
        <x:v>246</x:v>
      </x:c>
      <x:c r="F251" s="75" t="n">
        <x:v>3.2</x:v>
      </x:c>
      <x:c r="G251" s="76" t="n">
        <x:v>2</x:v>
      </x:c>
      <x:c r="H251" s="76" t="n">
        <x:v>7</x:v>
      </x:c>
      <x:c r="I251" s="76" t="n">
        <x:v>0</x:v>
      </x:c>
      <x:c r="J251" s="76" t="n">
        <x:v>21</x:v>
      </x:c>
      <x:c r="K251" s="76" t="n">
        <x:v>237</x:v>
      </x:c>
      <x:c r="L251" s="76" t="n">
        <x:v>2</x:v>
      </x:c>
      <x:c r="M251" s="76" t="n">
        <x:v>0</x:v>
      </x:c>
      <x:c r="N251" s="73" t="str">
        <x:v>https://www.thefantasyfootballers.com/2026-ultimate-draft-kit/udk-andys-projections/?position=FLEX</x:v>
      </x:c>
    </x:row>
    <x:row r="252">
      <x:c r="A252" s="70" t="str">
        <x:v>Tutu Atwell</x:v>
      </x:c>
      <x:c r="B252" s="69" t="str">
        <x:v>WR</x:v>
      </x:c>
      <x:c r="C252" s="69" t="str">
        <x:v>LAR</x:v>
      </x:c>
      <x:c r="D252" s="74" t="n">
        <x:v>11</x:v>
      </x:c>
      <x:c r="E252" s="74" t="n">
        <x:v>247</x:v>
      </x:c>
      <x:c r="F252" s="75" t="n">
        <x:v>3.1</x:v>
      </x:c>
      <x:c r="G252" s="76" t="n">
        <x:v>4</x:v>
      </x:c>
      <x:c r="H252" s="76" t="n">
        <x:v>21</x:v>
      </x:c>
      <x:c r="I252" s="76" t="n">
        <x:v>0</x:v>
      </x:c>
      <x:c r="J252" s="76" t="n">
        <x:v>19</x:v>
      </x:c>
      <x:c r="K252" s="76" t="n">
        <x:v>246</x:v>
      </x:c>
      <x:c r="L252" s="76" t="n">
        <x:v>1</x:v>
      </x:c>
      <x:c r="M252" s="76" t="n">
        <x:v>0</x:v>
      </x:c>
      <x:c r="N252" s="73" t="str">
        <x:v>https://www.thefantasyfootballers.com/2026-ultimate-draft-kit/udk-andys-projections/?position=FLEX</x:v>
      </x:c>
    </x:row>
    <x:row r="253">
      <x:c r="A253" s="70" t="str">
        <x:v>Kaelon Black</x:v>
      </x:c>
      <x:c r="B253" s="69" t="str">
        <x:v>RB</x:v>
      </x:c>
      <x:c r="C253" s="69" t="str">
        <x:v>SF</x:v>
      </x:c>
      <x:c r="D253" s="74" t="n">
        <x:v>8</x:v>
      </x:c>
      <x:c r="E253" s="74" t="n">
        <x:v>248</x:v>
      </x:c>
      <x:c r="F253" s="75" t="n">
        <x:v>3.1</x:v>
      </x:c>
      <x:c r="G253" s="76" t="n">
        <x:v>47</x:v>
      </x:c>
      <x:c r="H253" s="76" t="n">
        <x:v>194</x:v>
      </x:c>
      <x:c r="I253" s="76" t="n">
        <x:v>2</x:v>
      </x:c>
      <x:c r="J253" s="76" t="n">
        <x:v>13</x:v>
      </x:c>
      <x:c r="K253" s="76" t="n">
        <x:v>100</x:v>
      </x:c>
      <x:c r="L253" s="76" t="n">
        <x:v>0</x:v>
      </x:c>
      <x:c r="M253" s="76" t="n">
        <x:v>1</x:v>
      </x:c>
      <x:c r="N253" s="73" t="str">
        <x:v>https://www.thefantasyfootballers.com/2026-ultimate-draft-kit/udk-andys-projections/?position=FLEX</x:v>
      </x:c>
    </x:row>
    <x:row r="254">
      <x:c r="A254" s="70" t="str">
        <x:v>Tommy Tremble</x:v>
      </x:c>
      <x:c r="B254" s="69" t="str">
        <x:v>TE</x:v>
      </x:c>
      <x:c r="C254" s="69" t="str">
        <x:v>CAR</x:v>
      </x:c>
      <x:c r="D254" s="74" t="n">
        <x:v>5</x:v>
      </x:c>
      <x:c r="E254" s="74" t="n">
        <x:v>249</x:v>
      </x:c>
      <x:c r="F254" s="75" t="n">
        <x:v>3.1</x:v>
      </x:c>
      <x:c r="G254" s="76" t="n">
        <x:v>0</x:v>
      </x:c>
      <x:c r="H254" s="76" t="n">
        <x:v>0</x:v>
      </x:c>
      <x:c r="I254" s="76" t="n">
        <x:v>0</x:v>
      </x:c>
      <x:c r="J254" s="76" t="n">
        <x:v>21</x:v>
      </x:c>
      <x:c r="K254" s="76" t="n">
        <x:v>217</x:v>
      </x:c>
      <x:c r="L254" s="76" t="n">
        <x:v>2</x:v>
      </x:c>
      <x:c r="M254" s="76" t="n">
        <x:v>0</x:v>
      </x:c>
      <x:c r="N254" s="73" t="str">
        <x:v>https://www.thefantasyfootballers.com/2026-ultimate-draft-kit/udk-andys-projections/?position=FLEX</x:v>
      </x:c>
    </x:row>
    <x:row r="255">
      <x:c r="A255" s="70" t="str">
        <x:v>Jaylin Lane</x:v>
      </x:c>
      <x:c r="B255" s="69" t="str">
        <x:v>WR</x:v>
      </x:c>
      <x:c r="C255" s="69" t="str">
        <x:v>WAS</x:v>
      </x:c>
      <x:c r="D255" s="74" t="n">
        <x:v>7</x:v>
      </x:c>
      <x:c r="E255" s="74" t="n">
        <x:v>250</x:v>
      </x:c>
      <x:c r="F255" s="75" t="n">
        <x:v>3.1</x:v>
      </x:c>
      <x:c r="G255" s="76" t="n">
        <x:v>6</x:v>
      </x:c>
      <x:c r="H255" s="76" t="n">
        <x:v>39</x:v>
      </x:c>
      <x:c r="I255" s="76" t="n">
        <x:v>0</x:v>
      </x:c>
      <x:c r="J255" s="76" t="n">
        <x:v>19</x:v>
      </x:c>
      <x:c r="K255" s="76" t="n">
        <x:v>248</x:v>
      </x:c>
      <x:c r="L255" s="76" t="n">
        <x:v>1</x:v>
      </x:c>
      <x:c r="M255" s="76" t="n">
        <x:v>0</x:v>
      </x:c>
      <x:c r="N255" s="73" t="str">
        <x:v>https://www.thefantasyfootballers.com/2026-ultimate-draft-kit/udk-andys-projections/?position=FLEX</x:v>
      </x:c>
    </x:row>
    <x:row r="256">
      <x:c r="A256" s="70" t="str">
        <x:v>Jordan Whittington</x:v>
      </x:c>
      <x:c r="B256" s="69" t="str">
        <x:v>WR</x:v>
      </x:c>
      <x:c r="C256" s="69" t="str">
        <x:v>LAR</x:v>
      </x:c>
      <x:c r="D256" s="74" t="n">
        <x:v>11</x:v>
      </x:c>
      <x:c r="E256" s="74" t="n">
        <x:v>251</x:v>
      </x:c>
      <x:c r="F256" s="75" t="n">
        <x:v>3</x:v>
      </x:c>
      <x:c r="G256" s="76" t="n">
        <x:v>8</x:v>
      </x:c>
      <x:c r="H256" s="76" t="n">
        <x:v>19</x:v>
      </x:c>
      <x:c r="I256" s="76" t="n">
        <x:v>0</x:v>
      </x:c>
      <x:c r="J256" s="76" t="n">
        <x:v>23</x:v>
      </x:c>
      <x:c r="K256" s="76" t="n">
        <x:v>205</x:v>
      </x:c>
      <x:c r="L256" s="76" t="n">
        <x:v>1</x:v>
      </x:c>
      <x:c r="M256" s="76" t="n">
        <x:v>0</x:v>
      </x:c>
      <x:c r="N256" s="73" t="str">
        <x:v>https://www.thefantasyfootballers.com/2026-ultimate-draft-kit/udk-andys-projections/?position=FLEX</x:v>
      </x:c>
    </x:row>
    <x:row r="257">
      <x:c r="A257" s="70" t="str">
        <x:v>Josh Jacobs</x:v>
      </x:c>
      <x:c r="B257" s="69" t="str">
        <x:v>RB</x:v>
      </x:c>
      <x:c r="C257" s="69" t="str">
        <x:v>GB</x:v>
      </x:c>
      <x:c r="D257" s="74" t="n">
        <x:v>11</x:v>
      </x:c>
      <x:c r="E257" s="74" t="n">
        <x:v>252</x:v>
      </x:c>
      <x:c r="F257" s="75" t="n">
        <x:v>3</x:v>
      </x:c>
      <x:c r="G257" s="76" t="n">
        <x:v>51</x:v>
      </x:c>
      <x:c r="H257" s="76" t="n">
        <x:v>210</x:v>
      </x:c>
      <x:c r="I257" s="76" t="n">
        <x:v>3</x:v>
      </x:c>
      <x:c r="J257" s="76" t="n">
        <x:v>8</x:v>
      </x:c>
      <x:c r="K257" s="76" t="n">
        <x:v>62</x:v>
      </x:c>
      <x:c r="L257" s="76" t="n">
        <x:v>0</x:v>
      </x:c>
      <x:c r="M257" s="76" t="n">
        <x:v>1</x:v>
      </x:c>
      <x:c r="N257" s="73" t="str">
        <x:v>https://www.thefantasyfootballers.com/2026-ultimate-draft-kit/udk-andys-projections/?position=FLEX</x:v>
      </x:c>
    </x:row>
    <x:row r="258">
      <x:c r="A258" s="70" t="str">
        <x:v>Devin Singletary</x:v>
      </x:c>
      <x:c r="B258" s="69" t="str">
        <x:v>RB</x:v>
      </x:c>
      <x:c r="C258" s="69" t="str">
        <x:v>NYG</x:v>
      </x:c>
      <x:c r="D258" s="74" t="n">
        <x:v>8</x:v>
      </x:c>
      <x:c r="E258" s="74" t="n">
        <x:v>253</x:v>
      </x:c>
      <x:c r="F258" s="75" t="n">
        <x:v>3</x:v>
      </x:c>
      <x:c r="G258" s="76" t="n">
        <x:v>59</x:v>
      </x:c>
      <x:c r="H258" s="76" t="n">
        <x:v>229</x:v>
      </x:c>
      <x:c r="I258" s="76" t="n">
        <x:v>2</x:v>
      </x:c>
      <x:c r="J258" s="76" t="n">
        <x:v>6</x:v>
      </x:c>
      <x:c r="K258" s="76" t="n">
        <x:v>71</x:v>
      </x:c>
      <x:c r="L258" s="76" t="n">
        <x:v>1</x:v>
      </x:c>
      <x:c r="M258" s="76" t="n">
        <x:v>1</x:v>
      </x:c>
      <x:c r="N258" s="73" t="str">
        <x:v>https://www.thefantasyfootballers.com/2026-ultimate-draft-kit/udk-andys-projections/?position=FLEX</x:v>
      </x:c>
    </x:row>
    <x:row r="259">
      <x:c r="A259" s="70" t="str">
        <x:v>Kaleb Johnson</x:v>
      </x:c>
      <x:c r="B259" s="69" t="str">
        <x:v>RB</x:v>
      </x:c>
      <x:c r="C259" s="69" t="str">
        <x:v>GB</x:v>
      </x:c>
      <x:c r="D259" s="74" t="n">
        <x:v>11</x:v>
      </x:c>
      <x:c r="E259" s="74" t="n">
        <x:v>254</x:v>
      </x:c>
      <x:c r="F259" s="75" t="n">
        <x:v>2.9</x:v>
      </x:c>
      <x:c r="G259" s="76" t="n">
        <x:v>62</x:v>
      </x:c>
      <x:c r="H259" s="76" t="n">
        <x:v>259</x:v>
      </x:c>
      <x:c r="I259" s="76" t="n">
        <x:v>1</x:v>
      </x:c>
      <x:c r="J259" s="76" t="n">
        <x:v>13</x:v>
      </x:c>
      <x:c r="K259" s="76" t="n">
        <x:v>67</x:v>
      </x:c>
      <x:c r="L259" s="76" t="n">
        <x:v>0</x:v>
      </x:c>
      <x:c r="M259" s="76" t="n">
        <x:v>1</x:v>
      </x:c>
      <x:c r="N259" s="73" t="str">
        <x:v>https://www.thefantasyfootballers.com/2026-ultimate-draft-kit/udk-andys-projections/?position=FLEX</x:v>
      </x:c>
    </x:row>
    <x:row r="260">
      <x:c r="A260" s="70" t="str">
        <x:v>Elijah Sarratt</x:v>
      </x:c>
      <x:c r="B260" s="69" t="str">
        <x:v>WR</x:v>
      </x:c>
      <x:c r="C260" s="69" t="str">
        <x:v>BAL</x:v>
      </x:c>
      <x:c r="D260" s="74" t="n">
        <x:v>13</x:v>
      </x:c>
      <x:c r="E260" s="74" t="n">
        <x:v>255</x:v>
      </x:c>
      <x:c r="F260" s="75" t="n">
        <x:v>2.9</x:v>
      </x:c>
      <x:c r="G260" s="76" t="n">
        <x:v>0</x:v>
      </x:c>
      <x:c r="H260" s="76" t="n">
        <x:v>0</x:v>
      </x:c>
      <x:c r="I260" s="76" t="n">
        <x:v>0</x:v>
      </x:c>
      <x:c r="J260" s="76" t="n">
        <x:v>16</x:v>
      </x:c>
      <x:c r="K260" s="76" t="n">
        <x:v>214</x:v>
      </x:c>
      <x:c r="L260" s="76" t="n">
        <x:v>2</x:v>
      </x:c>
      <x:c r="M260" s="76" t="n">
        <x:v>0</x:v>
      </x:c>
      <x:c r="N260" s="73" t="str">
        <x:v>https://www.thefantasyfootballers.com/2026-ultimate-draft-kit/udk-andys-projections/?position=FLEX</x:v>
      </x:c>
    </x:row>
    <x:row r="261">
      <x:c r="A261" s="70" t="str">
        <x:v>Jaydon Blue</x:v>
      </x:c>
      <x:c r="B261" s="69" t="str">
        <x:v>RB</x:v>
      </x:c>
      <x:c r="C261" s="69" t="str">
        <x:v>FA</x:v>
      </x:c>
      <x:c r="D261" s="74"/>
      <x:c r="E261" s="74" t="n">
        <x:v>256</x:v>
      </x:c>
      <x:c r="F261" s="75" t="n">
        <x:v>2.9</x:v>
      </x:c>
      <x:c r="G261" s="76" t="n">
        <x:v>43</x:v>
      </x:c>
      <x:c r="H261" s="76" t="n">
        <x:v>178</x:v>
      </x:c>
      <x:c r="I261" s="76" t="n">
        <x:v>2</x:v>
      </x:c>
      <x:c r="J261" s="76" t="n">
        <x:v>13</x:v>
      </x:c>
      <x:c r="K261" s="76" t="n">
        <x:v>88</x:v>
      </x:c>
      <x:c r="L261" s="76" t="n">
        <x:v>0</x:v>
      </x:c>
      <x:c r="M261" s="76" t="n">
        <x:v>1</x:v>
      </x:c>
      <x:c r="N261" s="73" t="str">
        <x:v>https://www.thefantasyfootballers.com/2026-ultimate-draft-kit/udk-andys-projections/?position=FLEX</x:v>
      </x:c>
    </x:row>
    <x:row r="262">
      <x:c r="A262" s="70" t="str">
        <x:v>Adam Randall</x:v>
      </x:c>
      <x:c r="B262" s="69" t="str">
        <x:v>RB</x:v>
      </x:c>
      <x:c r="C262" s="69" t="str">
        <x:v>BAL</x:v>
      </x:c>
      <x:c r="D262" s="74" t="n">
        <x:v>13</x:v>
      </x:c>
      <x:c r="E262" s="74" t="n">
        <x:v>257</x:v>
      </x:c>
      <x:c r="F262" s="75" t="n">
        <x:v>2.9</x:v>
      </x:c>
      <x:c r="G262" s="76" t="n">
        <x:v>60</x:v>
      </x:c>
      <x:c r="H262" s="76" t="n">
        <x:v>225</x:v>
      </x:c>
      <x:c r="I262" s="76" t="n">
        <x:v>1</x:v>
      </x:c>
      <x:c r="J262" s="76" t="n">
        <x:v>10</x:v>
      </x:c>
      <x:c r="K262" s="76" t="n">
        <x:v>76</x:v>
      </x:c>
      <x:c r="L262" s="76" t="n">
        <x:v>0</x:v>
      </x:c>
      <x:c r="M262" s="76" t="n">
        <x:v>0</x:v>
      </x:c>
      <x:c r="N262" s="73" t="str">
        <x:v>https://www.thefantasyfootballers.com/2026-ultimate-draft-kit/udk-andys-projections/?position=FLEX</x:v>
      </x:c>
    </x:row>
    <x:row r="263">
      <x:c r="A263" s="70" t="str">
        <x:v>Jahan Dotson</x:v>
      </x:c>
      <x:c r="B263" s="69" t="str">
        <x:v>WR</x:v>
      </x:c>
      <x:c r="C263" s="69" t="str">
        <x:v>ATL</x:v>
      </x:c>
      <x:c r="D263" s="74" t="n">
        <x:v>11</x:v>
      </x:c>
      <x:c r="E263" s="74" t="n">
        <x:v>258</x:v>
      </x:c>
      <x:c r="F263" s="75" t="n">
        <x:v>2.8</x:v>
      </x:c>
      <x:c r="G263" s="76" t="n">
        <x:v>0</x:v>
      </x:c>
      <x:c r="H263" s="76" t="n">
        <x:v>0</x:v>
      </x:c>
      <x:c r="I263" s="76" t="n">
        <x:v>0</x:v>
      </x:c>
      <x:c r="J263" s="76" t="n">
        <x:v>18</x:v>
      </x:c>
      <x:c r="K263" s="76" t="n">
        <x:v>233</x:v>
      </x:c>
      <x:c r="L263" s="76" t="n">
        <x:v>1</x:v>
      </x:c>
      <x:c r="M263" s="76" t="n">
        <x:v>0</x:v>
      </x:c>
      <x:c r="N263" s="73" t="str">
        <x:v>https://www.thefantasyfootballers.com/2026-ultimate-draft-kit/udk-andys-projections/?position=FLEX</x:v>
      </x:c>
    </x:row>
    <x:row r="264">
      <x:c r="A264" s="70" t="str">
        <x:v>Max Klare</x:v>
      </x:c>
      <x:c r="B264" s="69" t="str">
        <x:v>TE</x:v>
      </x:c>
      <x:c r="C264" s="69" t="str">
        <x:v>LAR</x:v>
      </x:c>
      <x:c r="D264" s="74" t="n">
        <x:v>11</x:v>
      </x:c>
      <x:c r="E264" s="74" t="n">
        <x:v>259</x:v>
      </x:c>
      <x:c r="F264" s="75" t="n">
        <x:v>2.8</x:v>
      </x:c>
      <x:c r="G264" s="76" t="n">
        <x:v>0</x:v>
      </x:c>
      <x:c r="H264" s="76" t="n">
        <x:v>0</x:v>
      </x:c>
      <x:c r="I264" s="76" t="n">
        <x:v>0</x:v>
      </x:c>
      <x:c r="J264" s="76" t="n">
        <x:v>20</x:v>
      </x:c>
      <x:c r="K264" s="76" t="n">
        <x:v>218</x:v>
      </x:c>
      <x:c r="L264" s="76" t="n">
        <x:v>1</x:v>
      </x:c>
      <x:c r="M264" s="76" t="n">
        <x:v>0</x:v>
      </x:c>
      <x:c r="N264" s="73" t="str">
        <x:v>https://www.thefantasyfootballers.com/2026-ultimate-draft-kit/udk-andys-projections/?position=FLEX</x:v>
      </x:c>
    </x:row>
    <x:row r="265">
      <x:c r="A265" s="70" t="str">
        <x:v>Cedric Tillman</x:v>
      </x:c>
      <x:c r="B265" s="69" t="str">
        <x:v>WR</x:v>
      </x:c>
      <x:c r="C265" s="69" t="str">
        <x:v>FA</x:v>
      </x:c>
      <x:c r="D265" s="74"/>
      <x:c r="E265" s="74" t="n">
        <x:v>260</x:v>
      </x:c>
      <x:c r="F265" s="75" t="n">
        <x:v>2.8</x:v>
      </x:c>
      <x:c r="G265" s="76" t="n">
        <x:v>0</x:v>
      </x:c>
      <x:c r="H265" s="76" t="n">
        <x:v>0</x:v>
      </x:c>
      <x:c r="I265" s="76" t="n">
        <x:v>0</x:v>
      </x:c>
      <x:c r="J265" s="76" t="n">
        <x:v>16</x:v>
      </x:c>
      <x:c r="K265" s="76" t="n">
        <x:v>222</x:v>
      </x:c>
      <x:c r="L265" s="76" t="n">
        <x:v>2</x:v>
      </x:c>
      <x:c r="M265" s="76" t="n">
        <x:v>0</x:v>
      </x:c>
      <x:c r="N265" s="73" t="str">
        <x:v>https://www.thefantasyfootballers.com/2026-ultimate-draft-kit/udk-andys-projections/?position=FLEX</x:v>
      </x:c>
    </x:row>
    <x:row r="266">
      <x:c r="A266" s="70" t="str">
        <x:v>Devontez Walker</x:v>
      </x:c>
      <x:c r="B266" s="69" t="str">
        <x:v>WR</x:v>
      </x:c>
      <x:c r="C266" s="69" t="str">
        <x:v>BAL</x:v>
      </x:c>
      <x:c r="D266" s="74" t="n">
        <x:v>13</x:v>
      </x:c>
      <x:c r="E266" s="74" t="n">
        <x:v>261</x:v>
      </x:c>
      <x:c r="F266" s="75" t="n">
        <x:v>2.7</x:v>
      </x:c>
      <x:c r="G266" s="76" t="n">
        <x:v>0</x:v>
      </x:c>
      <x:c r="H266" s="76" t="n">
        <x:v>0</x:v>
      </x:c>
      <x:c r="I266" s="76" t="n">
        <x:v>0</x:v>
      </x:c>
      <x:c r="J266" s="76" t="n">
        <x:v>12</x:v>
      </x:c>
      <x:c r="K266" s="76" t="n">
        <x:v>179</x:v>
      </x:c>
      <x:c r="L266" s="76" t="n">
        <x:v>3</x:v>
      </x:c>
      <x:c r="M266" s="76" t="n">
        <x:v>0</x:v>
      </x:c>
      <x:c r="N266" s="73" t="str">
        <x:v>https://www.thefantasyfootballers.com/2026-ultimate-draft-kit/udk-andys-projections/?position=FLEX</x:v>
      </x:c>
    </x:row>
    <x:row r="267">
      <x:c r="A267" s="70" t="str">
        <x:v>Ray Davis</x:v>
      </x:c>
      <x:c r="B267" s="69" t="str">
        <x:v>RB</x:v>
      </x:c>
      <x:c r="C267" s="69" t="str">
        <x:v>BUF</x:v>
      </x:c>
      <x:c r="D267" s="74" t="n">
        <x:v>7</x:v>
      </x:c>
      <x:c r="E267" s="74" t="n">
        <x:v>262</x:v>
      </x:c>
      <x:c r="F267" s="75" t="n">
        <x:v>2.6</x:v>
      </x:c>
      <x:c r="G267" s="76" t="n">
        <x:v>42</x:v>
      </x:c>
      <x:c r="H267" s="76" t="n">
        <x:v>198</x:v>
      </x:c>
      <x:c r="I267" s="76" t="n">
        <x:v>0</x:v>
      </x:c>
      <x:c r="J267" s="76" t="n">
        <x:v>8</x:v>
      </x:c>
      <x:c r="K267" s="76" t="n">
        <x:v>72</x:v>
      </x:c>
      <x:c r="L267" s="76" t="n">
        <x:v>1</x:v>
      </x:c>
      <x:c r="M267" s="76" t="n">
        <x:v>0</x:v>
      </x:c>
      <x:c r="N267" s="73" t="str">
        <x:v>https://www.thefantasyfootballers.com/2026-ultimate-draft-kit/udk-andys-projections/?position=FLEX</x:v>
      </x:c>
    </x:row>
    <x:row r="268">
      <x:c r="A268" s="70" t="str">
        <x:v>Chris Brazzell II</x:v>
      </x:c>
      <x:c r="B268" s="69" t="str">
        <x:v>WR</x:v>
      </x:c>
      <x:c r="C268" s="69" t="str">
        <x:v>CAR</x:v>
      </x:c>
      <x:c r="D268" s="74" t="n">
        <x:v>5</x:v>
      </x:c>
      <x:c r="E268" s="74" t="n">
        <x:v>263</x:v>
      </x:c>
      <x:c r="F268" s="75" t="n">
        <x:v>2.6</x:v>
      </x:c>
      <x:c r="G268" s="76" t="n">
        <x:v>0</x:v>
      </x:c>
      <x:c r="H268" s="76" t="n">
        <x:v>0</x:v>
      </x:c>
      <x:c r="I268" s="76" t="n">
        <x:v>0</x:v>
      </x:c>
      <x:c r="J268" s="76" t="n">
        <x:v>16</x:v>
      </x:c>
      <x:c r="K268" s="76" t="n">
        <x:v>213</x:v>
      </x:c>
      <x:c r="L268" s="76" t="n">
        <x:v>1</x:v>
      </x:c>
      <x:c r="M268" s="76" t="n">
        <x:v>0</x:v>
      </x:c>
      <x:c r="N268" s="73" t="str">
        <x:v>https://www.thefantasyfootballers.com/2026-ultimate-draft-kit/udk-andys-projections/?position=FLEX</x:v>
      </x:c>
    </x:row>
    <x:row r="269">
      <x:c r="A269" s="70" t="str">
        <x:v>Luke Musgrave</x:v>
      </x:c>
      <x:c r="B269" s="69" t="str">
        <x:v>TE</x:v>
      </x:c>
      <x:c r="C269" s="69" t="str">
        <x:v>GB</x:v>
      </x:c>
      <x:c r="D269" s="74" t="n">
        <x:v>11</x:v>
      </x:c>
      <x:c r="E269" s="74" t="n">
        <x:v>264</x:v>
      </x:c>
      <x:c r="F269" s="75" t="n">
        <x:v>2.4</x:v>
      </x:c>
      <x:c r="G269" s="76" t="n">
        <x:v>1</x:v>
      </x:c>
      <x:c r="H269" s="76" t="n">
        <x:v>2</x:v>
      </x:c>
      <x:c r="I269" s="76" t="n">
        <x:v>0</x:v>
      </x:c>
      <x:c r="J269" s="76" t="n">
        <x:v>16</x:v>
      </x:c>
      <x:c r="K269" s="76" t="n">
        <x:v>177</x:v>
      </x:c>
      <x:c r="L269" s="76" t="n">
        <x:v>1</x:v>
      </x:c>
      <x:c r="M269" s="76" t="n">
        <x:v>0</x:v>
      </x:c>
      <x:c r="N269" s="73" t="str">
        <x:v>https://www.thefantasyfootballers.com/2026-ultimate-draft-kit/udk-andys-projections/?position=FLEX</x:v>
      </x:c>
    </x:row>
    <x:row r="270">
      <x:c r="A270" s="70" t="str">
        <x:v>Ollie Gordon II</x:v>
      </x:c>
      <x:c r="B270" s="69" t="str">
        <x:v>RB</x:v>
      </x:c>
      <x:c r="C270" s="69" t="str">
        <x:v>MIA</x:v>
      </x:c>
      <x:c r="D270" s="74" t="n">
        <x:v>6</x:v>
      </x:c>
      <x:c r="E270" s="74" t="n">
        <x:v>265</x:v>
      </x:c>
      <x:c r="F270" s="75" t="n">
        <x:v>2.3</x:v>
      </x:c>
      <x:c r="G270" s="76" t="n">
        <x:v>41</x:v>
      </x:c>
      <x:c r="H270" s="76" t="n">
        <x:v>168</x:v>
      </x:c>
      <x:c r="I270" s="76" t="n">
        <x:v>2</x:v>
      </x:c>
      <x:c r="J270" s="76" t="n">
        <x:v>10</x:v>
      </x:c>
      <x:c r="K270" s="76" t="n">
        <x:v>60</x:v>
      </x:c>
      <x:c r="L270" s="76" t="n">
        <x:v>0</x:v>
      </x:c>
      <x:c r="M270" s="76" t="n">
        <x:v>1</x:v>
      </x:c>
      <x:c r="N270" s="73" t="str">
        <x:v>https://www.thefantasyfootballers.com/2026-ultimate-draft-kit/udk-andys-projections/?position=FLEX</x:v>
      </x:c>
    </x:row>
    <x:row r="271">
      <x:c r="A271" s="70" t="str">
        <x:v>Zavion Thomas</x:v>
      </x:c>
      <x:c r="B271" s="69" t="str">
        <x:v>WR</x:v>
      </x:c>
      <x:c r="C271" s="69" t="str">
        <x:v>CHI</x:v>
      </x:c>
      <x:c r="D271" s="74" t="n">
        <x:v>10</x:v>
      </x:c>
      <x:c r="E271" s="74" t="n">
        <x:v>266</x:v>
      </x:c>
      <x:c r="F271" s="75" t="n">
        <x:v>2.2</x:v>
      </x:c>
      <x:c r="G271" s="76" t="n">
        <x:v>0</x:v>
      </x:c>
      <x:c r="H271" s="76" t="n">
        <x:v>0</x:v>
      </x:c>
      <x:c r="I271" s="76" t="n">
        <x:v>0</x:v>
      </x:c>
      <x:c r="J271" s="76" t="n">
        <x:v>14</x:v>
      </x:c>
      <x:c r="K271" s="76" t="n">
        <x:v>174</x:v>
      </x:c>
      <x:c r="L271" s="76" t="n">
        <x:v>1</x:v>
      </x:c>
      <x:c r="M271" s="76" t="n">
        <x:v>0</x:v>
      </x:c>
      <x:c r="N271" s="73" t="str">
        <x:v>https://www.thefantasyfootballers.com/2026-ultimate-draft-kit/udk-andys-projections/?position=FLEX</x:v>
      </x:c>
    </x:row>
    <x:row r="272">
      <x:c r="A272" s="70" t="str">
        <x:v>Xavier Legette</x:v>
      </x:c>
      <x:c r="B272" s="69" t="str">
        <x:v>WR</x:v>
      </x:c>
      <x:c r="C272" s="69" t="str">
        <x:v>CAR</x:v>
      </x:c>
      <x:c r="D272" s="74" t="n">
        <x:v>5</x:v>
      </x:c>
      <x:c r="E272" s="74" t="n">
        <x:v>267</x:v>
      </x:c>
      <x:c r="F272" s="75" t="n">
        <x:v>2.1</x:v>
      </x:c>
      <x:c r="G272" s="76" t="n">
        <x:v>1</x:v>
      </x:c>
      <x:c r="H272" s="76" t="n">
        <x:v>0</x:v>
      </x:c>
      <x:c r="I272" s="76" t="n">
        <x:v>0</x:v>
      </x:c>
      <x:c r="J272" s="76" t="n">
        <x:v>13</x:v>
      </x:c>
      <x:c r="K272" s="76" t="n">
        <x:v>129</x:v>
      </x:c>
      <x:c r="L272" s="76" t="n">
        <x:v>2</x:v>
      </x:c>
      <x:c r="M272" s="76" t="n">
        <x:v>0</x:v>
      </x:c>
      <x:c r="N272" s="73" t="str">
        <x:v>https://www.thefantasyfootballers.com/2026-ultimate-draft-kit/udk-andys-projections/?position=FLEX</x:v>
      </x:c>
    </x:row>
    <x:row r="273">
      <x:c r="A273" s="70" t="str">
        <x:v>Jaylen Wright</x:v>
      </x:c>
      <x:c r="B273" s="69" t="str">
        <x:v>RB</x:v>
      </x:c>
      <x:c r="C273" s="69" t="str">
        <x:v>MIA</x:v>
      </x:c>
      <x:c r="D273" s="74" t="n">
        <x:v>6</x:v>
      </x:c>
      <x:c r="E273" s="74" t="n">
        <x:v>268</x:v>
      </x:c>
      <x:c r="F273" s="75" t="n">
        <x:v>2.1</x:v>
      </x:c>
      <x:c r="G273" s="76" t="n">
        <x:v>26</x:v>
      </x:c>
      <x:c r="H273" s="76" t="n">
        <x:v>113</x:v>
      </x:c>
      <x:c r="I273" s="76" t="n">
        <x:v>1</x:v>
      </x:c>
      <x:c r="J273" s="76" t="n">
        <x:v>9</x:v>
      </x:c>
      <x:c r="K273" s="76" t="n">
        <x:v>69</x:v>
      </x:c>
      <x:c r="L273" s="76" t="n">
        <x:v>1</x:v>
      </x:c>
      <x:c r="M273" s="76" t="n">
        <x:v>0</x:v>
      </x:c>
      <x:c r="N273" s="73" t="str">
        <x:v>https://www.thefantasyfootballers.com/2026-ultimate-draft-kit/udk-andys-projections/?position=FLEX</x:v>
      </x:c>
    </x:row>
    <x:row r="274">
      <x:c r="A274" s="70" t="str">
        <x:v>Demond Claiborne</x:v>
      </x:c>
      <x:c r="B274" s="69" t="str">
        <x:v>RB</x:v>
      </x:c>
      <x:c r="C274" s="69" t="str">
        <x:v>MIN</x:v>
      </x:c>
      <x:c r="D274" s="74" t="n">
        <x:v>6</x:v>
      </x:c>
      <x:c r="E274" s="74" t="n">
        <x:v>269</x:v>
      </x:c>
      <x:c r="F274" s="75" t="n">
        <x:v>2</x:v>
      </x:c>
      <x:c r="G274" s="76" t="n">
        <x:v>42</x:v>
      </x:c>
      <x:c r="H274" s="76" t="n">
        <x:v>185</x:v>
      </x:c>
      <x:c r="I274" s="76" t="n">
        <x:v>1</x:v>
      </x:c>
      <x:c r="J274" s="76" t="n">
        <x:v>7</x:v>
      </x:c>
      <x:c r="K274" s="76" t="n">
        <x:v>45</x:v>
      </x:c>
      <x:c r="L274" s="76" t="n">
        <x:v>0</x:v>
      </x:c>
      <x:c r="M274" s="76" t="n">
        <x:v>1</x:v>
      </x:c>
      <x:c r="N274" s="73" t="str">
        <x:v>https://www.thefantasyfootballers.com/2026-ultimate-draft-kit/udk-andys-projections/?position=FLEX</x:v>
      </x:c>
    </x:row>
    <x:row r="275">
      <x:c r="A275" s="70" t="str">
        <x:v>Jerome Ford</x:v>
      </x:c>
      <x:c r="B275" s="69" t="str">
        <x:v>RB</x:v>
      </x:c>
      <x:c r="C275" s="69" t="str">
        <x:v>FA</x:v>
      </x:c>
      <x:c r="D275" s="74"/>
      <x:c r="E275" s="74" t="n">
        <x:v>270</x:v>
      </x:c>
      <x:c r="F275" s="75" t="n">
        <x:v>2</x:v>
      </x:c>
      <x:c r="G275" s="76" t="n">
        <x:v>17</x:v>
      </x:c>
      <x:c r="H275" s="76" t="n">
        <x:v>67</x:v>
      </x:c>
      <x:c r="I275" s="76" t="n">
        <x:v>1</x:v>
      </x:c>
      <x:c r="J275" s="76" t="n">
        <x:v>16</x:v>
      </x:c>
      <x:c r="K275" s="76" t="n">
        <x:v>71</x:v>
      </x:c>
      <x:c r="L275" s="76" t="n">
        <x:v>0</x:v>
      </x:c>
      <x:c r="M275" s="76" t="n">
        <x:v>0</x:v>
      </x:c>
      <x:c r="N275" s="73" t="str">
        <x:v>https://www.thefantasyfootballers.com/2026-ultimate-draft-kit/udk-andys-projections/?position=FLEX</x:v>
      </x:c>
    </x:row>
    <x:row r="276">
      <x:c r="A276" s="70" t="str">
        <x:v>Skyler Bell</x:v>
      </x:c>
      <x:c r="B276" s="69" t="str">
        <x:v>WR</x:v>
      </x:c>
      <x:c r="C276" s="69" t="str">
        <x:v>BUF</x:v>
      </x:c>
      <x:c r="D276" s="74" t="n">
        <x:v>7</x:v>
      </x:c>
      <x:c r="E276" s="74" t="n">
        <x:v>271</x:v>
      </x:c>
      <x:c r="F276" s="75" t="n">
        <x:v>1.8</x:v>
      </x:c>
      <x:c r="G276" s="76" t="n">
        <x:v>0</x:v>
      </x:c>
      <x:c r="H276" s="76" t="n">
        <x:v>0</x:v>
      </x:c>
      <x:c r="I276" s="76" t="n">
        <x:v>0</x:v>
      </x:c>
      <x:c r="J276" s="76" t="n">
        <x:v>11</x:v>
      </x:c>
      <x:c r="K276" s="76" t="n">
        <x:v>152</x:v>
      </x:c>
      <x:c r="L276" s="76" t="n">
        <x:v>1</x:v>
      </x:c>
      <x:c r="M276" s="76" t="n">
        <x:v>0</x:v>
      </x:c>
      <x:c r="N276" s="73" t="str">
        <x:v>https://www.thefantasyfootballers.com/2026-ultimate-draft-kit/udk-andys-projections/?position=FLEX</x:v>
      </x:c>
    </x:row>
    <x:row r="277">
      <x:c r="A277" s="70" t="str">
        <x:v>Trevor Etienne</x:v>
      </x:c>
      <x:c r="B277" s="69" t="str">
        <x:v>RB</x:v>
      </x:c>
      <x:c r="C277" s="69" t="str">
        <x:v>CAR</x:v>
      </x:c>
      <x:c r="D277" s="74" t="n">
        <x:v>5</x:v>
      </x:c>
      <x:c r="E277" s="74" t="n">
        <x:v>272</x:v>
      </x:c>
      <x:c r="F277" s="75" t="n">
        <x:v>1.5</x:v>
      </x:c>
      <x:c r="G277" s="76" t="n">
        <x:v>22</x:v>
      </x:c>
      <x:c r="H277" s="76" t="n">
        <x:v>116</x:v>
      </x:c>
      <x:c r="I277" s="76" t="n">
        <x:v>0</x:v>
      </x:c>
      <x:c r="J277" s="76" t="n">
        <x:v>4</x:v>
      </x:c>
      <x:c r="K277" s="76" t="n">
        <x:v>22</x:v>
      </x:c>
      <x:c r="L277" s="76" t="n">
        <x:v>1</x:v>
      </x:c>
      <x:c r="M277" s="76" t="n">
        <x:v>0</x:v>
      </x:c>
      <x:c r="N277" s="73" t="str">
        <x:v>https://www.thefantasyfootballers.com/2026-ultimate-draft-kit/udk-andys-projections/?position=FLEX</x:v>
      </x:c>
    </x:row>
    <x:row r="278">
      <x:c r="A278" s="70" t="str">
        <x:v>Tahj Brooks</x:v>
      </x:c>
      <x:c r="B278" s="69" t="str">
        <x:v>RB</x:v>
      </x:c>
      <x:c r="C278" s="69" t="str">
        <x:v>CIN</x:v>
      </x:c>
      <x:c r="D278" s="74" t="n">
        <x:v>6</x:v>
      </x:c>
      <x:c r="E278" s="74" t="n">
        <x:v>273</x:v>
      </x:c>
      <x:c r="F278" s="75" t="n">
        <x:v>1.2</x:v>
      </x:c>
      <x:c r="G278" s="76" t="n">
        <x:v>32</x:v>
      </x:c>
      <x:c r="H278" s="76" t="n">
        <x:v>116</x:v>
      </x:c>
      <x:c r="I278" s="76" t="n">
        <x:v>0</x:v>
      </x:c>
      <x:c r="J278" s="76" t="n">
        <x:v>4</x:v>
      </x:c>
      <x:c r="K278" s="76" t="n">
        <x:v>35</x:v>
      </x:c>
      <x:c r="L278" s="76" t="n">
        <x:v>0</x:v>
      </x:c>
      <x:c r="M278" s="76" t="n">
        <x:v>0</x:v>
      </x:c>
      <x:c r="N278" s="73" t="str">
        <x:v>https://www.thefantasyfootballers.com/2026-ultimate-draft-kit/udk-andys-projections/?position=FLEX</x:v>
      </x:c>
    </x:row>
  </x:sheetData>
  <x:mergeCells>
    <x:mergeCell ref="A1:N1"/>
    <x:mergeCell ref="A2:N2"/>
    <x:mergeCell ref="A4:D4"/>
    <x:mergeCell ref="E4:F4"/>
    <x:mergeCell ref="G4:I4"/>
    <x:mergeCell ref="J4:L4"/>
  </x:mergeCells>
  <x:pageMargins left="0.7" right="0.7" top="0.75" bottom="0.75" header="0.3" footer="0.3"/>
  <x:tableParts count="1">
    <x:tablePart xmlns:r="http://schemas.openxmlformats.org/officeDocument/2006/relationships" r:id="Re568f4b5d0f349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" hidden="0" customWidth="1"/>
    <x:col min="3" max="3" width="9" hidden="0" customWidth="1"/>
    <x:col min="4" max="4" width="7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46" hidden="0" customWidth="1"/>
  </x:cols>
  <x:sheetData>
    <x:row r="1" ht="32" customHeight="1">
      <x:c r="A1" s="3" t="str">
        <x:v>Jason's 2026 FLEX Stat Projections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Scoring profile: The Fear Boners  |  263 players  |  Source captured 2026-08-31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5" t="str">
        <x:v>Player</x:v>
      </x:c>
      <x:c r="B4" s="16"/>
      <x:c r="C4" s="16"/>
      <x:c r="D4" s="17"/>
      <x:c r="E4" s="24" t="str">
        <x:v>Fantasy</x:v>
      </x:c>
      <x:c r="F4" s="25"/>
      <x:c r="G4" s="40" t="str">
        <x:v>Rushing</x:v>
      </x:c>
      <x:c r="H4" s="79"/>
      <x:c r="I4" s="41"/>
      <x:c r="J4" s="32" t="str">
        <x:v>Receiving</x:v>
      </x:c>
      <x:c r="K4" s="82"/>
      <x:c r="L4" s="33"/>
      <x:c r="M4" s="85" t="str">
        <x:v>Turnovers</x:v>
      </x:c>
      <x:c r="N4" s="54" t="str">
        <x:v>Source</x:v>
      </x:c>
    </x:row>
    <x:row r="5" ht="30" customHeight="1">
      <x:c r="A5" s="65" t="str">
        <x:v>Player</x:v>
      </x:c>
      <x:c r="B5" s="66" t="str">
        <x:v>Pos</x:v>
      </x:c>
      <x:c r="C5" s="66" t="str">
        <x:v>Team</x:v>
      </x:c>
      <x:c r="D5" s="66" t="str">
        <x:v>Bye</x:v>
      </x:c>
      <x:c r="E5" s="66" t="str">
        <x:v>Rank</x:v>
      </x:c>
      <x:c r="F5" s="66" t="str">
        <x:v>PPG</x:v>
      </x:c>
      <x:c r="G5" s="66" t="str">
        <x:v>Rush Att</x:v>
      </x:c>
      <x:c r="H5" s="66" t="str">
        <x:v>Rush Yds</x:v>
      </x:c>
      <x:c r="I5" s="66" t="str">
        <x:v>Rush TD</x:v>
      </x:c>
      <x:c r="J5" s="66" t="str">
        <x:v>Rec</x:v>
      </x:c>
      <x:c r="K5" s="66" t="str">
        <x:v>Rec Yds</x:v>
      </x:c>
      <x:c r="L5" s="66" t="str">
        <x:v>Rec TD</x:v>
      </x:c>
      <x:c r="M5" s="66" t="str">
        <x:v>FUM</x:v>
      </x:c>
      <x:c r="N5" s="67" t="str">
        <x:v>Source URL</x:v>
      </x:c>
    </x:row>
    <x:row r="6">
      <x:c r="A6" s="70" t="str">
        <x:v>Bijan Robinson</x:v>
      </x:c>
      <x:c r="B6" s="69" t="str">
        <x:v>RB</x:v>
      </x:c>
      <x:c r="C6" s="69" t="str">
        <x:v>ATL</x:v>
      </x:c>
      <x:c r="D6" s="74" t="n">
        <x:v>11</x:v>
      </x:c>
      <x:c r="E6" s="74" t="n">
        <x:v>1</x:v>
      </x:c>
      <x:c r="F6" s="75" t="n">
        <x:v>22.6</x:v>
      </x:c>
      <x:c r="G6" s="76" t="n">
        <x:v>290</x:v>
      </x:c>
      <x:c r="H6" s="76" t="n">
        <x:v>1421</x:v>
      </x:c>
      <x:c r="I6" s="76" t="n">
        <x:v>10</x:v>
      </x:c>
      <x:c r="J6" s="76" t="n">
        <x:v>86</x:v>
      </x:c>
      <x:c r="K6" s="76" t="n">
        <x:v>774</x:v>
      </x:c>
      <x:c r="L6" s="76" t="n">
        <x:v>4</x:v>
      </x:c>
      <x:c r="M6" s="76" t="n">
        <x:v>2</x:v>
      </x:c>
      <x:c r="N6" s="73" t="str">
        <x:v>https://www.thefantasyfootballers.com/2026-ultimate-draft-kit/udk-jasons-projections/?position=FLEX</x:v>
      </x:c>
    </x:row>
    <x:row r="7">
      <x:c r="A7" s="70" t="str">
        <x:v>Jahmyr Gibbs</x:v>
      </x:c>
      <x:c r="B7" s="69" t="str">
        <x:v>RB</x:v>
      </x:c>
      <x:c r="C7" s="69" t="str">
        <x:v>DET</x:v>
      </x:c>
      <x:c r="D7" s="74" t="n">
        <x:v>6</x:v>
      </x:c>
      <x:c r="E7" s="74" t="n">
        <x:v>2</x:v>
      </x:c>
      <x:c r="F7" s="75" t="n">
        <x:v>22.5</x:v>
      </x:c>
      <x:c r="G7" s="76" t="n">
        <x:v>269</x:v>
      </x:c>
      <x:c r="H7" s="76" t="n">
        <x:v>1371</x:v>
      </x:c>
      <x:c r="I7" s="76" t="n">
        <x:v>13</x:v>
      </x:c>
      <x:c r="J7" s="76" t="n">
        <x:v>79</x:v>
      </x:c>
      <x:c r="K7" s="76" t="n">
        <x:v>636</x:v>
      </x:c>
      <x:c r="L7" s="76" t="n">
        <x:v>5</x:v>
      </x:c>
      <x:c r="M7" s="76" t="n">
        <x:v>1</x:v>
      </x:c>
      <x:c r="N7" s="73" t="str">
        <x:v>https://www.thefantasyfootballers.com/2026-ultimate-draft-kit/udk-jasons-projections/?position=FLEX</x:v>
      </x:c>
    </x:row>
    <x:row r="8">
      <x:c r="A8" s="70" t="str">
        <x:v>Christian McCaffrey</x:v>
      </x:c>
      <x:c r="B8" s="69" t="str">
        <x:v>RB</x:v>
      </x:c>
      <x:c r="C8" s="69" t="str">
        <x:v>SF</x:v>
      </x:c>
      <x:c r="D8" s="74" t="n">
        <x:v>8</x:v>
      </x:c>
      <x:c r="E8" s="74" t="n">
        <x:v>3</x:v>
      </x:c>
      <x:c r="F8" s="75" t="n">
        <x:v>21.5</x:v>
      </x:c>
      <x:c r="G8" s="76" t="n">
        <x:v>250</x:v>
      </x:c>
      <x:c r="H8" s="76" t="n">
        <x:v>1200</x:v>
      </x:c>
      <x:c r="I8" s="76" t="n">
        <x:v>12</x:v>
      </x:c>
      <x:c r="J8" s="76" t="n">
        <x:v>79</x:v>
      </x:c>
      <x:c r="K8" s="76" t="n">
        <x:v>718</x:v>
      </x:c>
      <x:c r="L8" s="76" t="n">
        <x:v>5</x:v>
      </x:c>
      <x:c r="M8" s="76" t="n">
        <x:v>2</x:v>
      </x:c>
      <x:c r="N8" s="73" t="str">
        <x:v>https://www.thefantasyfootballers.com/2026-ultimate-draft-kit/udk-jasons-projections/?position=FLEX</x:v>
      </x:c>
    </x:row>
    <x:row r="9">
      <x:c r="A9" s="70" t="str">
        <x:v>Ja'Marr Chase</x:v>
      </x:c>
      <x:c r="B9" s="69" t="str">
        <x:v>WR</x:v>
      </x:c>
      <x:c r="C9" s="69" t="str">
        <x:v>CIN</x:v>
      </x:c>
      <x:c r="D9" s="74" t="n">
        <x:v>6</x:v>
      </x:c>
      <x:c r="E9" s="74" t="n">
        <x:v>4</x:v>
      </x:c>
      <x:c r="F9" s="75" t="n">
        <x:v>19.6</x:v>
      </x:c>
      <x:c r="G9" s="76" t="n">
        <x:v>2</x:v>
      </x:c>
      <x:c r="H9" s="76" t="n">
        <x:v>10</x:v>
      </x:c>
      <x:c r="I9" s="76" t="n">
        <x:v>0</x:v>
      </x:c>
      <x:c r="J9" s="76" t="n">
        <x:v>112</x:v>
      </x:c>
      <x:c r="K9" s="76" t="n">
        <x:v>1526</x:v>
      </x:c>
      <x:c r="L9" s="76" t="n">
        <x:v>12</x:v>
      </x:c>
      <x:c r="M9" s="76" t="n">
        <x:v>1</x:v>
      </x:c>
      <x:c r="N9" s="73" t="str">
        <x:v>https://www.thefantasyfootballers.com/2026-ultimate-draft-kit/udk-jasons-projections/?position=FLEX</x:v>
      </x:c>
    </x:row>
    <x:row r="10">
      <x:c r="A10" s="70" t="str">
        <x:v>Jonathan Taylor</x:v>
      </x:c>
      <x:c r="B10" s="69" t="str">
        <x:v>RB</x:v>
      </x:c>
      <x:c r="C10" s="69" t="str">
        <x:v>IND</x:v>
      </x:c>
      <x:c r="D10" s="74" t="n">
        <x:v>13</x:v>
      </x:c>
      <x:c r="E10" s="74" t="n">
        <x:v>5</x:v>
      </x:c>
      <x:c r="F10" s="75" t="n">
        <x:v>18.8</x:v>
      </x:c>
      <x:c r="G10" s="76" t="n">
        <x:v>312</x:v>
      </x:c>
      <x:c r="H10" s="76" t="n">
        <x:v>1482</x:v>
      </x:c>
      <x:c r="I10" s="76" t="n">
        <x:v>12</x:v>
      </x:c>
      <x:c r="J10" s="76" t="n">
        <x:v>50</x:v>
      </x:c>
      <x:c r="K10" s="76" t="n">
        <x:v>400</x:v>
      </x:c>
      <x:c r="L10" s="76" t="n">
        <x:v>2</x:v>
      </x:c>
      <x:c r="M10" s="76" t="n">
        <x:v>1</x:v>
      </x:c>
      <x:c r="N10" s="73" t="str">
        <x:v>https://www.thefantasyfootballers.com/2026-ultimate-draft-kit/udk-jasons-projections/?position=FLEX</x:v>
      </x:c>
    </x:row>
    <x:row r="11">
      <x:c r="A11" s="70" t="str">
        <x:v>Puka Nacua</x:v>
      </x:c>
      <x:c r="B11" s="69" t="str">
        <x:v>WR</x:v>
      </x:c>
      <x:c r="C11" s="69" t="str">
        <x:v>LAR</x:v>
      </x:c>
      <x:c r="D11" s="74" t="n">
        <x:v>11</x:v>
      </x:c>
      <x:c r="E11" s="74" t="n">
        <x:v>6</x:v>
      </x:c>
      <x:c r="F11" s="75" t="n">
        <x:v>18.5</x:v>
      </x:c>
      <x:c r="G11" s="76" t="n">
        <x:v>5</x:v>
      </x:c>
      <x:c r="H11" s="76" t="n">
        <x:v>47</x:v>
      </x:c>
      <x:c r="I11" s="76" t="n">
        <x:v>0</x:v>
      </x:c>
      <x:c r="J11" s="76" t="n">
        <x:v>113</x:v>
      </x:c>
      <x:c r="K11" s="76" t="n">
        <x:v>1533</x:v>
      </x:c>
      <x:c r="L11" s="76" t="n">
        <x:v>8</x:v>
      </x:c>
      <x:c r="M11" s="76" t="n">
        <x:v>2</x:v>
      </x:c>
      <x:c r="N11" s="73" t="str">
        <x:v>https://www.thefantasyfootballers.com/2026-ultimate-draft-kit/udk-jasons-projections/?position=FLEX</x:v>
      </x:c>
    </x:row>
    <x:row r="12">
      <x:c r="A12" s="70" t="str">
        <x:v>Jaxon Smith-Njigba</x:v>
      </x:c>
      <x:c r="B12" s="69" t="str">
        <x:v>WR</x:v>
      </x:c>
      <x:c r="C12" s="69" t="str">
        <x:v>SEA</x:v>
      </x:c>
      <x:c r="D12" s="74" t="n">
        <x:v>11</x:v>
      </x:c>
      <x:c r="E12" s="74" t="n">
        <x:v>7</x:v>
      </x:c>
      <x:c r="F12" s="75" t="n">
        <x:v>18.3</x:v>
      </x:c>
      <x:c r="G12" s="76" t="n">
        <x:v>5</x:v>
      </x:c>
      <x:c r="H12" s="76" t="n">
        <x:v>30</x:v>
      </x:c>
      <x:c r="I12" s="76" t="n">
        <x:v>0</x:v>
      </x:c>
      <x:c r="J12" s="76" t="n">
        <x:v>109</x:v>
      </x:c>
      <x:c r="K12" s="76" t="n">
        <x:v>1466</x:v>
      </x:c>
      <x:c r="L12" s="76" t="n">
        <x:v>9</x:v>
      </x:c>
      <x:c r="M12" s="76" t="n">
        <x:v>0</x:v>
      </x:c>
      <x:c r="N12" s="73" t="str">
        <x:v>https://www.thefantasyfootballers.com/2026-ultimate-draft-kit/udk-jasons-projections/?position=FLEX</x:v>
      </x:c>
    </x:row>
    <x:row r="13">
      <x:c r="A13" s="70" t="str">
        <x:v>Amon-Ra St. Brown</x:v>
      </x:c>
      <x:c r="B13" s="69" t="str">
        <x:v>WR</x:v>
      </x:c>
      <x:c r="C13" s="69" t="str">
        <x:v>DET</x:v>
      </x:c>
      <x:c r="D13" s="74" t="n">
        <x:v>6</x:v>
      </x:c>
      <x:c r="E13" s="74" t="n">
        <x:v>8</x:v>
      </x:c>
      <x:c r="F13" s="75" t="n">
        <x:v>18.2</x:v>
      </x:c>
      <x:c r="G13" s="76" t="n">
        <x:v>3</x:v>
      </x:c>
      <x:c r="H13" s="76" t="n">
        <x:v>8</x:v>
      </x:c>
      <x:c r="I13" s="76" t="n">
        <x:v>0</x:v>
      </x:c>
      <x:c r="J13" s="76" t="n">
        <x:v>114</x:v>
      </x:c>
      <x:c r="K13" s="76" t="n">
        <x:v>1394</x:v>
      </x:c>
      <x:c r="L13" s="76" t="n">
        <x:v>10</x:v>
      </x:c>
      <x:c r="M13" s="76" t="n">
        <x:v>1</x:v>
      </x:c>
      <x:c r="N13" s="73" t="str">
        <x:v>https://www.thefantasyfootballers.com/2026-ultimate-draft-kit/udk-jasons-projections/?position=FLEX</x:v>
      </x:c>
    </x:row>
    <x:row r="14">
      <x:c r="A14" s="70" t="str">
        <x:v>CeeDee Lamb</x:v>
      </x:c>
      <x:c r="B14" s="69" t="str">
        <x:v>WR</x:v>
      </x:c>
      <x:c r="C14" s="69" t="str">
        <x:v>DAL</x:v>
      </x:c>
      <x:c r="D14" s="74" t="n">
        <x:v>14</x:v>
      </x:c>
      <x:c r="E14" s="74" t="n">
        <x:v>9</x:v>
      </x:c>
      <x:c r="F14" s="75" t="n">
        <x:v>17.8</x:v>
      </x:c>
      <x:c r="G14" s="76" t="n">
        <x:v>5</x:v>
      </x:c>
      <x:c r="H14" s="76" t="n">
        <x:v>30</x:v>
      </x:c>
      <x:c r="I14" s="76" t="n">
        <x:v>0</x:v>
      </x:c>
      <x:c r="J14" s="76" t="n">
        <x:v>107</x:v>
      </x:c>
      <x:c r="K14" s="76" t="n">
        <x:v>1405</x:v>
      </x:c>
      <x:c r="L14" s="76" t="n">
        <x:v>9</x:v>
      </x:c>
      <x:c r="M14" s="76" t="n">
        <x:v>1</x:v>
      </x:c>
      <x:c r="N14" s="73" t="str">
        <x:v>https://www.thefantasyfootballers.com/2026-ultimate-draft-kit/udk-jasons-projections/?position=FLEX</x:v>
      </x:c>
    </x:row>
    <x:row r="15">
      <x:c r="A15" s="70" t="str">
        <x:v>James Cook III</x:v>
      </x:c>
      <x:c r="B15" s="69" t="str">
        <x:v>RB</x:v>
      </x:c>
      <x:c r="C15" s="69" t="str">
        <x:v>BUF</x:v>
      </x:c>
      <x:c r="D15" s="74" t="n">
        <x:v>7</x:v>
      </x:c>
      <x:c r="E15" s="74" t="n">
        <x:v>10</x:v>
      </x:c>
      <x:c r="F15" s="75" t="n">
        <x:v>17.7</x:v>
      </x:c>
      <x:c r="G15" s="76" t="n">
        <x:v>285</x:v>
      </x:c>
      <x:c r="H15" s="76" t="n">
        <x:v>1455</x:v>
      </x:c>
      <x:c r="I15" s="76" t="n">
        <x:v>12</x:v>
      </x:c>
      <x:c r="J15" s="76" t="n">
        <x:v>39</x:v>
      </x:c>
      <x:c r="K15" s="76" t="n">
        <x:v>357</x:v>
      </x:c>
      <x:c r="L15" s="76" t="n">
        <x:v>3</x:v>
      </x:c>
      <x:c r="M15" s="76" t="n">
        <x:v>3</x:v>
      </x:c>
      <x:c r="N15" s="73" t="str">
        <x:v>https://www.thefantasyfootballers.com/2026-ultimate-draft-kit/udk-jasons-projections/?position=FLEX</x:v>
      </x:c>
    </x:row>
    <x:row r="16">
      <x:c r="A16" s="70" t="str">
        <x:v>Chase Brown</x:v>
      </x:c>
      <x:c r="B16" s="69" t="str">
        <x:v>RB</x:v>
      </x:c>
      <x:c r="C16" s="69" t="str">
        <x:v>CIN</x:v>
      </x:c>
      <x:c r="D16" s="74" t="n">
        <x:v>6</x:v>
      </x:c>
      <x:c r="E16" s="74" t="n">
        <x:v>11</x:v>
      </x:c>
      <x:c r="F16" s="75" t="n">
        <x:v>16.4</x:v>
      </x:c>
      <x:c r="G16" s="76" t="n">
        <x:v>235</x:v>
      </x:c>
      <x:c r="H16" s="76" t="n">
        <x:v>1010</x:v>
      </x:c>
      <x:c r="I16" s="76" t="n">
        <x:v>8</x:v>
      </x:c>
      <x:c r="J16" s="76" t="n">
        <x:v>66</x:v>
      </x:c>
      <x:c r="K16" s="76" t="n">
        <x:v>465</x:v>
      </x:c>
      <x:c r="L16" s="76" t="n">
        <x:v>4</x:v>
      </x:c>
      <x:c r="M16" s="76" t="n">
        <x:v>2</x:v>
      </x:c>
      <x:c r="N16" s="73" t="str">
        <x:v>https://www.thefantasyfootballers.com/2026-ultimate-draft-kit/udk-jasons-projections/?position=FLEX</x:v>
      </x:c>
    </x:row>
    <x:row r="17">
      <x:c r="A17" s="70" t="str">
        <x:v>De'Von Achane</x:v>
      </x:c>
      <x:c r="B17" s="69" t="str">
        <x:v>RB</x:v>
      </x:c>
      <x:c r="C17" s="69" t="str">
        <x:v>MIA</x:v>
      </x:c>
      <x:c r="D17" s="74" t="n">
        <x:v>6</x:v>
      </x:c>
      <x:c r="E17" s="74" t="n">
        <x:v>12</x:v>
      </x:c>
      <x:c r="F17" s="75" t="n">
        <x:v>16.1</x:v>
      </x:c>
      <x:c r="G17" s="76" t="n">
        <x:v>256</x:v>
      </x:c>
      <x:c r="H17" s="76" t="n">
        <x:v>1178</x:v>
      </x:c>
      <x:c r="I17" s="76" t="n">
        <x:v>7</x:v>
      </x:c>
      <x:c r="J17" s="76" t="n">
        <x:v>59</x:v>
      </x:c>
      <x:c r="K17" s="76" t="n">
        <x:v>472</x:v>
      </x:c>
      <x:c r="L17" s="76" t="n">
        <x:v>2</x:v>
      </x:c>
      <x:c r="M17" s="76" t="n">
        <x:v>2</x:v>
      </x:c>
      <x:c r="N17" s="73" t="str">
        <x:v>https://www.thefantasyfootballers.com/2026-ultimate-draft-kit/udk-jasons-projections/?position=FLEX</x:v>
      </x:c>
    </x:row>
    <x:row r="18">
      <x:c r="A18" s="70" t="str">
        <x:v>A.J. Brown</x:v>
      </x:c>
      <x:c r="B18" s="69" t="str">
        <x:v>WR</x:v>
      </x:c>
      <x:c r="C18" s="69" t="str">
        <x:v>NE</x:v>
      </x:c>
      <x:c r="D18" s="74" t="n">
        <x:v>11</x:v>
      </x:c>
      <x:c r="E18" s="74" t="n">
        <x:v>13</x:v>
      </x:c>
      <x:c r="F18" s="75" t="n">
        <x:v>15.9</x:v>
      </x:c>
      <x:c r="G18" s="76" t="n">
        <x:v>0</x:v>
      </x:c>
      <x:c r="H18" s="76" t="n">
        <x:v>0</x:v>
      </x:c>
      <x:c r="I18" s="76" t="n">
        <x:v>0</x:v>
      </x:c>
      <x:c r="J18" s="76" t="n">
        <x:v>96</x:v>
      </x:c>
      <x:c r="K18" s="76" t="n">
        <x:v>1230</x:v>
      </x:c>
      <x:c r="L18" s="76" t="n">
        <x:v>9</x:v>
      </x:c>
      <x:c r="M18" s="76" t="n">
        <x:v>1</x:v>
      </x:c>
      <x:c r="N18" s="73" t="str">
        <x:v>https://www.thefantasyfootballers.com/2026-ultimate-draft-kit/udk-jasons-projections/?position=FLEX</x:v>
      </x:c>
    </x:row>
    <x:row r="19">
      <x:c r="A19" s="70" t="str">
        <x:v>Ashton Jeanty</x:v>
      </x:c>
      <x:c r="B19" s="69" t="str">
        <x:v>RB</x:v>
      </x:c>
      <x:c r="C19" s="69" t="str">
        <x:v>LV</x:v>
      </x:c>
      <x:c r="D19" s="74" t="n">
        <x:v>13</x:v>
      </x:c>
      <x:c r="E19" s="74" t="n">
        <x:v>14</x:v>
      </x:c>
      <x:c r="F19" s="75" t="n">
        <x:v>15.6</x:v>
      </x:c>
      <x:c r="G19" s="76" t="n">
        <x:v>250</x:v>
      </x:c>
      <x:c r="H19" s="76" t="n">
        <x:v>1100</x:v>
      </x:c>
      <x:c r="I19" s="76" t="n">
        <x:v>7</x:v>
      </x:c>
      <x:c r="J19" s="76" t="n">
        <x:v>58</x:v>
      </x:c>
      <x:c r="K19" s="76" t="n">
        <x:v>435</x:v>
      </x:c>
      <x:c r="L19" s="76" t="n">
        <x:v>3</x:v>
      </x:c>
      <x:c r="M19" s="76" t="n">
        <x:v>3</x:v>
      </x:c>
      <x:c r="N19" s="73" t="str">
        <x:v>https://www.thefantasyfootballers.com/2026-ultimate-draft-kit/udk-jasons-projections/?position=FLEX</x:v>
      </x:c>
    </x:row>
    <x:row r="20">
      <x:c r="A20" s="70" t="str">
        <x:v>Justin Jefferson</x:v>
      </x:c>
      <x:c r="B20" s="69" t="str">
        <x:v>WR</x:v>
      </x:c>
      <x:c r="C20" s="69" t="str">
        <x:v>MIN</x:v>
      </x:c>
      <x:c r="D20" s="74" t="n">
        <x:v>6</x:v>
      </x:c>
      <x:c r="E20" s="74" t="n">
        <x:v>15</x:v>
      </x:c>
      <x:c r="F20" s="75" t="n">
        <x:v>15.5</x:v>
      </x:c>
      <x:c r="G20" s="76" t="n">
        <x:v>1</x:v>
      </x:c>
      <x:c r="H20" s="76" t="n">
        <x:v>5</x:v>
      </x:c>
      <x:c r="I20" s="76" t="n">
        <x:v>0</x:v>
      </x:c>
      <x:c r="J20" s="76" t="n">
        <x:v>95</x:v>
      </x:c>
      <x:c r="K20" s="76" t="n">
        <x:v>1311</x:v>
      </x:c>
      <x:c r="L20" s="76" t="n">
        <x:v>7</x:v>
      </x:c>
      <x:c r="M20" s="76" t="n">
        <x:v>1</x:v>
      </x:c>
      <x:c r="N20" s="73" t="str">
        <x:v>https://www.thefantasyfootballers.com/2026-ultimate-draft-kit/udk-jasons-projections/?position=FLEX</x:v>
      </x:c>
    </x:row>
    <x:row r="21">
      <x:c r="A21" s="70" t="str">
        <x:v>Brock Bowers</x:v>
      </x:c>
      <x:c r="B21" s="69" t="str">
        <x:v>TE</x:v>
      </x:c>
      <x:c r="C21" s="69" t="str">
        <x:v>LV</x:v>
      </x:c>
      <x:c r="D21" s="74" t="n">
        <x:v>13</x:v>
      </x:c>
      <x:c r="E21" s="74" t="n">
        <x:v>16</x:v>
      </x:c>
      <x:c r="F21" s="75" t="n">
        <x:v>15.5</x:v>
      </x:c>
      <x:c r="G21" s="76" t="n">
        <x:v>0</x:v>
      </x:c>
      <x:c r="H21" s="76" t="n">
        <x:v>0</x:v>
      </x:c>
      <x:c r="I21" s="76" t="n">
        <x:v>0</x:v>
      </x:c>
      <x:c r="J21" s="76" t="n">
        <x:v>103</x:v>
      </x:c>
      <x:c r="K21" s="76" t="n">
        <x:v>1123</x:v>
      </x:c>
      <x:c r="L21" s="76" t="n">
        <x:v>8</x:v>
      </x:c>
      <x:c r="M21" s="76" t="n">
        <x:v>0</x:v>
      </x:c>
      <x:c r="N21" s="73" t="str">
        <x:v>https://www.thefantasyfootballers.com/2026-ultimate-draft-kit/udk-jasons-projections/?position=FLEX</x:v>
      </x:c>
    </x:row>
    <x:row r="22">
      <x:c r="A22" s="70" t="str">
        <x:v>Rashee Rice</x:v>
      </x:c>
      <x:c r="B22" s="69" t="str">
        <x:v>WR</x:v>
      </x:c>
      <x:c r="C22" s="69" t="str">
        <x:v>KC</x:v>
      </x:c>
      <x:c r="D22" s="74" t="n">
        <x:v>5</x:v>
      </x:c>
      <x:c r="E22" s="74" t="n">
        <x:v>17</x:v>
      </x:c>
      <x:c r="F22" s="75" t="n">
        <x:v>15.4</x:v>
      </x:c>
      <x:c r="G22" s="76" t="n">
        <x:v>5</x:v>
      </x:c>
      <x:c r="H22" s="76" t="n">
        <x:v>20</x:v>
      </x:c>
      <x:c r="I22" s="76" t="n">
        <x:v>1</x:v>
      </x:c>
      <x:c r="J22" s="76" t="n">
        <x:v>97</x:v>
      </x:c>
      <x:c r="K22" s="76" t="n">
        <x:v>1143</x:v>
      </x:c>
      <x:c r="L22" s="76" t="n">
        <x:v>8</x:v>
      </x:c>
      <x:c r="M22" s="76" t="n">
        <x:v>1</x:v>
      </x:c>
      <x:c r="N22" s="73" t="str">
        <x:v>https://www.thefantasyfootballers.com/2026-ultimate-draft-kit/udk-jasons-projections/?position=FLEX</x:v>
      </x:c>
    </x:row>
    <x:row r="23">
      <x:c r="A23" s="70" t="str">
        <x:v>Chris Olave</x:v>
      </x:c>
      <x:c r="B23" s="69" t="str">
        <x:v>WR</x:v>
      </x:c>
      <x:c r="C23" s="69" t="str">
        <x:v>NO</x:v>
      </x:c>
      <x:c r="D23" s="74" t="n">
        <x:v>8</x:v>
      </x:c>
      <x:c r="E23" s="74" t="n">
        <x:v>18</x:v>
      </x:c>
      <x:c r="F23" s="75" t="n">
        <x:v>15.4</x:v>
      </x:c>
      <x:c r="G23" s="76" t="n">
        <x:v>1</x:v>
      </x:c>
      <x:c r="H23" s="76" t="n">
        <x:v>8</x:v>
      </x:c>
      <x:c r="I23" s="76" t="n">
        <x:v>0</x:v>
      </x:c>
      <x:c r="J23" s="76" t="n">
        <x:v>92</x:v>
      </x:c>
      <x:c r="K23" s="76" t="n">
        <x:v>1242</x:v>
      </x:c>
      <x:c r="L23" s="76" t="n">
        <x:v>8</x:v>
      </x:c>
      <x:c r="M23" s="76" t="n">
        <x:v>0</x:v>
      </x:c>
      <x:c r="N23" s="73" t="str">
        <x:v>https://www.thefantasyfootballers.com/2026-ultimate-draft-kit/udk-jasons-projections/?position=FLEX</x:v>
      </x:c>
    </x:row>
    <x:row r="24">
      <x:c r="A24" s="70" t="str">
        <x:v>Garrett Wilson</x:v>
      </x:c>
      <x:c r="B24" s="69" t="str">
        <x:v>WR</x:v>
      </x:c>
      <x:c r="C24" s="69" t="str">
        <x:v>NYJ</x:v>
      </x:c>
      <x:c r="D24" s="74" t="n">
        <x:v>13</x:v>
      </x:c>
      <x:c r="E24" s="74" t="n">
        <x:v>19</x:v>
      </x:c>
      <x:c r="F24" s="75" t="n">
        <x:v>15.4</x:v>
      </x:c>
      <x:c r="G24" s="76" t="n">
        <x:v>1</x:v>
      </x:c>
      <x:c r="H24" s="76" t="n">
        <x:v>5</x:v>
      </x:c>
      <x:c r="I24" s="76" t="n">
        <x:v>0</x:v>
      </x:c>
      <x:c r="J24" s="76" t="n">
        <x:v>99</x:v>
      </x:c>
      <x:c r="K24" s="76" t="n">
        <x:v>1188</x:v>
      </x:c>
      <x:c r="L24" s="76" t="n">
        <x:v>8</x:v>
      </x:c>
      <x:c r="M24" s="76" t="n">
        <x:v>1</x:v>
      </x:c>
      <x:c r="N24" s="73" t="str">
        <x:v>https://www.thefantasyfootballers.com/2026-ultimate-draft-kit/udk-jasons-projections/?position=FLEX</x:v>
      </x:c>
    </x:row>
    <x:row r="25">
      <x:c r="A25" s="70" t="str">
        <x:v>Drake London</x:v>
      </x:c>
      <x:c r="B25" s="69" t="str">
        <x:v>WR</x:v>
      </x:c>
      <x:c r="C25" s="69" t="str">
        <x:v>ATL</x:v>
      </x:c>
      <x:c r="D25" s="74" t="n">
        <x:v>11</x:v>
      </x:c>
      <x:c r="E25" s="74" t="n">
        <x:v>20</x:v>
      </x:c>
      <x:c r="F25" s="75" t="n">
        <x:v>15.4</x:v>
      </x:c>
      <x:c r="G25" s="76" t="n">
        <x:v>0</x:v>
      </x:c>
      <x:c r="H25" s="76" t="n">
        <x:v>0</x:v>
      </x:c>
      <x:c r="I25" s="76" t="n">
        <x:v>0</x:v>
      </x:c>
      <x:c r="J25" s="76" t="n">
        <x:v>94</x:v>
      </x:c>
      <x:c r="K25" s="76" t="n">
        <x:v>1231</x:v>
      </x:c>
      <x:c r="L25" s="76" t="n">
        <x:v>8</x:v>
      </x:c>
      <x:c r="M25" s="76" t="n">
        <x:v>2</x:v>
      </x:c>
      <x:c r="N25" s="73" t="str">
        <x:v>https://www.thefantasyfootballers.com/2026-ultimate-draft-kit/udk-jasons-projections/?position=FLEX</x:v>
      </x:c>
    </x:row>
    <x:row r="26">
      <x:c r="A26" s="70" t="str">
        <x:v>Omarion Hampton</x:v>
      </x:c>
      <x:c r="B26" s="69" t="str">
        <x:v>RB</x:v>
      </x:c>
      <x:c r="C26" s="69" t="str">
        <x:v>LAC</x:v>
      </x:c>
      <x:c r="D26" s="74" t="n">
        <x:v>7</x:v>
      </x:c>
      <x:c r="E26" s="74" t="n">
        <x:v>21</x:v>
      </x:c>
      <x:c r="F26" s="75" t="n">
        <x:v>15.2</x:v>
      </x:c>
      <x:c r="G26" s="76" t="n">
        <x:v>242</x:v>
      </x:c>
      <x:c r="H26" s="76" t="n">
        <x:v>1220</x:v>
      </x:c>
      <x:c r="I26" s="76" t="n">
        <x:v>12</x:v>
      </x:c>
      <x:c r="J26" s="76" t="n">
        <x:v>31</x:v>
      </x:c>
      <x:c r="K26" s="76" t="n">
        <x:v>259</x:v>
      </x:c>
      <x:c r="L26" s="76" t="n">
        <x:v>2</x:v>
      </x:c>
      <x:c r="M26" s="76" t="n">
        <x:v>1</x:v>
      </x:c>
      <x:c r="N26" s="73" t="str">
        <x:v>https://www.thefantasyfootballers.com/2026-ultimate-draft-kit/udk-jasons-projections/?position=FLEX</x:v>
      </x:c>
    </x:row>
    <x:row r="27">
      <x:c r="A27" s="70" t="str">
        <x:v>Kenneth Walker</x:v>
      </x:c>
      <x:c r="B27" s="69" t="str">
        <x:v>RB</x:v>
      </x:c>
      <x:c r="C27" s="69" t="str">
        <x:v>KC</x:v>
      </x:c>
      <x:c r="D27" s="74" t="n">
        <x:v>5</x:v>
      </x:c>
      <x:c r="E27" s="74" t="n">
        <x:v>22</x:v>
      </x:c>
      <x:c r="F27" s="75" t="n">
        <x:v>15.1</x:v>
      </x:c>
      <x:c r="G27" s="76" t="n">
        <x:v>255</x:v>
      </x:c>
      <x:c r="H27" s="76" t="n">
        <x:v>1185</x:v>
      </x:c>
      <x:c r="I27" s="76" t="n">
        <x:v>11</x:v>
      </x:c>
      <x:c r="J27" s="76" t="n">
        <x:v>38</x:v>
      </x:c>
      <x:c r="K27" s="76" t="n">
        <x:v>336</x:v>
      </x:c>
      <x:c r="L27" s="76" t="n">
        <x:v>1</x:v>
      </x:c>
      <x:c r="M27" s="76" t="n">
        <x:v>1</x:v>
      </x:c>
      <x:c r="N27" s="73" t="str">
        <x:v>https://www.thefantasyfootballers.com/2026-ultimate-draft-kit/udk-jasons-projections/?position=FLEX</x:v>
      </x:c>
    </x:row>
    <x:row r="28">
      <x:c r="A28" s="70" t="str">
        <x:v>Malik Nabers</x:v>
      </x:c>
      <x:c r="B28" s="69" t="str">
        <x:v>WR</x:v>
      </x:c>
      <x:c r="C28" s="69" t="str">
        <x:v>NYG</x:v>
      </x:c>
      <x:c r="D28" s="74" t="n">
        <x:v>8</x:v>
      </x:c>
      <x:c r="E28" s="74" t="n">
        <x:v>23</x:v>
      </x:c>
      <x:c r="F28" s="75" t="n">
        <x:v>15.1</x:v>
      </x:c>
      <x:c r="G28" s="76" t="n">
        <x:v>3</x:v>
      </x:c>
      <x:c r="H28" s="76" t="n">
        <x:v>13</x:v>
      </x:c>
      <x:c r="I28" s="76" t="n">
        <x:v>0</x:v>
      </x:c>
      <x:c r="J28" s="76" t="n">
        <x:v>88</x:v>
      </x:c>
      <x:c r="K28" s="76" t="n">
        <x:v>1250</x:v>
      </x:c>
      <x:c r="L28" s="76" t="n">
        <x:v>8</x:v>
      </x:c>
      <x:c r="M28" s="76" t="n">
        <x:v>2</x:v>
      </x:c>
      <x:c r="N28" s="73" t="str">
        <x:v>https://www.thefantasyfootballers.com/2026-ultimate-draft-kit/udk-jasons-projections/?position=FLEX</x:v>
      </x:c>
    </x:row>
    <x:row r="29">
      <x:c r="A29" s="70" t="str">
        <x:v>George Pickens</x:v>
      </x:c>
      <x:c r="B29" s="69" t="str">
        <x:v>WR</x:v>
      </x:c>
      <x:c r="C29" s="69" t="str">
        <x:v>DAL</x:v>
      </x:c>
      <x:c r="D29" s="74" t="n">
        <x:v>14</x:v>
      </x:c>
      <x:c r="E29" s="74" t="n">
        <x:v>24</x:v>
      </x:c>
      <x:c r="F29" s="75" t="n">
        <x:v>15</x:v>
      </x:c>
      <x:c r="G29" s="76" t="n">
        <x:v>0</x:v>
      </x:c>
      <x:c r="H29" s="76" t="n">
        <x:v>0</x:v>
      </x:c>
      <x:c r="I29" s="76" t="n">
        <x:v>0</x:v>
      </x:c>
      <x:c r="J29" s="76" t="n">
        <x:v>84</x:v>
      </x:c>
      <x:c r="K29" s="76" t="n">
        <x:v>1278</x:v>
      </x:c>
      <x:c r="L29" s="76" t="n">
        <x:v>8</x:v>
      </x:c>
      <x:c r="M29" s="76" t="n">
        <x:v>2</x:v>
      </x:c>
      <x:c r="N29" s="73" t="str">
        <x:v>https://www.thefantasyfootballers.com/2026-ultimate-draft-kit/udk-jasons-projections/?position=FLEX</x:v>
      </x:c>
    </x:row>
    <x:row r="30">
      <x:c r="A30" s="70" t="str">
        <x:v>Ladd McConkey</x:v>
      </x:c>
      <x:c r="B30" s="69" t="str">
        <x:v>WR</x:v>
      </x:c>
      <x:c r="C30" s="69" t="str">
        <x:v>LAC</x:v>
      </x:c>
      <x:c r="D30" s="74" t="n">
        <x:v>7</x:v>
      </x:c>
      <x:c r="E30" s="74" t="n">
        <x:v>25</x:v>
      </x:c>
      <x:c r="F30" s="75" t="n">
        <x:v>15</x:v>
      </x:c>
      <x:c r="G30" s="76" t="n">
        <x:v>4</x:v>
      </x:c>
      <x:c r="H30" s="76" t="n">
        <x:v>35</x:v>
      </x:c>
      <x:c r="I30" s="76" t="n">
        <x:v>0</x:v>
      </x:c>
      <x:c r="J30" s="76" t="n">
        <x:v>93</x:v>
      </x:c>
      <x:c r="K30" s="76" t="n">
        <x:v>1112</x:v>
      </x:c>
      <x:c r="L30" s="76" t="n">
        <x:v>8</x:v>
      </x:c>
      <x:c r="M30" s="76" t="n">
        <x:v>0</x:v>
      </x:c>
      <x:c r="N30" s="73" t="str">
        <x:v>https://www.thefantasyfootballers.com/2026-ultimate-draft-kit/udk-jasons-projections/?position=FLEX</x:v>
      </x:c>
    </x:row>
    <x:row r="31">
      <x:c r="A31" s="70" t="str">
        <x:v>DeVonta Smith</x:v>
      </x:c>
      <x:c r="B31" s="69" t="str">
        <x:v>WR</x:v>
      </x:c>
      <x:c r="C31" s="69" t="str">
        <x:v>PHI</x:v>
      </x:c>
      <x:c r="D31" s="74" t="n">
        <x:v>10</x:v>
      </x:c>
      <x:c r="E31" s="74" t="n">
        <x:v>26</x:v>
      </x:c>
      <x:c r="F31" s="75" t="n">
        <x:v>14.9</x:v>
      </x:c>
      <x:c r="G31" s="76" t="n">
        <x:v>1</x:v>
      </x:c>
      <x:c r="H31" s="76" t="n">
        <x:v>4</x:v>
      </x:c>
      <x:c r="I31" s="76" t="n">
        <x:v>0</x:v>
      </x:c>
      <x:c r="J31" s="76" t="n">
        <x:v>91</x:v>
      </x:c>
      <x:c r="K31" s="76" t="n">
        <x:v>1192</x:v>
      </x:c>
      <x:c r="L31" s="76" t="n">
        <x:v>7</x:v>
      </x:c>
      <x:c r="M31" s="76" t="n">
        <x:v>0</x:v>
      </x:c>
      <x:c r="N31" s="73" t="str">
        <x:v>https://www.thefantasyfootballers.com/2026-ultimate-draft-kit/udk-jasons-projections/?position=FLEX</x:v>
      </x:c>
    </x:row>
    <x:row r="32">
      <x:c r="A32" s="70" t="str">
        <x:v>Trey McBride</x:v>
      </x:c>
      <x:c r="B32" s="69" t="str">
        <x:v>TE</x:v>
      </x:c>
      <x:c r="C32" s="69" t="str">
        <x:v>ARI</x:v>
      </x:c>
      <x:c r="D32" s="74" t="n">
        <x:v>14</x:v>
      </x:c>
      <x:c r="E32" s="74" t="n">
        <x:v>27</x:v>
      </x:c>
      <x:c r="F32" s="75" t="n">
        <x:v>14.9</x:v>
      </x:c>
      <x:c r="G32" s="76" t="n">
        <x:v>0</x:v>
      </x:c>
      <x:c r="H32" s="76" t="n">
        <x:v>0</x:v>
      </x:c>
      <x:c r="I32" s="76" t="n">
        <x:v>0</x:v>
      </x:c>
      <x:c r="J32" s="76" t="n">
        <x:v>108</x:v>
      </x:c>
      <x:c r="K32" s="76" t="n">
        <x:v>1036</x:v>
      </x:c>
      <x:c r="L32" s="76" t="n">
        <x:v>7</x:v>
      </x:c>
      <x:c r="M32" s="76" t="n">
        <x:v>0</x:v>
      </x:c>
      <x:c r="N32" s="73" t="str">
        <x:v>https://www.thefantasyfootballers.com/2026-ultimate-draft-kit/udk-jasons-projections/?position=FLEX</x:v>
      </x:c>
    </x:row>
    <x:row r="33">
      <x:c r="A33" s="70" t="str">
        <x:v>Jaylen Waddle</x:v>
      </x:c>
      <x:c r="B33" s="69" t="str">
        <x:v>WR</x:v>
      </x:c>
      <x:c r="C33" s="69" t="str">
        <x:v>DEN</x:v>
      </x:c>
      <x:c r="D33" s="74" t="n">
        <x:v>10</x:v>
      </x:c>
      <x:c r="E33" s="74" t="n">
        <x:v>28</x:v>
      </x:c>
      <x:c r="F33" s="75" t="n">
        <x:v>14.9</x:v>
      </x:c>
      <x:c r="G33" s="76" t="n">
        <x:v>0</x:v>
      </x:c>
      <x:c r="H33" s="76" t="n">
        <x:v>0</x:v>
      </x:c>
      <x:c r="I33" s="76" t="n">
        <x:v>0</x:v>
      </x:c>
      <x:c r="J33" s="76" t="n">
        <x:v>90</x:v>
      </x:c>
      <x:c r="K33" s="76" t="n">
        <x:v>1208</x:v>
      </x:c>
      <x:c r="L33" s="76" t="n">
        <x:v>7</x:v>
      </x:c>
      <x:c r="M33" s="76" t="n">
        <x:v>0</x:v>
      </x:c>
      <x:c r="N33" s="73" t="str">
        <x:v>https://www.thefantasyfootballers.com/2026-ultimate-draft-kit/udk-jasons-projections/?position=FLEX</x:v>
      </x:c>
    </x:row>
    <x:row r="34">
      <x:c r="A34" s="70" t="str">
        <x:v>Zay Flowers</x:v>
      </x:c>
      <x:c r="B34" s="69" t="str">
        <x:v>WR</x:v>
      </x:c>
      <x:c r="C34" s="69" t="str">
        <x:v>BAL</x:v>
      </x:c>
      <x:c r="D34" s="74" t="n">
        <x:v>13</x:v>
      </x:c>
      <x:c r="E34" s="74" t="n">
        <x:v>29</x:v>
      </x:c>
      <x:c r="F34" s="75" t="n">
        <x:v>14.9</x:v>
      </x:c>
      <x:c r="G34" s="76" t="n">
        <x:v>12</x:v>
      </x:c>
      <x:c r="H34" s="76" t="n">
        <x:v>73</x:v>
      </x:c>
      <x:c r="I34" s="76" t="n">
        <x:v>0</x:v>
      </x:c>
      <x:c r="J34" s="76" t="n">
        <x:v>90</x:v>
      </x:c>
      <x:c r="K34" s="76" t="n">
        <x:v>1197</x:v>
      </x:c>
      <x:c r="L34" s="76" t="n">
        <x:v>7</x:v>
      </x:c>
      <x:c r="M34" s="76" t="n">
        <x:v>2</x:v>
      </x:c>
      <x:c r="N34" s="73" t="str">
        <x:v>https://www.thefantasyfootballers.com/2026-ultimate-draft-kit/udk-jasons-projections/?position=FLEX</x:v>
      </x:c>
    </x:row>
    <x:row r="35">
      <x:c r="A35" s="70" t="str">
        <x:v>Nico Collins</x:v>
      </x:c>
      <x:c r="B35" s="69" t="str">
        <x:v>WR</x:v>
      </x:c>
      <x:c r="C35" s="69" t="str">
        <x:v>HOU</x:v>
      </x:c>
      <x:c r="D35" s="74" t="n">
        <x:v>8</x:v>
      </x:c>
      <x:c r="E35" s="74" t="n">
        <x:v>30</x:v>
      </x:c>
      <x:c r="F35" s="75" t="n">
        <x:v>14.8</x:v>
      </x:c>
      <x:c r="G35" s="76" t="n">
        <x:v>0</x:v>
      </x:c>
      <x:c r="H35" s="76" t="n">
        <x:v>0</x:v>
      </x:c>
      <x:c r="I35" s="76" t="n">
        <x:v>0</x:v>
      </x:c>
      <x:c r="J35" s="76" t="n">
        <x:v>79</x:v>
      </x:c>
      <x:c r="K35" s="76" t="n">
        <x:v>1209</x:v>
      </x:c>
      <x:c r="L35" s="76" t="n">
        <x:v>9</x:v>
      </x:c>
      <x:c r="M35" s="76" t="n">
        <x:v>1</x:v>
      </x:c>
      <x:c r="N35" s="73" t="str">
        <x:v>https://www.thefantasyfootballers.com/2026-ultimate-draft-kit/udk-jasons-projections/?position=FLEX</x:v>
      </x:c>
    </x:row>
    <x:row r="36">
      <x:c r="A36" s="70" t="str">
        <x:v>Kyren Williams</x:v>
      </x:c>
      <x:c r="B36" s="69" t="str">
        <x:v>RB</x:v>
      </x:c>
      <x:c r="C36" s="69" t="str">
        <x:v>LAR</x:v>
      </x:c>
      <x:c r="D36" s="74" t="n">
        <x:v>11</x:v>
      </x:c>
      <x:c r="E36" s="74" t="n">
        <x:v>31</x:v>
      </x:c>
      <x:c r="F36" s="75" t="n">
        <x:v>14.8</x:v>
      </x:c>
      <x:c r="G36" s="76" t="n">
        <x:v>240</x:v>
      </x:c>
      <x:c r="H36" s="76" t="n">
        <x:v>1135</x:v>
      </x:c>
      <x:c r="I36" s="76" t="n">
        <x:v>10</x:v>
      </x:c>
      <x:c r="J36" s="76" t="n">
        <x:v>36</x:v>
      </x:c>
      <x:c r="K36" s="76" t="n">
        <x:v>275</x:v>
      </x:c>
      <x:c r="L36" s="76" t="n">
        <x:v>3</x:v>
      </x:c>
      <x:c r="M36" s="76" t="n">
        <x:v>2</x:v>
      </x:c>
      <x:c r="N36" s="73" t="str">
        <x:v>https://www.thefantasyfootballers.com/2026-ultimate-draft-kit/udk-jasons-projections/?position=FLEX</x:v>
      </x:c>
    </x:row>
    <x:row r="37">
      <x:c r="A37" s="70" t="str">
        <x:v>Tetairoa McMillan</x:v>
      </x:c>
      <x:c r="B37" s="69" t="str">
        <x:v>WR</x:v>
      </x:c>
      <x:c r="C37" s="69" t="str">
        <x:v>CAR</x:v>
      </x:c>
      <x:c r="D37" s="74" t="n">
        <x:v>5</x:v>
      </x:c>
      <x:c r="E37" s="74" t="n">
        <x:v>32</x:v>
      </x:c>
      <x:c r="F37" s="75" t="n">
        <x:v>14.4</x:v>
      </x:c>
      <x:c r="G37" s="76" t="n">
        <x:v>1</x:v>
      </x:c>
      <x:c r="H37" s="76" t="n">
        <x:v>4</x:v>
      </x:c>
      <x:c r="I37" s="76" t="n">
        <x:v>0</x:v>
      </x:c>
      <x:c r="J37" s="76" t="n">
        <x:v>85</x:v>
      </x:c>
      <x:c r="K37" s="76" t="n">
        <x:v>1095</x:v>
      </x:c>
      <x:c r="L37" s="76" t="n">
        <x:v>9</x:v>
      </x:c>
      <x:c r="M37" s="76" t="n">
        <x:v>1</x:v>
      </x:c>
      <x:c r="N37" s="73" t="str">
        <x:v>https://www.thefantasyfootballers.com/2026-ultimate-draft-kit/udk-jasons-projections/?position=FLEX</x:v>
      </x:c>
    </x:row>
    <x:row r="38">
      <x:c r="A38" s="70" t="str">
        <x:v>Carnell Tate</x:v>
      </x:c>
      <x:c r="B38" s="69" t="str">
        <x:v>WR</x:v>
      </x:c>
      <x:c r="C38" s="69" t="str">
        <x:v>TEN</x:v>
      </x:c>
      <x:c r="D38" s="74" t="n">
        <x:v>9</x:v>
      </x:c>
      <x:c r="E38" s="74" t="n">
        <x:v>33</x:v>
      </x:c>
      <x:c r="F38" s="75" t="n">
        <x:v>14.3</x:v>
      </x:c>
      <x:c r="G38" s="76" t="n">
        <x:v>2</x:v>
      </x:c>
      <x:c r="H38" s="76" t="n">
        <x:v>8</x:v>
      </x:c>
      <x:c r="I38" s="76" t="n">
        <x:v>0</x:v>
      </x:c>
      <x:c r="J38" s="76" t="n">
        <x:v>87</x:v>
      </x:c>
      <x:c r="K38" s="76" t="n">
        <x:v>1131</x:v>
      </x:c>
      <x:c r="L38" s="76" t="n">
        <x:v>7</x:v>
      </x:c>
      <x:c r="M38" s="76" t="n">
        <x:v>0</x:v>
      </x:c>
      <x:c r="N38" s="73" t="str">
        <x:v>https://www.thefantasyfootballers.com/2026-ultimate-draft-kit/udk-jasons-projections/?position=FLEX</x:v>
      </x:c>
    </x:row>
    <x:row r="39">
      <x:c r="A39" s="70" t="str">
        <x:v>Emeka Egbuka</x:v>
      </x:c>
      <x:c r="B39" s="69" t="str">
        <x:v>WR</x:v>
      </x:c>
      <x:c r="C39" s="69" t="str">
        <x:v>TB</x:v>
      </x:c>
      <x:c r="D39" s="74" t="n">
        <x:v>10</x:v>
      </x:c>
      <x:c r="E39" s="74" t="n">
        <x:v>34</x:v>
      </x:c>
      <x:c r="F39" s="75" t="n">
        <x:v>14.2</x:v>
      </x:c>
      <x:c r="G39" s="76" t="n">
        <x:v>3</x:v>
      </x:c>
      <x:c r="H39" s="76" t="n">
        <x:v>12</x:v>
      </x:c>
      <x:c r="I39" s="76" t="n">
        <x:v>0</x:v>
      </x:c>
      <x:c r="J39" s="76" t="n">
        <x:v>81</x:v>
      </x:c>
      <x:c r="K39" s="76" t="n">
        <x:v>1118</x:v>
      </x:c>
      <x:c r="L39" s="76" t="n">
        <x:v>8</x:v>
      </x:c>
      <x:c r="M39" s="76" t="n">
        <x:v>0</x:v>
      </x:c>
      <x:c r="N39" s="73" t="str">
        <x:v>https://www.thefantasyfootballers.com/2026-ultimate-draft-kit/udk-jasons-projections/?position=FLEX</x:v>
      </x:c>
    </x:row>
    <x:row r="40">
      <x:c r="A40" s="70" t="str">
        <x:v>Tyler Warren</x:v>
      </x:c>
      <x:c r="B40" s="69" t="str">
        <x:v>TE</x:v>
      </x:c>
      <x:c r="C40" s="69" t="str">
        <x:v>IND</x:v>
      </x:c>
      <x:c r="D40" s="74" t="n">
        <x:v>13</x:v>
      </x:c>
      <x:c r="E40" s="74" t="n">
        <x:v>35</x:v>
      </x:c>
      <x:c r="F40" s="75" t="n">
        <x:v>14.2</x:v>
      </x:c>
      <x:c r="G40" s="76" t="n">
        <x:v>0</x:v>
      </x:c>
      <x:c r="H40" s="76" t="n">
        <x:v>0</x:v>
      </x:c>
      <x:c r="I40" s="76" t="n">
        <x:v>0</x:v>
      </x:c>
      <x:c r="J40" s="76" t="n">
        <x:v>92</x:v>
      </x:c>
      <x:c r="K40" s="76" t="n">
        <x:v>1007</x:v>
      </x:c>
      <x:c r="L40" s="76" t="n">
        <x:v>8</x:v>
      </x:c>
      <x:c r="M40" s="76" t="n">
        <x:v>0</x:v>
      </x:c>
      <x:c r="N40" s="73" t="str">
        <x:v>https://www.thefantasyfootballers.com/2026-ultimate-draft-kit/udk-jasons-projections/?position=FLEX</x:v>
      </x:c>
    </x:row>
    <x:row r="41">
      <x:c r="A41" s="70" t="str">
        <x:v>Derrick Henry</x:v>
      </x:c>
      <x:c r="B41" s="69" t="str">
        <x:v>RB</x:v>
      </x:c>
      <x:c r="C41" s="69" t="str">
        <x:v>BAL</x:v>
      </x:c>
      <x:c r="D41" s="74" t="n">
        <x:v>13</x:v>
      </x:c>
      <x:c r="E41" s="74" t="n">
        <x:v>36</x:v>
      </x:c>
      <x:c r="F41" s="75" t="n">
        <x:v>14.1</x:v>
      </x:c>
      <x:c r="G41" s="76" t="n">
        <x:v>299</x:v>
      </x:c>
      <x:c r="H41" s="76" t="n">
        <x:v>1405</x:v>
      </x:c>
      <x:c r="I41" s="76" t="n">
        <x:v>13</x:v>
      </x:c>
      <x:c r="J41" s="76" t="n">
        <x:v>13</x:v>
      </x:c>
      <x:c r="K41" s="76" t="n">
        <x:v>125</x:v>
      </x:c>
      <x:c r="L41" s="76" t="n">
        <x:v>0</x:v>
      </x:c>
      <x:c r="M41" s="76" t="n">
        <x:v>2</x:v>
      </x:c>
      <x:c r="N41" s="73" t="str">
        <x:v>https://www.thefantasyfootballers.com/2026-ultimate-draft-kit/udk-jasons-projections/?position=FLEX</x:v>
      </x:c>
    </x:row>
    <x:row r="42">
      <x:c r="A42" s="70" t="str">
        <x:v>Tee Higgins</x:v>
      </x:c>
      <x:c r="B42" s="69" t="str">
        <x:v>WR</x:v>
      </x:c>
      <x:c r="C42" s="69" t="str">
        <x:v>CIN</x:v>
      </x:c>
      <x:c r="D42" s="74" t="n">
        <x:v>6</x:v>
      </x:c>
      <x:c r="E42" s="74" t="n">
        <x:v>37</x:v>
      </x:c>
      <x:c r="F42" s="75" t="n">
        <x:v>14.1</x:v>
      </x:c>
      <x:c r="G42" s="76" t="n">
        <x:v>0</x:v>
      </x:c>
      <x:c r="H42" s="76" t="n">
        <x:v>0</x:v>
      </x:c>
      <x:c r="I42" s="76" t="n">
        <x:v>0</x:v>
      </x:c>
      <x:c r="J42" s="76" t="n">
        <x:v>78</x:v>
      </x:c>
      <x:c r="K42" s="76" t="n">
        <x:v>1075</x:v>
      </x:c>
      <x:c r="L42" s="76" t="n">
        <x:v>9</x:v>
      </x:c>
      <x:c r="M42" s="76" t="n">
        <x:v>0</x:v>
      </x:c>
      <x:c r="N42" s="73" t="str">
        <x:v>https://www.thefantasyfootballers.com/2026-ultimate-draft-kit/udk-jasons-projections/?position=FLEX</x:v>
      </x:c>
    </x:row>
    <x:row r="43">
      <x:c r="A43" s="70" t="str">
        <x:v>Colston Loveland</x:v>
      </x:c>
      <x:c r="B43" s="69" t="str">
        <x:v>TE</x:v>
      </x:c>
      <x:c r="C43" s="69" t="str">
        <x:v>CHI</x:v>
      </x:c>
      <x:c r="D43" s="74" t="n">
        <x:v>10</x:v>
      </x:c>
      <x:c r="E43" s="74" t="n">
        <x:v>38</x:v>
      </x:c>
      <x:c r="F43" s="75" t="n">
        <x:v>14.1</x:v>
      </x:c>
      <x:c r="G43" s="76" t="n">
        <x:v>1</x:v>
      </x:c>
      <x:c r="H43" s="76" t="n">
        <x:v>5</x:v>
      </x:c>
      <x:c r="I43" s="76" t="n">
        <x:v>0</x:v>
      </x:c>
      <x:c r="J43" s="76" t="n">
        <x:v>86</x:v>
      </x:c>
      <x:c r="K43" s="76" t="n">
        <x:v>1036</x:v>
      </x:c>
      <x:c r="L43" s="76" t="n">
        <x:v>9</x:v>
      </x:c>
      <x:c r="M43" s="76" t="n">
        <x:v>1</x:v>
      </x:c>
      <x:c r="N43" s="73" t="str">
        <x:v>https://www.thefantasyfootballers.com/2026-ultimate-draft-kit/udk-jasons-projections/?position=FLEX</x:v>
      </x:c>
    </x:row>
    <x:row r="44">
      <x:c r="A44" s="70" t="str">
        <x:v>Saquon Barkley</x:v>
      </x:c>
      <x:c r="B44" s="69" t="str">
        <x:v>RB</x:v>
      </x:c>
      <x:c r="C44" s="69" t="str">
        <x:v>PHI</x:v>
      </x:c>
      <x:c r="D44" s="74" t="n">
        <x:v>10</x:v>
      </x:c>
      <x:c r="E44" s="74" t="n">
        <x:v>39</x:v>
      </x:c>
      <x:c r="F44" s="75" t="n">
        <x:v>14</x:v>
      </x:c>
      <x:c r="G44" s="76" t="n">
        <x:v>245</x:v>
      </x:c>
      <x:c r="H44" s="76" t="n">
        <x:v>1127</x:v>
      </x:c>
      <x:c r="I44" s="76" t="n">
        <x:v>10</x:v>
      </x:c>
      <x:c r="J44" s="76" t="n">
        <x:v>37</x:v>
      </x:c>
      <x:c r="K44" s="76" t="n">
        <x:v>259</x:v>
      </x:c>
      <x:c r="L44" s="76" t="n">
        <x:v>2</x:v>
      </x:c>
      <x:c r="M44" s="76" t="n">
        <x:v>3</x:v>
      </x:c>
      <x:c r="N44" s="73" t="str">
        <x:v>https://www.thefantasyfootballers.com/2026-ultimate-draft-kit/udk-jasons-projections/?position=FLEX</x:v>
      </x:c>
    </x:row>
    <x:row r="45">
      <x:c r="A45" s="70" t="str">
        <x:v>Mike Evans</x:v>
      </x:c>
      <x:c r="B45" s="69" t="str">
        <x:v>WR</x:v>
      </x:c>
      <x:c r="C45" s="69" t="str">
        <x:v>SF</x:v>
      </x:c>
      <x:c r="D45" s="74" t="n">
        <x:v>8</x:v>
      </x:c>
      <x:c r="E45" s="74" t="n">
        <x:v>40</x:v>
      </x:c>
      <x:c r="F45" s="75" t="n">
        <x:v>13.9</x:v>
      </x:c>
      <x:c r="G45" s="76" t="n">
        <x:v>0</x:v>
      </x:c>
      <x:c r="H45" s="76" t="n">
        <x:v>0</x:v>
      </x:c>
      <x:c r="I45" s="76" t="n">
        <x:v>0</x:v>
      </x:c>
      <x:c r="J45" s="76" t="n">
        <x:v>73</x:v>
      </x:c>
      <x:c r="K45" s="76" t="n">
        <x:v>1102</x:v>
      </x:c>
      <x:c r="L45" s="76" t="n">
        <x:v>9</x:v>
      </x:c>
      <x:c r="M45" s="76" t="n">
        <x:v>0</x:v>
      </x:c>
      <x:c r="N45" s="73" t="str">
        <x:v>https://www.thefantasyfootballers.com/2026-ultimate-draft-kit/udk-jasons-projections/?position=FLEX</x:v>
      </x:c>
    </x:row>
    <x:row r="46">
      <x:c r="A46" s="70" t="str">
        <x:v>Jeremiyah Love</x:v>
      </x:c>
      <x:c r="B46" s="69" t="str">
        <x:v>RB</x:v>
      </x:c>
      <x:c r="C46" s="69" t="str">
        <x:v>ARI</x:v>
      </x:c>
      <x:c r="D46" s="74" t="n">
        <x:v>14</x:v>
      </x:c>
      <x:c r="E46" s="74" t="n">
        <x:v>41</x:v>
      </x:c>
      <x:c r="F46" s="75" t="n">
        <x:v>13.6</x:v>
      </x:c>
      <x:c r="G46" s="76" t="n">
        <x:v>205</x:v>
      </x:c>
      <x:c r="H46" s="76" t="n">
        <x:v>974</x:v>
      </x:c>
      <x:c r="I46" s="76" t="n">
        <x:v>7</x:v>
      </x:c>
      <x:c r="J46" s="76" t="n">
        <x:v>44</x:v>
      </x:c>
      <x:c r="K46" s="76" t="n">
        <x:v>365</x:v>
      </x:c>
      <x:c r="L46" s="76" t="n">
        <x:v>2</x:v>
      </x:c>
      <x:c r="M46" s="76" t="n">
        <x:v>0</x:v>
      </x:c>
      <x:c r="N46" s="73" t="str">
        <x:v>https://www.thefantasyfootballers.com/2026-ultimate-draft-kit/udk-jasons-projections/?position=FLEX</x:v>
      </x:c>
    </x:row>
    <x:row r="47">
      <x:c r="A47" s="70" t="str">
        <x:v>Davante Adams</x:v>
      </x:c>
      <x:c r="B47" s="69" t="str">
        <x:v>WR</x:v>
      </x:c>
      <x:c r="C47" s="69" t="str">
        <x:v>LAR</x:v>
      </x:c>
      <x:c r="D47" s="74" t="n">
        <x:v>11</x:v>
      </x:c>
      <x:c r="E47" s="74" t="n">
        <x:v>42</x:v>
      </x:c>
      <x:c r="F47" s="75" t="n">
        <x:v>13.6</x:v>
      </x:c>
      <x:c r="G47" s="76" t="n">
        <x:v>0</x:v>
      </x:c>
      <x:c r="H47" s="76" t="n">
        <x:v>0</x:v>
      </x:c>
      <x:c r="I47" s="76" t="n">
        <x:v>0</x:v>
      </x:c>
      <x:c r="J47" s="76" t="n">
        <x:v>72</x:v>
      </x:c>
      <x:c r="K47" s="76" t="n">
        <x:v>962</x:v>
      </x:c>
      <x:c r="L47" s="76" t="n">
        <x:v>11</x:v>
      </x:c>
      <x:c r="M47" s="76" t="n">
        <x:v>0</x:v>
      </x:c>
      <x:c r="N47" s="73" t="str">
        <x:v>https://www.thefantasyfootballers.com/2026-ultimate-draft-kit/udk-jasons-projections/?position=FLEX</x:v>
      </x:c>
    </x:row>
    <x:row r="48">
      <x:c r="A48" s="70" t="str">
        <x:v>Breece Hall</x:v>
      </x:c>
      <x:c r="B48" s="69" t="str">
        <x:v>RB</x:v>
      </x:c>
      <x:c r="C48" s="69" t="str">
        <x:v>NYJ</x:v>
      </x:c>
      <x:c r="D48" s="74" t="n">
        <x:v>13</x:v>
      </x:c>
      <x:c r="E48" s="74" t="n">
        <x:v>43</x:v>
      </x:c>
      <x:c r="F48" s="75" t="n">
        <x:v>13.4</x:v>
      </x:c>
      <x:c r="G48" s="76" t="n">
        <x:v>240</x:v>
      </x:c>
      <x:c r="H48" s="76" t="n">
        <x:v>1056</x:v>
      </x:c>
      <x:c r="I48" s="76" t="n">
        <x:v>7</x:v>
      </x:c>
      <x:c r="J48" s="76" t="n">
        <x:v>42</x:v>
      </x:c>
      <x:c r="K48" s="76" t="n">
        <x:v>315</x:v>
      </x:c>
      <x:c r="L48" s="76" t="n">
        <x:v>2</x:v>
      </x:c>
      <x:c r="M48" s="76" t="n">
        <x:v>3</x:v>
      </x:c>
      <x:c r="N48" s="73" t="str">
        <x:v>https://www.thefantasyfootballers.com/2026-ultimate-draft-kit/udk-jasons-projections/?position=FLEX</x:v>
      </x:c>
    </x:row>
    <x:row r="49">
      <x:c r="A49" s="70" t="str">
        <x:v>DJ Moore</x:v>
      </x:c>
      <x:c r="B49" s="69" t="str">
        <x:v>WR</x:v>
      </x:c>
      <x:c r="C49" s="69" t="str">
        <x:v>BUF</x:v>
      </x:c>
      <x:c r="D49" s="74" t="n">
        <x:v>7</x:v>
      </x:c>
      <x:c r="E49" s="74" t="n">
        <x:v>44</x:v>
      </x:c>
      <x:c r="F49" s="75" t="n">
        <x:v>13.4</x:v>
      </x:c>
      <x:c r="G49" s="76" t="n">
        <x:v>12</x:v>
      </x:c>
      <x:c r="H49" s="76" t="n">
        <x:v>72</x:v>
      </x:c>
      <x:c r="I49" s="76" t="n">
        <x:v>1</x:v>
      </x:c>
      <x:c r="J49" s="76" t="n">
        <x:v>78</x:v>
      </x:c>
      <x:c r="K49" s="76" t="n">
        <x:v>1033</x:v>
      </x:c>
      <x:c r="L49" s="76" t="n">
        <x:v>7</x:v>
      </x:c>
      <x:c r="M49" s="76" t="n">
        <x:v>1</x:v>
      </x:c>
      <x:c r="N49" s="73" t="str">
        <x:v>https://www.thefantasyfootballers.com/2026-ultimate-draft-kit/udk-jasons-projections/?position=FLEX</x:v>
      </x:c>
    </x:row>
    <x:row r="50">
      <x:c r="A50" s="70" t="str">
        <x:v>Christian Watson</x:v>
      </x:c>
      <x:c r="B50" s="69" t="str">
        <x:v>WR</x:v>
      </x:c>
      <x:c r="C50" s="69" t="str">
        <x:v>GB</x:v>
      </x:c>
      <x:c r="D50" s="74" t="n">
        <x:v>11</x:v>
      </x:c>
      <x:c r="E50" s="74" t="n">
        <x:v>45</x:v>
      </x:c>
      <x:c r="F50" s="75" t="n">
        <x:v>13.3</x:v>
      </x:c>
      <x:c r="G50" s="76" t="n">
        <x:v>0</x:v>
      </x:c>
      <x:c r="H50" s="76" t="n">
        <x:v>0</x:v>
      </x:c>
      <x:c r="I50" s="76" t="n">
        <x:v>0</x:v>
      </x:c>
      <x:c r="J50" s="76" t="n">
        <x:v>72</x:v>
      </x:c>
      <x:c r="K50" s="76" t="n">
        <x:v>1099</x:v>
      </x:c>
      <x:c r="L50" s="76" t="n">
        <x:v>8</x:v>
      </x:c>
      <x:c r="M50" s="76" t="n">
        <x:v>0</x:v>
      </x:c>
      <x:c r="N50" s="73" t="str">
        <x:v>https://www.thefantasyfootballers.com/2026-ultimate-draft-kit/udk-jasons-projections/?position=FLEX</x:v>
      </x:c>
    </x:row>
    <x:row r="51">
      <x:c r="A51" s="70" t="str">
        <x:v>Luther Burden III</x:v>
      </x:c>
      <x:c r="B51" s="69" t="str">
        <x:v>WR</x:v>
      </x:c>
      <x:c r="C51" s="69" t="str">
        <x:v>CHI</x:v>
      </x:c>
      <x:c r="D51" s="74" t="n">
        <x:v>10</x:v>
      </x:c>
      <x:c r="E51" s="74" t="n">
        <x:v>46</x:v>
      </x:c>
      <x:c r="F51" s="75" t="n">
        <x:v>13.3</x:v>
      </x:c>
      <x:c r="G51" s="76" t="n">
        <x:v>8</x:v>
      </x:c>
      <x:c r="H51" s="76" t="n">
        <x:v>55</x:v>
      </x:c>
      <x:c r="I51" s="76" t="n">
        <x:v>0</x:v>
      </x:c>
      <x:c r="J51" s="76" t="n">
        <x:v>81</x:v>
      </x:c>
      <x:c r="K51" s="76" t="n">
        <x:v>1034</x:v>
      </x:c>
      <x:c r="L51" s="76" t="n">
        <x:v>7</x:v>
      </x:c>
      <x:c r="M51" s="76" t="n">
        <x:v>2</x:v>
      </x:c>
      <x:c r="N51" s="73" t="str">
        <x:v>https://www.thefantasyfootballers.com/2026-ultimate-draft-kit/udk-jasons-projections/?position=FLEX</x:v>
      </x:c>
    </x:row>
    <x:row r="52">
      <x:c r="A52" s="70" t="str">
        <x:v>Harold Fannin Jr.</x:v>
      </x:c>
      <x:c r="B52" s="69" t="str">
        <x:v>TE</x:v>
      </x:c>
      <x:c r="C52" s="69" t="str">
        <x:v>CLE</x:v>
      </x:c>
      <x:c r="D52" s="74" t="n">
        <x:v>11</x:v>
      </x:c>
      <x:c r="E52" s="74" t="n">
        <x:v>47</x:v>
      </x:c>
      <x:c r="F52" s="75" t="n">
        <x:v>13.3</x:v>
      </x:c>
      <x:c r="G52" s="76" t="n">
        <x:v>0</x:v>
      </x:c>
      <x:c r="H52" s="76" t="n">
        <x:v>0</x:v>
      </x:c>
      <x:c r="I52" s="76" t="n">
        <x:v>0</x:v>
      </x:c>
      <x:c r="J52" s="76" t="n">
        <x:v>81</x:v>
      </x:c>
      <x:c r="K52" s="76" t="n">
        <x:v>873</x:v>
      </x:c>
      <x:c r="L52" s="76" t="n">
        <x:v>10</x:v>
      </x:c>
      <x:c r="M52" s="76" t="n">
        <x:v>1</x:v>
      </x:c>
      <x:c r="N52" s="73" t="str">
        <x:v>https://www.thefantasyfootballers.com/2026-ultimate-draft-kit/udk-jasons-projections/?position=FLEX</x:v>
      </x:c>
    </x:row>
    <x:row r="53">
      <x:c r="A53" s="70" t="str">
        <x:v>Terry McLaurin</x:v>
      </x:c>
      <x:c r="B53" s="69" t="str">
        <x:v>WR</x:v>
      </x:c>
      <x:c r="C53" s="69" t="str">
        <x:v>WAS</x:v>
      </x:c>
      <x:c r="D53" s="74" t="n">
        <x:v>7</x:v>
      </x:c>
      <x:c r="E53" s="74" t="n">
        <x:v>48</x:v>
      </x:c>
      <x:c r="F53" s="75" t="n">
        <x:v>13.1</x:v>
      </x:c>
      <x:c r="G53" s="76" t="n">
        <x:v>0</x:v>
      </x:c>
      <x:c r="H53" s="76" t="n">
        <x:v>0</x:v>
      </x:c>
      <x:c r="I53" s="76" t="n">
        <x:v>0</x:v>
      </x:c>
      <x:c r="J53" s="76" t="n">
        <x:v>79</x:v>
      </x:c>
      <x:c r="K53" s="76" t="n">
        <x:v>1050</x:v>
      </x:c>
      <x:c r="L53" s="76" t="n">
        <x:v>7</x:v>
      </x:c>
      <x:c r="M53" s="76" t="n">
        <x:v>0</x:v>
      </x:c>
      <x:c r="N53" s="73" t="str">
        <x:v>https://www.thefantasyfootballers.com/2026-ultimate-draft-kit/udk-jasons-projections/?position=FLEX</x:v>
      </x:c>
    </x:row>
    <x:row r="54">
      <x:c r="A54" s="70" t="str">
        <x:v>Javonte Williams</x:v>
      </x:c>
      <x:c r="B54" s="69" t="str">
        <x:v>RB</x:v>
      </x:c>
      <x:c r="C54" s="69" t="str">
        <x:v>DAL</x:v>
      </x:c>
      <x:c r="D54" s="74" t="n">
        <x:v>14</x:v>
      </x:c>
      <x:c r="E54" s="74" t="n">
        <x:v>49</x:v>
      </x:c>
      <x:c r="F54" s="75" t="n">
        <x:v>13.1</x:v>
      </x:c>
      <x:c r="G54" s="76" t="n">
        <x:v>245</x:v>
      </x:c>
      <x:c r="H54" s="76" t="n">
        <x:v>1125</x:v>
      </x:c>
      <x:c r="I54" s="76" t="n">
        <x:v>10</x:v>
      </x:c>
      <x:c r="J54" s="76" t="n">
        <x:v>31</x:v>
      </x:c>
      <x:c r="K54" s="76" t="n">
        <x:v>171</x:v>
      </x:c>
      <x:c r="L54" s="76" t="n">
        <x:v>1</x:v>
      </x:c>
      <x:c r="M54" s="76" t="n">
        <x:v>2</x:v>
      </x:c>
      <x:c r="N54" s="73" t="str">
        <x:v>https://www.thefantasyfootballers.com/2026-ultimate-draft-kit/udk-jasons-projections/?position=FLEX</x:v>
      </x:c>
    </x:row>
    <x:row r="55">
      <x:c r="A55" s="70" t="str">
        <x:v>Parker Washington</x:v>
      </x:c>
      <x:c r="B55" s="69" t="str">
        <x:v>WR</x:v>
      </x:c>
      <x:c r="C55" s="69" t="str">
        <x:v>JAX</x:v>
      </x:c>
      <x:c r="D55" s="74" t="n">
        <x:v>7</x:v>
      </x:c>
      <x:c r="E55" s="74" t="n">
        <x:v>50</x:v>
      </x:c>
      <x:c r="F55" s="75" t="n">
        <x:v>13.1</x:v>
      </x:c>
      <x:c r="G55" s="76" t="n">
        <x:v>0</x:v>
      </x:c>
      <x:c r="H55" s="76" t="n">
        <x:v>0</x:v>
      </x:c>
      <x:c r="I55" s="76" t="n">
        <x:v>0</x:v>
      </x:c>
      <x:c r="J55" s="76" t="n">
        <x:v>80</x:v>
      </x:c>
      <x:c r="K55" s="76" t="n">
        <x:v>1030</x:v>
      </x:c>
      <x:c r="L55" s="76" t="n">
        <x:v>7</x:v>
      </x:c>
      <x:c r="M55" s="76" t="n">
        <x:v>0</x:v>
      </x:c>
      <x:c r="N55" s="73" t="str">
        <x:v>https://www.thefantasyfootballers.com/2026-ultimate-draft-kit/udk-jasons-projections/?position=FLEX</x:v>
      </x:c>
    </x:row>
    <x:row r="56">
      <x:c r="A56" s="70" t="str">
        <x:v>D'Andre Swift</x:v>
      </x:c>
      <x:c r="B56" s="69" t="str">
        <x:v>RB</x:v>
      </x:c>
      <x:c r="C56" s="69" t="str">
        <x:v>CHI</x:v>
      </x:c>
      <x:c r="D56" s="74" t="n">
        <x:v>10</x:v>
      </x:c>
      <x:c r="E56" s="74" t="n">
        <x:v>51</x:v>
      </x:c>
      <x:c r="F56" s="75" t="n">
        <x:v>13</x:v>
      </x:c>
      <x:c r="G56" s="76" t="n">
        <x:v>215</x:v>
      </x:c>
      <x:c r="H56" s="76" t="n">
        <x:v>1030</x:v>
      </x:c>
      <x:c r="I56" s="76" t="n">
        <x:v>8</x:v>
      </x:c>
      <x:c r="J56" s="76" t="n">
        <x:v>35</x:v>
      </x:c>
      <x:c r="K56" s="76" t="n">
        <x:v>300</x:v>
      </x:c>
      <x:c r="L56" s="76" t="n">
        <x:v>2</x:v>
      </x:c>
      <x:c r="M56" s="76" t="n">
        <x:v>2</x:v>
      </x:c>
      <x:c r="N56" s="73" t="str">
        <x:v>https://www.thefantasyfootballers.com/2026-ultimate-draft-kit/udk-jasons-projections/?position=FLEX</x:v>
      </x:c>
    </x:row>
    <x:row r="57">
      <x:c r="A57" s="70" t="str">
        <x:v>Travis Etienne Jr.</x:v>
      </x:c>
      <x:c r="B57" s="69" t="str">
        <x:v>RB</x:v>
      </x:c>
      <x:c r="C57" s="69" t="str">
        <x:v>NO</x:v>
      </x:c>
      <x:c r="D57" s="74" t="n">
        <x:v>8</x:v>
      </x:c>
      <x:c r="E57" s="74" t="n">
        <x:v>52</x:v>
      </x:c>
      <x:c r="F57" s="75" t="n">
        <x:v>13</x:v>
      </x:c>
      <x:c r="G57" s="76" t="n">
        <x:v>235</x:v>
      </x:c>
      <x:c r="H57" s="76" t="n">
        <x:v>1022</x:v>
      </x:c>
      <x:c r="I57" s="76" t="n">
        <x:v>7</x:v>
      </x:c>
      <x:c r="J57" s="76" t="n">
        <x:v>41</x:v>
      </x:c>
      <x:c r="K57" s="76" t="n">
        <x:v>316</x:v>
      </x:c>
      <x:c r="L57" s="76" t="n">
        <x:v>2</x:v>
      </x:c>
      <x:c r="M57" s="76" t="n">
        <x:v>1</x:v>
      </x:c>
      <x:c r="N57" s="73" t="str">
        <x:v>https://www.thefantasyfootballers.com/2026-ultimate-draft-kit/udk-jasons-projections/?position=FLEX</x:v>
      </x:c>
    </x:row>
    <x:row r="58">
      <x:c r="A58" s="70" t="str">
        <x:v>Rome Odunze</x:v>
      </x:c>
      <x:c r="B58" s="69" t="str">
        <x:v>WR</x:v>
      </x:c>
      <x:c r="C58" s="69" t="str">
        <x:v>CHI</x:v>
      </x:c>
      <x:c r="D58" s="74" t="n">
        <x:v>10</x:v>
      </x:c>
      <x:c r="E58" s="74" t="n">
        <x:v>53</x:v>
      </x:c>
      <x:c r="F58" s="75" t="n">
        <x:v>12.9</x:v>
      </x:c>
      <x:c r="G58" s="76" t="n">
        <x:v>1</x:v>
      </x:c>
      <x:c r="H58" s="76" t="n">
        <x:v>5</x:v>
      </x:c>
      <x:c r="I58" s="76" t="n">
        <x:v>0</x:v>
      </x:c>
      <x:c r="J58" s="76" t="n">
        <x:v>73</x:v>
      </x:c>
      <x:c r="K58" s="76" t="n">
        <x:v>1002</x:v>
      </x:c>
      <x:c r="L58" s="76" t="n">
        <x:v>8</x:v>
      </x:c>
      <x:c r="M58" s="76" t="n">
        <x:v>1</x:v>
      </x:c>
      <x:c r="N58" s="73" t="str">
        <x:v>https://www.thefantasyfootballers.com/2026-ultimate-draft-kit/udk-jasons-projections/?position=FLEX</x:v>
      </x:c>
    </x:row>
    <x:row r="59">
      <x:c r="A59" s="70" t="str">
        <x:v>Bucky Irving</x:v>
      </x:c>
      <x:c r="B59" s="69" t="str">
        <x:v>RB</x:v>
      </x:c>
      <x:c r="C59" s="69" t="str">
        <x:v>TB</x:v>
      </x:c>
      <x:c r="D59" s="74" t="n">
        <x:v>10</x:v>
      </x:c>
      <x:c r="E59" s="74" t="n">
        <x:v>54</x:v>
      </x:c>
      <x:c r="F59" s="75" t="n">
        <x:v>12.9</x:v>
      </x:c>
      <x:c r="G59" s="76" t="n">
        <x:v>212</x:v>
      </x:c>
      <x:c r="H59" s="76" t="n">
        <x:v>965</x:v>
      </x:c>
      <x:c r="I59" s="76" t="n">
        <x:v>9</x:v>
      </x:c>
      <x:c r="J59" s="76" t="n">
        <x:v>33</x:v>
      </x:c>
      <x:c r="K59" s="76" t="n">
        <x:v>264</x:v>
      </x:c>
      <x:c r="L59" s="76" t="n">
        <x:v>2</x:v>
      </x:c>
      <x:c r="M59" s="76" t="n">
        <x:v>1</x:v>
      </x:c>
      <x:c r="N59" s="73" t="str">
        <x:v>https://www.thefantasyfootballers.com/2026-ultimate-draft-kit/udk-jasons-projections/?position=FLEX</x:v>
      </x:c>
    </x:row>
    <x:row r="60">
      <x:c r="A60" s="70" t="str">
        <x:v>Jameson Williams</x:v>
      </x:c>
      <x:c r="B60" s="69" t="str">
        <x:v>WR</x:v>
      </x:c>
      <x:c r="C60" s="69" t="str">
        <x:v>DET</x:v>
      </x:c>
      <x:c r="D60" s="74" t="n">
        <x:v>6</x:v>
      </x:c>
      <x:c r="E60" s="74" t="n">
        <x:v>55</x:v>
      </x:c>
      <x:c r="F60" s="75" t="n">
        <x:v>12.7</x:v>
      </x:c>
      <x:c r="G60" s="76" t="n">
        <x:v>5</x:v>
      </x:c>
      <x:c r="H60" s="76" t="n">
        <x:v>12</x:v>
      </x:c>
      <x:c r="I60" s="76" t="n">
        <x:v>1</x:v>
      </x:c>
      <x:c r="J60" s="76" t="n">
        <x:v>62</x:v>
      </x:c>
      <x:c r="K60" s="76" t="n">
        <x:v>1045</x:v>
      </x:c>
      <x:c r="L60" s="76" t="n">
        <x:v>7</x:v>
      </x:c>
      <x:c r="M60" s="76" t="n">
        <x:v>0</x:v>
      </x:c>
      <x:c r="N60" s="73" t="str">
        <x:v>https://www.thefantasyfootballers.com/2026-ultimate-draft-kit/udk-jasons-projections/?position=FLEX</x:v>
      </x:c>
    </x:row>
    <x:row r="61">
      <x:c r="A61" s="70" t="str">
        <x:v>TreVeyon Henderson</x:v>
      </x:c>
      <x:c r="B61" s="69" t="str">
        <x:v>RB</x:v>
      </x:c>
      <x:c r="C61" s="69" t="str">
        <x:v>NE</x:v>
      </x:c>
      <x:c r="D61" s="74" t="n">
        <x:v>11</x:v>
      </x:c>
      <x:c r="E61" s="74" t="n">
        <x:v>56</x:v>
      </x:c>
      <x:c r="F61" s="75" t="n">
        <x:v>12.5</x:v>
      </x:c>
      <x:c r="G61" s="76" t="n">
        <x:v>190</x:v>
      </x:c>
      <x:c r="H61" s="76" t="n">
        <x:v>998</x:v>
      </x:c>
      <x:c r="I61" s="76" t="n">
        <x:v>7</x:v>
      </x:c>
      <x:c r="J61" s="76" t="n">
        <x:v>32</x:v>
      </x:c>
      <x:c r="K61" s="76" t="n">
        <x:v>282</x:v>
      </x:c>
      <x:c r="L61" s="76" t="n">
        <x:v>2</x:v>
      </x:c>
      <x:c r="M61" s="76" t="n">
        <x:v>1</x:v>
      </x:c>
      <x:c r="N61" s="73" t="str">
        <x:v>https://www.thefantasyfootballers.com/2026-ultimate-draft-kit/udk-jasons-projections/?position=FLEX</x:v>
      </x:c>
    </x:row>
    <x:row r="62">
      <x:c r="A62" s="70" t="str">
        <x:v>Brian Thomas Jr.</x:v>
      </x:c>
      <x:c r="B62" s="69" t="str">
        <x:v>WR</x:v>
      </x:c>
      <x:c r="C62" s="69" t="str">
        <x:v>JAX</x:v>
      </x:c>
      <x:c r="D62" s="74" t="n">
        <x:v>7</x:v>
      </x:c>
      <x:c r="E62" s="74" t="n">
        <x:v>57</x:v>
      </x:c>
      <x:c r="F62" s="75" t="n">
        <x:v>12.4</x:v>
      </x:c>
      <x:c r="G62" s="76" t="n">
        <x:v>6</x:v>
      </x:c>
      <x:c r="H62" s="76" t="n">
        <x:v>42</x:v>
      </x:c>
      <x:c r="I62" s="76" t="n">
        <x:v>0</x:v>
      </x:c>
      <x:c r="J62" s="76" t="n">
        <x:v>66</x:v>
      </x:c>
      <x:c r="K62" s="76" t="n">
        <x:v>983</x:v>
      </x:c>
      <x:c r="L62" s="76" t="n">
        <x:v>7</x:v>
      </x:c>
      <x:c r="M62" s="76" t="n">
        <x:v>1</x:v>
      </x:c>
      <x:c r="N62" s="73" t="str">
        <x:v>https://www.thefantasyfootballers.com/2026-ultimate-draft-kit/udk-jasons-projections/?position=FLEX</x:v>
      </x:c>
    </x:row>
    <x:row r="63">
      <x:c r="A63" s="70" t="str">
        <x:v>Jadarian Price</x:v>
      </x:c>
      <x:c r="B63" s="69" t="str">
        <x:v>RB</x:v>
      </x:c>
      <x:c r="C63" s="69" t="str">
        <x:v>SEA</x:v>
      </x:c>
      <x:c r="D63" s="74" t="n">
        <x:v>11</x:v>
      </x:c>
      <x:c r="E63" s="74" t="n">
        <x:v>58</x:v>
      </x:c>
      <x:c r="F63" s="75" t="n">
        <x:v>12.4</x:v>
      </x:c>
      <x:c r="G63" s="76" t="n">
        <x:v>250</x:v>
      </x:c>
      <x:c r="H63" s="76" t="n">
        <x:v>1100</x:v>
      </x:c>
      <x:c r="I63" s="76" t="n">
        <x:v>8</x:v>
      </x:c>
      <x:c r="J63" s="76" t="n">
        <x:v>30</x:v>
      </x:c>
      <x:c r="K63" s="76" t="n">
        <x:v>195</x:v>
      </x:c>
      <x:c r="L63" s="76" t="n">
        <x:v>0</x:v>
      </x:c>
      <x:c r="M63" s="76" t="n">
        <x:v>1</x:v>
      </x:c>
      <x:c r="N63" s="73" t="str">
        <x:v>https://www.thefantasyfootballers.com/2026-ultimate-draft-kit/udk-jasons-projections/?position=FLEX</x:v>
      </x:c>
    </x:row>
    <x:row r="64">
      <x:c r="A64" s="70" t="str">
        <x:v>DK Metcalf</x:v>
      </x:c>
      <x:c r="B64" s="69" t="str">
        <x:v>WR</x:v>
      </x:c>
      <x:c r="C64" s="69" t="str">
        <x:v>PIT</x:v>
      </x:c>
      <x:c r="D64" s="74" t="n">
        <x:v>9</x:v>
      </x:c>
      <x:c r="E64" s="74" t="n">
        <x:v>59</x:v>
      </x:c>
      <x:c r="F64" s="75" t="n">
        <x:v>12.4</x:v>
      </x:c>
      <x:c r="G64" s="76" t="n">
        <x:v>2</x:v>
      </x:c>
      <x:c r="H64" s="76" t="n">
        <x:v>12</x:v>
      </x:c>
      <x:c r="I64" s="76" t="n">
        <x:v>0</x:v>
      </x:c>
      <x:c r="J64" s="76" t="n">
        <x:v>63</x:v>
      </x:c>
      <x:c r="K64" s="76" t="n">
        <x:v>1000</x:v>
      </x:c>
      <x:c r="L64" s="76" t="n">
        <x:v>8</x:v>
      </x:c>
      <x:c r="M64" s="76" t="n">
        <x:v>1</x:v>
      </x:c>
      <x:c r="N64" s="73" t="str">
        <x:v>https://www.thefantasyfootballers.com/2026-ultimate-draft-kit/udk-jasons-projections/?position=FLEX</x:v>
      </x:c>
    </x:row>
    <x:row r="65">
      <x:c r="A65" s="70" t="str">
        <x:v>Marvin Harrison Jr.</x:v>
      </x:c>
      <x:c r="B65" s="69" t="str">
        <x:v>WR</x:v>
      </x:c>
      <x:c r="C65" s="69" t="str">
        <x:v>ARI</x:v>
      </x:c>
      <x:c r="D65" s="74" t="n">
        <x:v>14</x:v>
      </x:c>
      <x:c r="E65" s="74" t="n">
        <x:v>60</x:v>
      </x:c>
      <x:c r="F65" s="75" t="n">
        <x:v>12.3</x:v>
      </x:c>
      <x:c r="G65" s="76" t="n">
        <x:v>0</x:v>
      </x:c>
      <x:c r="H65" s="76" t="n">
        <x:v>0</x:v>
      </x:c>
      <x:c r="I65" s="76" t="n">
        <x:v>0</x:v>
      </x:c>
      <x:c r="J65" s="76" t="n">
        <x:v>78</x:v>
      </x:c>
      <x:c r="K65" s="76" t="n">
        <x:v>1051</x:v>
      </x:c>
      <x:c r="L65" s="76" t="n">
        <x:v>5</x:v>
      </x:c>
      <x:c r="M65" s="76" t="n">
        <x:v>2</x:v>
      </x:c>
      <x:c r="N65" s="73" t="str">
        <x:v>https://www.thefantasyfootballers.com/2026-ultimate-draft-kit/udk-jasons-projections/?position=FLEX</x:v>
      </x:c>
    </x:row>
    <x:row r="66">
      <x:c r="A66" s="70" t="str">
        <x:v>Bhayshul Tuten</x:v>
      </x:c>
      <x:c r="B66" s="69" t="str">
        <x:v>RB</x:v>
      </x:c>
      <x:c r="C66" s="69" t="str">
        <x:v>JAX</x:v>
      </x:c>
      <x:c r="D66" s="74" t="n">
        <x:v>7</x:v>
      </x:c>
      <x:c r="E66" s="74" t="n">
        <x:v>61</x:v>
      </x:c>
      <x:c r="F66" s="75" t="n">
        <x:v>12.2</x:v>
      </x:c>
      <x:c r="G66" s="76" t="n">
        <x:v>225</x:v>
      </x:c>
      <x:c r="H66" s="76" t="n">
        <x:v>980</x:v>
      </x:c>
      <x:c r="I66" s="76" t="n">
        <x:v>7</x:v>
      </x:c>
      <x:c r="J66" s="76" t="n">
        <x:v>33</x:v>
      </x:c>
      <x:c r="K66" s="76" t="n">
        <x:v>297</x:v>
      </x:c>
      <x:c r="L66" s="76" t="n">
        <x:v>2</x:v>
      </x:c>
      <x:c r="M66" s="76" t="n">
        <x:v>2</x:v>
      </x:c>
      <x:c r="N66" s="73" t="str">
        <x:v>https://www.thefantasyfootballers.com/2026-ultimate-draft-kit/udk-jasons-projections/?position=FLEX</x:v>
      </x:c>
    </x:row>
    <x:row r="67">
      <x:c r="A67" s="70" t="str">
        <x:v>Cam Skattebo</x:v>
      </x:c>
      <x:c r="B67" s="69" t="str">
        <x:v>RB</x:v>
      </x:c>
      <x:c r="C67" s="69" t="str">
        <x:v>NYG</x:v>
      </x:c>
      <x:c r="D67" s="74" t="n">
        <x:v>8</x:v>
      </x:c>
      <x:c r="E67" s="74" t="n">
        <x:v>62</x:v>
      </x:c>
      <x:c r="F67" s="75" t="n">
        <x:v>12.1</x:v>
      </x:c>
      <x:c r="G67" s="76" t="n">
        <x:v>215</x:v>
      </x:c>
      <x:c r="H67" s="76" t="n">
        <x:v>935</x:v>
      </x:c>
      <x:c r="I67" s="76" t="n">
        <x:v>6</x:v>
      </x:c>
      <x:c r="J67" s="76" t="n">
        <x:v>41</x:v>
      </x:c>
      <x:c r="K67" s="76" t="n">
        <x:v>320</x:v>
      </x:c>
      <x:c r="L67" s="76" t="n">
        <x:v>2</x:v>
      </x:c>
      <x:c r="M67" s="76" t="n">
        <x:v>4</x:v>
      </x:c>
      <x:c r="N67" s="73" t="str">
        <x:v>https://www.thefantasyfootballers.com/2026-ultimate-draft-kit/udk-jasons-projections/?position=FLEX</x:v>
      </x:c>
    </x:row>
    <x:row r="68">
      <x:c r="A68" s="70" t="str">
        <x:v>Michael Pittman Jr.</x:v>
      </x:c>
      <x:c r="B68" s="69" t="str">
        <x:v>WR</x:v>
      </x:c>
      <x:c r="C68" s="69" t="str">
        <x:v>PIT</x:v>
      </x:c>
      <x:c r="D68" s="74" t="n">
        <x:v>9</x:v>
      </x:c>
      <x:c r="E68" s="74" t="n">
        <x:v>63</x:v>
      </x:c>
      <x:c r="F68" s="75" t="n">
        <x:v>11.8</x:v>
      </x:c>
      <x:c r="G68" s="76" t="n">
        <x:v>0</x:v>
      </x:c>
      <x:c r="H68" s="76" t="n">
        <x:v>0</x:v>
      </x:c>
      <x:c r="I68" s="76" t="n">
        <x:v>0</x:v>
      </x:c>
      <x:c r="J68" s="76" t="n">
        <x:v>86</x:v>
      </x:c>
      <x:c r="K68" s="76" t="n">
        <x:v>850</x:v>
      </x:c>
      <x:c r="L68" s="76" t="n">
        <x:v>5</x:v>
      </x:c>
      <x:c r="M68" s="76" t="n">
        <x:v>0</x:v>
      </x:c>
      <x:c r="N68" s="73" t="str">
        <x:v>https://www.thefantasyfootballers.com/2026-ultimate-draft-kit/udk-jasons-projections/?position=FLEX</x:v>
      </x:c>
    </x:row>
    <x:row r="69">
      <x:c r="A69" s="70" t="str">
        <x:v>Chris Godwin Jr.</x:v>
      </x:c>
      <x:c r="B69" s="69" t="str">
        <x:v>WR</x:v>
      </x:c>
      <x:c r="C69" s="69" t="str">
        <x:v>TB</x:v>
      </x:c>
      <x:c r="D69" s="74" t="n">
        <x:v>10</x:v>
      </x:c>
      <x:c r="E69" s="74" t="n">
        <x:v>64</x:v>
      </x:c>
      <x:c r="F69" s="75" t="n">
        <x:v>11.8</x:v>
      </x:c>
      <x:c r="G69" s="76" t="n">
        <x:v>0</x:v>
      </x:c>
      <x:c r="H69" s="76" t="n">
        <x:v>0</x:v>
      </x:c>
      <x:c r="I69" s="76" t="n">
        <x:v>0</x:v>
      </x:c>
      <x:c r="J69" s="76" t="n">
        <x:v>83</x:v>
      </x:c>
      <x:c r="K69" s="76" t="n">
        <x:v>913</x:v>
      </x:c>
      <x:c r="L69" s="76" t="n">
        <x:v>4</x:v>
      </x:c>
      <x:c r="M69" s="76" t="n">
        <x:v>0</x:v>
      </x:c>
      <x:c r="N69" s="73" t="str">
        <x:v>https://www.thefantasyfootballers.com/2026-ultimate-draft-kit/udk-jasons-projections/?position=FLEX</x:v>
      </x:c>
    </x:row>
    <x:row r="70">
      <x:c r="A70" s="70" t="str">
        <x:v>Alec Pierce</x:v>
      </x:c>
      <x:c r="B70" s="69" t="str">
        <x:v>WR</x:v>
      </x:c>
      <x:c r="C70" s="69" t="str">
        <x:v>IND</x:v>
      </x:c>
      <x:c r="D70" s="74" t="n">
        <x:v>13</x:v>
      </x:c>
      <x:c r="E70" s="74" t="n">
        <x:v>65</x:v>
      </x:c>
      <x:c r="F70" s="75" t="n">
        <x:v>11.8</x:v>
      </x:c>
      <x:c r="G70" s="76" t="n">
        <x:v>0</x:v>
      </x:c>
      <x:c r="H70" s="76" t="n">
        <x:v>0</x:v>
      </x:c>
      <x:c r="I70" s="76" t="n">
        <x:v>0</x:v>
      </x:c>
      <x:c r="J70" s="76" t="n">
        <x:v>64</x:v>
      </x:c>
      <x:c r="K70" s="76" t="n">
        <x:v>1022</x:v>
      </x:c>
      <x:c r="L70" s="76" t="n">
        <x:v>6</x:v>
      </x:c>
      <x:c r="M70" s="76" t="n">
        <x:v>1</x:v>
      </x:c>
      <x:c r="N70" s="73" t="str">
        <x:v>https://www.thefantasyfootballers.com/2026-ultimate-draft-kit/udk-jasons-projections/?position=FLEX</x:v>
      </x:c>
    </x:row>
    <x:row r="71">
      <x:c r="A71" s="70" t="str">
        <x:v>Makai Lemon</x:v>
      </x:c>
      <x:c r="B71" s="69" t="str">
        <x:v>WR</x:v>
      </x:c>
      <x:c r="C71" s="69" t="str">
        <x:v>PHI</x:v>
      </x:c>
      <x:c r="D71" s="74" t="n">
        <x:v>10</x:v>
      </x:c>
      <x:c r="E71" s="74" t="n">
        <x:v>66</x:v>
      </x:c>
      <x:c r="F71" s="75" t="n">
        <x:v>11.6</x:v>
      </x:c>
      <x:c r="G71" s="76" t="n">
        <x:v>5</x:v>
      </x:c>
      <x:c r="H71" s="76" t="n">
        <x:v>30</x:v>
      </x:c>
      <x:c r="I71" s="76" t="n">
        <x:v>0</x:v>
      </x:c>
      <x:c r="J71" s="76" t="n">
        <x:v>77</x:v>
      </x:c>
      <x:c r="K71" s="76" t="n">
        <x:v>886</x:v>
      </x:c>
      <x:c r="L71" s="76" t="n">
        <x:v>5</x:v>
      </x:c>
      <x:c r="M71" s="76" t="n">
        <x:v>1</x:v>
      </x:c>
      <x:c r="N71" s="73" t="str">
        <x:v>https://www.thefantasyfootballers.com/2026-ultimate-draft-kit/udk-jasons-projections/?position=FLEX</x:v>
      </x:c>
    </x:row>
    <x:row r="72">
      <x:c r="A72" s="70" t="str">
        <x:v>Sam LaPorta</x:v>
      </x:c>
      <x:c r="B72" s="69" t="str">
        <x:v>TE</x:v>
      </x:c>
      <x:c r="C72" s="69" t="str">
        <x:v>DET</x:v>
      </x:c>
      <x:c r="D72" s="74" t="n">
        <x:v>6</x:v>
      </x:c>
      <x:c r="E72" s="74" t="n">
        <x:v>67</x:v>
      </x:c>
      <x:c r="F72" s="75" t="n">
        <x:v>11.6</x:v>
      </x:c>
      <x:c r="G72" s="76" t="n">
        <x:v>0</x:v>
      </x:c>
      <x:c r="H72" s="76" t="n">
        <x:v>0</x:v>
      </x:c>
      <x:c r="I72" s="76" t="n">
        <x:v>0</x:v>
      </x:c>
      <x:c r="J72" s="76" t="n">
        <x:v>74</x:v>
      </x:c>
      <x:c r="K72" s="76" t="n">
        <x:v>873</x:v>
      </x:c>
      <x:c r="L72" s="76" t="n">
        <x:v>6</x:v>
      </x:c>
      <x:c r="M72" s="76" t="n">
        <x:v>0</x:v>
      </x:c>
      <x:c r="N72" s="73" t="str">
        <x:v>https://www.thefantasyfootballers.com/2026-ultimate-draft-kit/udk-jasons-projections/?position=FLEX</x:v>
      </x:c>
    </x:row>
    <x:row r="73">
      <x:c r="A73" s="70" t="str">
        <x:v>Jayden Reed</x:v>
      </x:c>
      <x:c r="B73" s="69" t="str">
        <x:v>WR</x:v>
      </x:c>
      <x:c r="C73" s="69" t="str">
        <x:v>GB</x:v>
      </x:c>
      <x:c r="D73" s="74" t="n">
        <x:v>11</x:v>
      </x:c>
      <x:c r="E73" s="74" t="n">
        <x:v>68</x:v>
      </x:c>
      <x:c r="F73" s="75" t="n">
        <x:v>11.5</x:v>
      </x:c>
      <x:c r="G73" s="76" t="n">
        <x:v>10</x:v>
      </x:c>
      <x:c r="H73" s="76" t="n">
        <x:v>70</x:v>
      </x:c>
      <x:c r="I73" s="76" t="n">
        <x:v>1</x:v>
      </x:c>
      <x:c r="J73" s="76" t="n">
        <x:v>71</x:v>
      </x:c>
      <x:c r="K73" s="76" t="n">
        <x:v>875</x:v>
      </x:c>
      <x:c r="L73" s="76" t="n">
        <x:v>5</x:v>
      </x:c>
      <x:c r="M73" s="76" t="n">
        <x:v>1</x:v>
      </x:c>
      <x:c r="N73" s="73" t="str">
        <x:v>https://www.thefantasyfootballers.com/2026-ultimate-draft-kit/udk-jasons-projections/?position=FLEX</x:v>
      </x:c>
    </x:row>
    <x:row r="74">
      <x:c r="A74" s="70" t="str">
        <x:v>David Montgomery</x:v>
      </x:c>
      <x:c r="B74" s="69" t="str">
        <x:v>RB</x:v>
      </x:c>
      <x:c r="C74" s="69" t="str">
        <x:v>HOU</x:v>
      </x:c>
      <x:c r="D74" s="74" t="n">
        <x:v>8</x:v>
      </x:c>
      <x:c r="E74" s="74" t="n">
        <x:v>69</x:v>
      </x:c>
      <x:c r="F74" s="75" t="n">
        <x:v>11.5</x:v>
      </x:c>
      <x:c r="G74" s="76" t="n">
        <x:v>240</x:v>
      </x:c>
      <x:c r="H74" s="76" t="n">
        <x:v>982</x:v>
      </x:c>
      <x:c r="I74" s="76" t="n">
        <x:v>8</x:v>
      </x:c>
      <x:c r="J74" s="76" t="n">
        <x:v>29</x:v>
      </x:c>
      <x:c r="K74" s="76" t="n">
        <x:v>217</x:v>
      </x:c>
      <x:c r="L74" s="76" t="n">
        <x:v>0</x:v>
      </x:c>
      <x:c r="M74" s="76" t="n">
        <x:v>1</x:v>
      </x:c>
      <x:c r="N74" s="73" t="str">
        <x:v>https://www.thefantasyfootballers.com/2026-ultimate-draft-kit/udk-jasons-projections/?position=FLEX</x:v>
      </x:c>
    </x:row>
    <x:row r="75">
      <x:c r="A75" s="70" t="str">
        <x:v>Quinshon Judkins</x:v>
      </x:c>
      <x:c r="B75" s="69" t="str">
        <x:v>RB</x:v>
      </x:c>
      <x:c r="C75" s="69" t="str">
        <x:v>CLE</x:v>
      </x:c>
      <x:c r="D75" s="74" t="n">
        <x:v>11</x:v>
      </x:c>
      <x:c r="E75" s="74" t="n">
        <x:v>70</x:v>
      </x:c>
      <x:c r="F75" s="75" t="n">
        <x:v>11.4</x:v>
      </x:c>
      <x:c r="G75" s="76" t="n">
        <x:v>213</x:v>
      </x:c>
      <x:c r="H75" s="76" t="n">
        <x:v>937</x:v>
      </x:c>
      <x:c r="I75" s="76" t="n">
        <x:v>8</x:v>
      </x:c>
      <x:c r="J75" s="76" t="n">
        <x:v>28</x:v>
      </x:c>
      <x:c r="K75" s="76" t="n">
        <x:v>210</x:v>
      </x:c>
      <x:c r="L75" s="76" t="n">
        <x:v>2</x:v>
      </x:c>
      <x:c r="M75" s="76" t="n">
        <x:v>2</x:v>
      </x:c>
      <x:c r="N75" s="73" t="str">
        <x:v>https://www.thefantasyfootballers.com/2026-ultimate-draft-kit/udk-jasons-projections/?position=FLEX</x:v>
      </x:c>
    </x:row>
    <x:row r="76">
      <x:c r="A76" s="70" t="str">
        <x:v>Kyle Pitts Sr.</x:v>
      </x:c>
      <x:c r="B76" s="69" t="str">
        <x:v>TE</x:v>
      </x:c>
      <x:c r="C76" s="69" t="str">
        <x:v>ATL</x:v>
      </x:c>
      <x:c r="D76" s="74" t="n">
        <x:v>11</x:v>
      </x:c>
      <x:c r="E76" s="74" t="n">
        <x:v>71</x:v>
      </x:c>
      <x:c r="F76" s="75" t="n">
        <x:v>11.2</x:v>
      </x:c>
      <x:c r="G76" s="76" t="n">
        <x:v>0</x:v>
      </x:c>
      <x:c r="H76" s="76" t="n">
        <x:v>0</x:v>
      </x:c>
      <x:c r="I76" s="76" t="n">
        <x:v>0</x:v>
      </x:c>
      <x:c r="J76" s="76" t="n">
        <x:v>76</x:v>
      </x:c>
      <x:c r="K76" s="76" t="n">
        <x:v>836</x:v>
      </x:c>
      <x:c r="L76" s="76" t="n">
        <x:v>5</x:v>
      </x:c>
      <x:c r="M76" s="76" t="n">
        <x:v>1</x:v>
      </x:c>
      <x:c r="N76" s="73" t="str">
        <x:v>https://www.thefantasyfootballers.com/2026-ultimate-draft-kit/udk-jasons-projections/?position=FLEX</x:v>
      </x:c>
    </x:row>
    <x:row r="77">
      <x:c r="A77" s="70" t="str">
        <x:v>Rhamondre Stevenson</x:v>
      </x:c>
      <x:c r="B77" s="69" t="str">
        <x:v>RB</x:v>
      </x:c>
      <x:c r="C77" s="69" t="str">
        <x:v>NE</x:v>
      </x:c>
      <x:c r="D77" s="74" t="n">
        <x:v>11</x:v>
      </x:c>
      <x:c r="E77" s="74" t="n">
        <x:v>72</x:v>
      </x:c>
      <x:c r="F77" s="75" t="n">
        <x:v>10.9</x:v>
      </x:c>
      <x:c r="G77" s="76" t="n">
        <x:v>165</x:v>
      </x:c>
      <x:c r="H77" s="76" t="n">
        <x:v>751</x:v>
      </x:c>
      <x:c r="I77" s="76" t="n">
        <x:v>7</x:v>
      </x:c>
      <x:c r="J77" s="76" t="n">
        <x:v>39</x:v>
      </x:c>
      <x:c r="K77" s="76" t="n">
        <x:v>304</x:v>
      </x:c>
      <x:c r="L77" s="76" t="n">
        <x:v>1</x:v>
      </x:c>
      <x:c r="M77" s="76" t="n">
        <x:v>2</x:v>
      </x:c>
      <x:c r="N77" s="73" t="str">
        <x:v>https://www.thefantasyfootballers.com/2026-ultimate-draft-kit/udk-jasons-projections/?position=FLEX</x:v>
      </x:c>
    </x:row>
    <x:row r="78">
      <x:c r="A78" s="70" t="str">
        <x:v>MarShawn Lloyd</x:v>
      </x:c>
      <x:c r="B78" s="69" t="str">
        <x:v>RB</x:v>
      </x:c>
      <x:c r="C78" s="69" t="str">
        <x:v>GB</x:v>
      </x:c>
      <x:c r="D78" s="74" t="n">
        <x:v>11</x:v>
      </x:c>
      <x:c r="E78" s="74" t="n">
        <x:v>73</x:v>
      </x:c>
      <x:c r="F78" s="75" t="n">
        <x:v>10.9</x:v>
      </x:c>
      <x:c r="G78" s="76" t="n">
        <x:v>195</x:v>
      </x:c>
      <x:c r="H78" s="76" t="n">
        <x:v>839</x:v>
      </x:c>
      <x:c r="I78" s="76" t="n">
        <x:v>6</x:v>
      </x:c>
      <x:c r="J78" s="76" t="n">
        <x:v>32</x:v>
      </x:c>
      <x:c r="K78" s="76" t="n">
        <x:v>236</x:v>
      </x:c>
      <x:c r="L78" s="76" t="n">
        <x:v>2</x:v>
      </x:c>
      <x:c r="M78" s="76" t="n">
        <x:v>1</x:v>
      </x:c>
      <x:c r="N78" s="73" t="str">
        <x:v>https://www.thefantasyfootballers.com/2026-ultimate-draft-kit/udk-jasons-projections/?position=FLEX</x:v>
      </x:c>
    </x:row>
    <x:row r="79">
      <x:c r="A79" s="70" t="str">
        <x:v>Tucker Kraft</x:v>
      </x:c>
      <x:c r="B79" s="69" t="str">
        <x:v>TE</x:v>
      </x:c>
      <x:c r="C79" s="69" t="str">
        <x:v>GB</x:v>
      </x:c>
      <x:c r="D79" s="74" t="n">
        <x:v>11</x:v>
      </x:c>
      <x:c r="E79" s="74" t="n">
        <x:v>74</x:v>
      </x:c>
      <x:c r="F79" s="75" t="n">
        <x:v>10.8</x:v>
      </x:c>
      <x:c r="G79" s="76" t="n">
        <x:v>0</x:v>
      </x:c>
      <x:c r="H79" s="76" t="n">
        <x:v>0</x:v>
      </x:c>
      <x:c r="I79" s="76" t="n">
        <x:v>0</x:v>
      </x:c>
      <x:c r="J79" s="76" t="n">
        <x:v>60</x:v>
      </x:c>
      <x:c r="K79" s="76" t="n">
        <x:v>835</x:v>
      </x:c>
      <x:c r="L79" s="76" t="n">
        <x:v>7</x:v>
      </x:c>
      <x:c r="M79" s="76" t="n">
        <x:v>0</x:v>
      </x:c>
      <x:c r="N79" s="73" t="str">
        <x:v>https://www.thefantasyfootballers.com/2026-ultimate-draft-kit/udk-jasons-projections/?position=FLEX</x:v>
      </x:c>
    </x:row>
    <x:row r="80">
      <x:c r="A80" s="70" t="str">
        <x:v>Wan'Dale Robinson</x:v>
      </x:c>
      <x:c r="B80" s="69" t="str">
        <x:v>WR</x:v>
      </x:c>
      <x:c r="C80" s="69" t="str">
        <x:v>TEN</x:v>
      </x:c>
      <x:c r="D80" s="74" t="n">
        <x:v>9</x:v>
      </x:c>
      <x:c r="E80" s="74" t="n">
        <x:v>75</x:v>
      </x:c>
      <x:c r="F80" s="75" t="n">
        <x:v>10.7</x:v>
      </x:c>
      <x:c r="G80" s="76" t="n">
        <x:v>10</x:v>
      </x:c>
      <x:c r="H80" s="76" t="n">
        <x:v>45</x:v>
      </x:c>
      <x:c r="I80" s="76" t="n">
        <x:v>1</x:v>
      </x:c>
      <x:c r="J80" s="76" t="n">
        <x:v>77</x:v>
      </x:c>
      <x:c r="K80" s="76" t="n">
        <x:v>716</x:v>
      </x:c>
      <x:c r="L80" s="76" t="n">
        <x:v>4</x:v>
      </x:c>
      <x:c r="M80" s="76" t="n">
        <x:v>0</x:v>
      </x:c>
      <x:c r="N80" s="73" t="str">
        <x:v>https://www.thefantasyfootballers.com/2026-ultimate-draft-kit/udk-jasons-projections/?position=FLEX</x:v>
      </x:c>
    </x:row>
    <x:row r="81">
      <x:c r="A81" s="70" t="str">
        <x:v>Courtland Sutton</x:v>
      </x:c>
      <x:c r="B81" s="69" t="str">
        <x:v>WR</x:v>
      </x:c>
      <x:c r="C81" s="69" t="str">
        <x:v>DEN</x:v>
      </x:c>
      <x:c r="D81" s="74" t="n">
        <x:v>10</x:v>
      </x:c>
      <x:c r="E81" s="74" t="n">
        <x:v>76</x:v>
      </x:c>
      <x:c r="F81" s="75" t="n">
        <x:v>10.6</x:v>
      </x:c>
      <x:c r="G81" s="76" t="n">
        <x:v>0</x:v>
      </x:c>
      <x:c r="H81" s="76" t="n">
        <x:v>0</x:v>
      </x:c>
      <x:c r="I81" s="76" t="n">
        <x:v>0</x:v>
      </x:c>
      <x:c r="J81" s="76" t="n">
        <x:v>61</x:v>
      </x:c>
      <x:c r="K81" s="76" t="n">
        <x:v>800</x:v>
      </x:c>
      <x:c r="L81" s="76" t="n">
        <x:v>7</x:v>
      </x:c>
      <x:c r="M81" s="76" t="n">
        <x:v>1</x:v>
      </x:c>
      <x:c r="N81" s="73" t="str">
        <x:v>https://www.thefantasyfootballers.com/2026-ultimate-draft-kit/udk-jasons-projections/?position=FLEX</x:v>
      </x:c>
    </x:row>
    <x:row r="82">
      <x:c r="A82" s="70" t="str">
        <x:v>George Kittle</x:v>
      </x:c>
      <x:c r="B82" s="69" t="str">
        <x:v>TE</x:v>
      </x:c>
      <x:c r="C82" s="69" t="str">
        <x:v>SF</x:v>
      </x:c>
      <x:c r="D82" s="74" t="n">
        <x:v>8</x:v>
      </x:c>
      <x:c r="E82" s="74" t="n">
        <x:v>77</x:v>
      </x:c>
      <x:c r="F82" s="75" t="n">
        <x:v>10.4</x:v>
      </x:c>
      <x:c r="G82" s="76" t="n">
        <x:v>0</x:v>
      </x:c>
      <x:c r="H82" s="76" t="n">
        <x:v>0</x:v>
      </x:c>
      <x:c r="I82" s="76" t="n">
        <x:v>0</x:v>
      </x:c>
      <x:c r="J82" s="76" t="n">
        <x:v>63</x:v>
      </x:c>
      <x:c r="K82" s="76" t="n">
        <x:v>756</x:v>
      </x:c>
      <x:c r="L82" s="76" t="n">
        <x:v>7</x:v>
      </x:c>
      <x:c r="M82" s="76" t="n">
        <x:v>0</x:v>
      </x:c>
      <x:c r="N82" s="73" t="str">
        <x:v>https://www.thefantasyfootballers.com/2026-ultimate-draft-kit/udk-jasons-projections/?position=FLEX</x:v>
      </x:c>
    </x:row>
    <x:row r="83">
      <x:c r="A83" s="70" t="str">
        <x:v>Dalton Kincaid</x:v>
      </x:c>
      <x:c r="B83" s="69" t="str">
        <x:v>TE</x:v>
      </x:c>
      <x:c r="C83" s="69" t="str">
        <x:v>BUF</x:v>
      </x:c>
      <x:c r="D83" s="74" t="n">
        <x:v>7</x:v>
      </x:c>
      <x:c r="E83" s="74" t="n">
        <x:v>78</x:v>
      </x:c>
      <x:c r="F83" s="75" t="n">
        <x:v>10.4</x:v>
      </x:c>
      <x:c r="G83" s="76" t="n">
        <x:v>0</x:v>
      </x:c>
      <x:c r="H83" s="76" t="n">
        <x:v>0</x:v>
      </x:c>
      <x:c r="I83" s="76" t="n">
        <x:v>0</x:v>
      </x:c>
      <x:c r="J83" s="76" t="n">
        <x:v>60</x:v>
      </x:c>
      <x:c r="K83" s="76" t="n">
        <x:v>830</x:v>
      </x:c>
      <x:c r="L83" s="76" t="n">
        <x:v>6</x:v>
      </x:c>
      <x:c r="M83" s="76" t="n">
        <x:v>1</x:v>
      </x:c>
      <x:c r="N83" s="73" t="str">
        <x:v>https://www.thefantasyfootballers.com/2026-ultimate-draft-kit/udk-jasons-projections/?position=FLEX</x:v>
      </x:c>
    </x:row>
    <x:row r="84">
      <x:c r="A84" s="70" t="str">
        <x:v>Travis Kelce</x:v>
      </x:c>
      <x:c r="B84" s="69" t="str">
        <x:v>TE</x:v>
      </x:c>
      <x:c r="C84" s="69" t="str">
        <x:v>KC</x:v>
      </x:c>
      <x:c r="D84" s="74" t="n">
        <x:v>5</x:v>
      </x:c>
      <x:c r="E84" s="74" t="n">
        <x:v>79</x:v>
      </x:c>
      <x:c r="F84" s="75" t="n">
        <x:v>10.4</x:v>
      </x:c>
      <x:c r="G84" s="76" t="n">
        <x:v>0</x:v>
      </x:c>
      <x:c r="H84" s="76" t="n">
        <x:v>0</x:v>
      </x:c>
      <x:c r="I84" s="76" t="n">
        <x:v>0</x:v>
      </x:c>
      <x:c r="J84" s="76" t="n">
        <x:v>69</x:v>
      </x:c>
      <x:c r="K84" s="76" t="n">
        <x:v>733</x:v>
      </x:c>
      <x:c r="L84" s="76" t="n">
        <x:v>6</x:v>
      </x:c>
      <x:c r="M84" s="76" t="n">
        <x:v>1</x:v>
      </x:c>
      <x:c r="N84" s="73" t="str">
        <x:v>https://www.thefantasyfootballers.com/2026-ultimate-draft-kit/udk-jasons-projections/?position=FLEX</x:v>
      </x:c>
    </x:row>
    <x:row r="85">
      <x:c r="A85" s="70" t="str">
        <x:v>Jalen Coker</x:v>
      </x:c>
      <x:c r="B85" s="69" t="str">
        <x:v>WR</x:v>
      </x:c>
      <x:c r="C85" s="69" t="str">
        <x:v>CAR</x:v>
      </x:c>
      <x:c r="D85" s="74" t="n">
        <x:v>5</x:v>
      </x:c>
      <x:c r="E85" s="74" t="n">
        <x:v>80</x:v>
      </x:c>
      <x:c r="F85" s="75" t="n">
        <x:v>10.3</x:v>
      </x:c>
      <x:c r="G85" s="76" t="n">
        <x:v>1</x:v>
      </x:c>
      <x:c r="H85" s="76" t="n">
        <x:v>5</x:v>
      </x:c>
      <x:c r="I85" s="76" t="n">
        <x:v>0</x:v>
      </x:c>
      <x:c r="J85" s="76" t="n">
        <x:v>71</x:v>
      </x:c>
      <x:c r="K85" s="76" t="n">
        <x:v>761</x:v>
      </x:c>
      <x:c r="L85" s="76" t="n">
        <x:v>5</x:v>
      </x:c>
      <x:c r="M85" s="76" t="n">
        <x:v>1</x:v>
      </x:c>
      <x:c r="N85" s="73" t="str">
        <x:v>https://www.thefantasyfootballers.com/2026-ultimate-draft-kit/udk-jasons-projections/?position=FLEX</x:v>
      </x:c>
    </x:row>
    <x:row r="86">
      <x:c r="A86" s="70" t="str">
        <x:v>Jordan Addison</x:v>
      </x:c>
      <x:c r="B86" s="69" t="str">
        <x:v>WR</x:v>
      </x:c>
      <x:c r="C86" s="69" t="str">
        <x:v>MIN</x:v>
      </x:c>
      <x:c r="D86" s="74" t="n">
        <x:v>6</x:v>
      </x:c>
      <x:c r="E86" s="74" t="n">
        <x:v>81</x:v>
      </x:c>
      <x:c r="F86" s="75" t="n">
        <x:v>10.3</x:v>
      </x:c>
      <x:c r="G86" s="76" t="n">
        <x:v>3</x:v>
      </x:c>
      <x:c r="H86" s="76" t="n">
        <x:v>45</x:v>
      </x:c>
      <x:c r="I86" s="76" t="n">
        <x:v>1</x:v>
      </x:c>
      <x:c r="J86" s="76" t="n">
        <x:v>55</x:v>
      </x:c>
      <x:c r="K86" s="76" t="n">
        <x:v>770</x:v>
      </x:c>
      <x:c r="L86" s="76" t="n">
        <x:v>6</x:v>
      </x:c>
      <x:c r="M86" s="76" t="n">
        <x:v>0</x:v>
      </x:c>
      <x:c r="N86" s="73" t="str">
        <x:v>https://www.thefantasyfootballers.com/2026-ultimate-draft-kit/udk-jasons-projections/?position=FLEX</x:v>
      </x:c>
    </x:row>
    <x:row r="87">
      <x:c r="A87" s="70" t="str">
        <x:v>Juwan Johnson</x:v>
      </x:c>
      <x:c r="B87" s="69" t="str">
        <x:v>TE</x:v>
      </x:c>
      <x:c r="C87" s="69" t="str">
        <x:v>NO</x:v>
      </x:c>
      <x:c r="D87" s="74" t="n">
        <x:v>8</x:v>
      </x:c>
      <x:c r="E87" s="74" t="n">
        <x:v>82</x:v>
      </x:c>
      <x:c r="F87" s="75" t="n">
        <x:v>10.3</x:v>
      </x:c>
      <x:c r="G87" s="76" t="n">
        <x:v>0</x:v>
      </x:c>
      <x:c r="H87" s="76" t="n">
        <x:v>0</x:v>
      </x:c>
      <x:c r="I87" s="76" t="n">
        <x:v>0</x:v>
      </x:c>
      <x:c r="J87" s="76" t="n">
        <x:v>69</x:v>
      </x:c>
      <x:c r="K87" s="76" t="n">
        <x:v>759</x:v>
      </x:c>
      <x:c r="L87" s="76" t="n">
        <x:v>5</x:v>
      </x:c>
      <x:c r="M87" s="76" t="n">
        <x:v>0</x:v>
      </x:c>
      <x:c r="N87" s="73" t="str">
        <x:v>https://www.thefantasyfootballers.com/2026-ultimate-draft-kit/udk-jasons-projections/?position=FLEX</x:v>
      </x:c>
    </x:row>
    <x:row r="88">
      <x:c r="A88" s="70" t="str">
        <x:v>KC Concepcion</x:v>
      </x:c>
      <x:c r="B88" s="69" t="str">
        <x:v>WR</x:v>
      </x:c>
      <x:c r="C88" s="69" t="str">
        <x:v>CLE</x:v>
      </x:c>
      <x:c r="D88" s="74" t="n">
        <x:v>11</x:v>
      </x:c>
      <x:c r="E88" s="74" t="n">
        <x:v>83</x:v>
      </x:c>
      <x:c r="F88" s="75" t="n">
        <x:v>10.3</x:v>
      </x:c>
      <x:c r="G88" s="76" t="n">
        <x:v>7</x:v>
      </x:c>
      <x:c r="H88" s="76" t="n">
        <x:v>52</x:v>
      </x:c>
      <x:c r="I88" s="76" t="n">
        <x:v>0</x:v>
      </x:c>
      <x:c r="J88" s="76" t="n">
        <x:v>64</x:v>
      </x:c>
      <x:c r="K88" s="76" t="n">
        <x:v>758</x:v>
      </x:c>
      <x:c r="L88" s="76" t="n">
        <x:v>5</x:v>
      </x:c>
      <x:c r="M88" s="76" t="n">
        <x:v>1</x:v>
      </x:c>
      <x:c r="N88" s="73" t="str">
        <x:v>https://www.thefantasyfootballers.com/2026-ultimate-draft-kit/udk-jasons-projections/?position=FLEX</x:v>
      </x:c>
    </x:row>
    <x:row r="89">
      <x:c r="A89" s="70" t="str">
        <x:v>Jaylen Warren</x:v>
      </x:c>
      <x:c r="B89" s="69" t="str">
        <x:v>RB</x:v>
      </x:c>
      <x:c r="C89" s="69" t="str">
        <x:v>PIT</x:v>
      </x:c>
      <x:c r="D89" s="74" t="n">
        <x:v>9</x:v>
      </x:c>
      <x:c r="E89" s="74" t="n">
        <x:v>84</x:v>
      </x:c>
      <x:c r="F89" s="75" t="n">
        <x:v>10.2</x:v>
      </x:c>
      <x:c r="G89" s="76" t="n">
        <x:v>150</x:v>
      </x:c>
      <x:c r="H89" s="76" t="n">
        <x:v>669</x:v>
      </x:c>
      <x:c r="I89" s="76" t="n">
        <x:v>6</x:v>
      </x:c>
      <x:c r="J89" s="76" t="n">
        <x:v>42</x:v>
      </x:c>
      <x:c r="K89" s="76" t="n">
        <x:v>286</x:v>
      </x:c>
      <x:c r="L89" s="76" t="n">
        <x:v>1</x:v>
      </x:c>
      <x:c r="M89" s="76" t="n">
        <x:v>2</x:v>
      </x:c>
      <x:c r="N89" s="73" t="str">
        <x:v>https://www.thefantasyfootballers.com/2026-ultimate-draft-kit/udk-jasons-projections/?position=FLEX</x:v>
      </x:c>
    </x:row>
    <x:row r="90">
      <x:c r="A90" s="70" t="str">
        <x:v>Quentin Johnston</x:v>
      </x:c>
      <x:c r="B90" s="69" t="str">
        <x:v>WR</x:v>
      </x:c>
      <x:c r="C90" s="69" t="str">
        <x:v>LAC</x:v>
      </x:c>
      <x:c r="D90" s="74" t="n">
        <x:v>7</x:v>
      </x:c>
      <x:c r="E90" s="74" t="n">
        <x:v>85</x:v>
      </x:c>
      <x:c r="F90" s="75" t="n">
        <x:v>10.2</x:v>
      </x:c>
      <x:c r="G90" s="76" t="n">
        <x:v>2</x:v>
      </x:c>
      <x:c r="H90" s="76" t="n">
        <x:v>10</x:v>
      </x:c>
      <x:c r="I90" s="76" t="n">
        <x:v>0</x:v>
      </x:c>
      <x:c r="J90" s="76" t="n">
        <x:v>52</x:v>
      </x:c>
      <x:c r="K90" s="76" t="n">
        <x:v>744</x:v>
      </x:c>
      <x:c r="L90" s="76" t="n">
        <x:v>8</x:v>
      </x:c>
      <x:c r="M90" s="76" t="n">
        <x:v>1</x:v>
      </x:c>
      <x:c r="N90" s="73" t="str">
        <x:v>https://www.thefantasyfootballers.com/2026-ultimate-draft-kit/udk-jasons-projections/?position=FLEX</x:v>
      </x:c>
    </x:row>
    <x:row r="91">
      <x:c r="A91" s="70" t="str">
        <x:v>Matthew Golden</x:v>
      </x:c>
      <x:c r="B91" s="69" t="str">
        <x:v>WR</x:v>
      </x:c>
      <x:c r="C91" s="69" t="str">
        <x:v>GB</x:v>
      </x:c>
      <x:c r="D91" s="74" t="n">
        <x:v>11</x:v>
      </x:c>
      <x:c r="E91" s="74" t="n">
        <x:v>86</x:v>
      </x:c>
      <x:c r="F91" s="75" t="n">
        <x:v>10.1</x:v>
      </x:c>
      <x:c r="G91" s="76" t="n">
        <x:v>7</x:v>
      </x:c>
      <x:c r="H91" s="76" t="n">
        <x:v>40</x:v>
      </x:c>
      <x:c r="I91" s="76" t="n">
        <x:v>0</x:v>
      </x:c>
      <x:c r="J91" s="76" t="n">
        <x:v>56</x:v>
      </x:c>
      <x:c r="K91" s="76" t="n">
        <x:v>730</x:v>
      </x:c>
      <x:c r="L91" s="76" t="n">
        <x:v>7</x:v>
      </x:c>
      <x:c r="M91" s="76" t="n">
        <x:v>0</x:v>
      </x:c>
      <x:c r="N91" s="73" t="str">
        <x:v>https://www.thefantasyfootballers.com/2026-ultimate-draft-kit/udk-jasons-projections/?position=FLEX</x:v>
      </x:c>
    </x:row>
    <x:row r="92">
      <x:c r="A92" s="70" t="str">
        <x:v>Brenton Strange</x:v>
      </x:c>
      <x:c r="B92" s="69" t="str">
        <x:v>TE</x:v>
      </x:c>
      <x:c r="C92" s="69" t="str">
        <x:v>JAX</x:v>
      </x:c>
      <x:c r="D92" s="74" t="n">
        <x:v>7</x:v>
      </x:c>
      <x:c r="E92" s="74" t="n">
        <x:v>87</x:v>
      </x:c>
      <x:c r="F92" s="75" t="n">
        <x:v>10.1</x:v>
      </x:c>
      <x:c r="G92" s="76" t="n">
        <x:v>0</x:v>
      </x:c>
      <x:c r="H92" s="76" t="n">
        <x:v>0</x:v>
      </x:c>
      <x:c r="I92" s="76" t="n">
        <x:v>0</x:v>
      </x:c>
      <x:c r="J92" s="76" t="n">
        <x:v>59</x:v>
      </x:c>
      <x:c r="K92" s="76" t="n">
        <x:v>669</x:v>
      </x:c>
      <x:c r="L92" s="76" t="n">
        <x:v>8</x:v>
      </x:c>
      <x:c r="M92" s="76" t="n">
        <x:v>0</x:v>
      </x:c>
      <x:c r="N92" s="73" t="str">
        <x:v>https://www.thefantasyfootballers.com/2026-ultimate-draft-kit/udk-jasons-projections/?position=FLEX</x:v>
      </x:c>
    </x:row>
    <x:row r="93">
      <x:c r="A93" s="70" t="str">
        <x:v>Jordyn Tyson</x:v>
      </x:c>
      <x:c r="B93" s="69" t="str">
        <x:v>WR</x:v>
      </x:c>
      <x:c r="C93" s="69" t="str">
        <x:v>NO</x:v>
      </x:c>
      <x:c r="D93" s="74" t="n">
        <x:v>8</x:v>
      </x:c>
      <x:c r="E93" s="74" t="n">
        <x:v>88</x:v>
      </x:c>
      <x:c r="F93" s="75" t="n">
        <x:v>10</x:v>
      </x:c>
      <x:c r="G93" s="76" t="n">
        <x:v>1</x:v>
      </x:c>
      <x:c r="H93" s="76" t="n">
        <x:v>5</x:v>
      </x:c>
      <x:c r="I93" s="76" t="n">
        <x:v>0</x:v>
      </x:c>
      <x:c r="J93" s="76" t="n">
        <x:v>55</x:v>
      </x:c>
      <x:c r="K93" s="76" t="n">
        <x:v>781</x:v>
      </x:c>
      <x:c r="L93" s="76" t="n">
        <x:v>6</x:v>
      </x:c>
      <x:c r="M93" s="76" t="n">
        <x:v>0</x:v>
      </x:c>
      <x:c r="N93" s="73" t="str">
        <x:v>https://www.thefantasyfootballers.com/2026-ultimate-draft-kit/udk-jasons-projections/?position=FLEX</x:v>
      </x:c>
    </x:row>
    <x:row r="94">
      <x:c r="A94" s="70" t="str">
        <x:v>Jake Ferguson</x:v>
      </x:c>
      <x:c r="B94" s="69" t="str">
        <x:v>TE</x:v>
      </x:c>
      <x:c r="C94" s="69" t="str">
        <x:v>DAL</x:v>
      </x:c>
      <x:c r="D94" s="74" t="n">
        <x:v>14</x:v>
      </x:c>
      <x:c r="E94" s="74" t="n">
        <x:v>89</x:v>
      </x:c>
      <x:c r="F94" s="75" t="n">
        <x:v>10</x:v>
      </x:c>
      <x:c r="G94" s="76" t="n">
        <x:v>0</x:v>
      </x:c>
      <x:c r="H94" s="76" t="n">
        <x:v>0</x:v>
      </x:c>
      <x:c r="I94" s="76" t="n">
        <x:v>0</x:v>
      </x:c>
      <x:c r="J94" s="76" t="n">
        <x:v>73</x:v>
      </x:c>
      <x:c r="K94" s="76" t="n">
        <x:v>633</x:v>
      </x:c>
      <x:c r="L94" s="76" t="n">
        <x:v>6</x:v>
      </x:c>
      <x:c r="M94" s="76" t="n">
        <x:v>1</x:v>
      </x:c>
      <x:c r="N94" s="73" t="str">
        <x:v>https://www.thefantasyfootballers.com/2026-ultimate-draft-kit/udk-jasons-projections/?position=FLEX</x:v>
      </x:c>
    </x:row>
    <x:row r="95">
      <x:c r="A95" s="70" t="str">
        <x:v>Rashid Shaheed</x:v>
      </x:c>
      <x:c r="B95" s="69" t="str">
        <x:v>WR</x:v>
      </x:c>
      <x:c r="C95" s="69" t="str">
        <x:v>SEA</x:v>
      </x:c>
      <x:c r="D95" s="74" t="n">
        <x:v>11</x:v>
      </x:c>
      <x:c r="E95" s="74" t="n">
        <x:v>90</x:v>
      </x:c>
      <x:c r="F95" s="75" t="n">
        <x:v>10</x:v>
      </x:c>
      <x:c r="G95" s="76" t="n">
        <x:v>15</x:v>
      </x:c>
      <x:c r="H95" s="76" t="n">
        <x:v>85</x:v>
      </x:c>
      <x:c r="I95" s="76" t="n">
        <x:v>1</x:v>
      </x:c>
      <x:c r="J95" s="76" t="n">
        <x:v>52</x:v>
      </x:c>
      <x:c r="K95" s="76" t="n">
        <x:v>780</x:v>
      </x:c>
      <x:c r="L95" s="76" t="n">
        <x:v>5</x:v>
      </x:c>
      <x:c r="M95" s="76" t="n">
        <x:v>0</x:v>
      </x:c>
      <x:c r="N95" s="73" t="str">
        <x:v>https://www.thefantasyfootballers.com/2026-ultimate-draft-kit/udk-jasons-projections/?position=FLEX</x:v>
      </x:c>
    </x:row>
    <x:row r="96">
      <x:c r="A96" s="70" t="str">
        <x:v>Dalton Schultz</x:v>
      </x:c>
      <x:c r="B96" s="69" t="str">
        <x:v>TE</x:v>
      </x:c>
      <x:c r="C96" s="69" t="str">
        <x:v>HOU</x:v>
      </x:c>
      <x:c r="D96" s="74" t="n">
        <x:v>8</x:v>
      </x:c>
      <x:c r="E96" s="74" t="n">
        <x:v>91</x:v>
      </x:c>
      <x:c r="F96" s="75" t="n">
        <x:v>10</x:v>
      </x:c>
      <x:c r="G96" s="76" t="n">
        <x:v>0</x:v>
      </x:c>
      <x:c r="H96" s="76" t="n">
        <x:v>0</x:v>
      </x:c>
      <x:c r="I96" s="76" t="n">
        <x:v>0</x:v>
      </x:c>
      <x:c r="J96" s="76" t="n">
        <x:v>76</x:v>
      </x:c>
      <x:c r="K96" s="76" t="n">
        <x:v>702</x:v>
      </x:c>
      <x:c r="L96" s="76" t="n">
        <x:v>4</x:v>
      </x:c>
      <x:c r="M96" s="76" t="n">
        <x:v>0</x:v>
      </x:c>
      <x:c r="N96" s="73" t="str">
        <x:v>https://www.thefantasyfootballers.com/2026-ultimate-draft-kit/udk-jasons-projections/?position=FLEX</x:v>
      </x:c>
    </x:row>
    <x:row r="97">
      <x:c r="A97" s="70" t="str">
        <x:v>Mark Andrews</x:v>
      </x:c>
      <x:c r="B97" s="69" t="str">
        <x:v>TE</x:v>
      </x:c>
      <x:c r="C97" s="69" t="str">
        <x:v>BAL</x:v>
      </x:c>
      <x:c r="D97" s="74" t="n">
        <x:v>13</x:v>
      </x:c>
      <x:c r="E97" s="74" t="n">
        <x:v>92</x:v>
      </x:c>
      <x:c r="F97" s="75" t="n">
        <x:v>10</x:v>
      </x:c>
      <x:c r="G97" s="76" t="n">
        <x:v>0</x:v>
      </x:c>
      <x:c r="H97" s="76" t="n">
        <x:v>0</x:v>
      </x:c>
      <x:c r="I97" s="76" t="n">
        <x:v>0</x:v>
      </x:c>
      <x:c r="J97" s="76" t="n">
        <x:v>60</x:v>
      </x:c>
      <x:c r="K97" s="76" t="n">
        <x:v>648</x:v>
      </x:c>
      <x:c r="L97" s="76" t="n">
        <x:v>8</x:v>
      </x:c>
      <x:c r="M97" s="76" t="n">
        <x:v>0</x:v>
      </x:c>
      <x:c r="N97" s="73" t="str">
        <x:v>https://www.thefantasyfootballers.com/2026-ultimate-draft-kit/udk-jasons-projections/?position=FLEX</x:v>
      </x:c>
    </x:row>
    <x:row r="98">
      <x:c r="A98" s="70" t="str">
        <x:v>Isaiah Likely</x:v>
      </x:c>
      <x:c r="B98" s="69" t="str">
        <x:v>TE</x:v>
      </x:c>
      <x:c r="C98" s="69" t="str">
        <x:v>NYG</x:v>
      </x:c>
      <x:c r="D98" s="74" t="n">
        <x:v>8</x:v>
      </x:c>
      <x:c r="E98" s="74" t="n">
        <x:v>93</x:v>
      </x:c>
      <x:c r="F98" s="75" t="n">
        <x:v>9.9</x:v>
      </x:c>
      <x:c r="G98" s="76" t="n">
        <x:v>0</x:v>
      </x:c>
      <x:c r="H98" s="76" t="n">
        <x:v>0</x:v>
      </x:c>
      <x:c r="I98" s="76" t="n">
        <x:v>0</x:v>
      </x:c>
      <x:c r="J98" s="76" t="n">
        <x:v>63</x:v>
      </x:c>
      <x:c r="K98" s="76" t="n">
        <x:v>725</x:v>
      </x:c>
      <x:c r="L98" s="76" t="n">
        <x:v>6</x:v>
      </x:c>
      <x:c r="M98" s="76" t="n">
        <x:v>0</x:v>
      </x:c>
      <x:c r="N98" s="73" t="str">
        <x:v>https://www.thefantasyfootballers.com/2026-ultimate-draft-kit/udk-jasons-projections/?position=FLEX</x:v>
      </x:c>
    </x:row>
    <x:row r="99">
      <x:c r="A99" s="70" t="str">
        <x:v>Chuba Hubbard</x:v>
      </x:c>
      <x:c r="B99" s="69" t="str">
        <x:v>RB</x:v>
      </x:c>
      <x:c r="C99" s="69" t="str">
        <x:v>CAR</x:v>
      </x:c>
      <x:c r="D99" s="74" t="n">
        <x:v>5</x:v>
      </x:c>
      <x:c r="E99" s="74" t="n">
        <x:v>94</x:v>
      </x:c>
      <x:c r="F99" s="75" t="n">
        <x:v>9.9</x:v>
      </x:c>
      <x:c r="G99" s="76" t="n">
        <x:v>175</x:v>
      </x:c>
      <x:c r="H99" s="76" t="n">
        <x:v>742</x:v>
      </x:c>
      <x:c r="I99" s="76" t="n">
        <x:v>5</x:v>
      </x:c>
      <x:c r="J99" s="76" t="n">
        <x:v>34</x:v>
      </x:c>
      <x:c r="K99" s="76" t="n">
        <x:v>245</x:v>
      </x:c>
      <x:c r="L99" s="76" t="n">
        <x:v>2</x:v>
      </x:c>
      <x:c r="M99" s="76" t="n">
        <x:v>2</x:v>
      </x:c>
      <x:c r="N99" s="73" t="str">
        <x:v>https://www.thefantasyfootballers.com/2026-ultimate-draft-kit/udk-jasons-projections/?position=FLEX</x:v>
      </x:c>
    </x:row>
    <x:row r="100">
      <x:c r="A100" s="70" t="str">
        <x:v>De'Zhaun Stribling</x:v>
      </x:c>
      <x:c r="B100" s="69" t="str">
        <x:v>WR</x:v>
      </x:c>
      <x:c r="C100" s="69" t="str">
        <x:v>SF</x:v>
      </x:c>
      <x:c r="D100" s="74" t="n">
        <x:v>8</x:v>
      </x:c>
      <x:c r="E100" s="74" t="n">
        <x:v>95</x:v>
      </x:c>
      <x:c r="F100" s="75" t="n">
        <x:v>9.8</x:v>
      </x:c>
      <x:c r="G100" s="76" t="n">
        <x:v>0</x:v>
      </x:c>
      <x:c r="H100" s="76" t="n">
        <x:v>0</x:v>
      </x:c>
      <x:c r="I100" s="76" t="n">
        <x:v>0</x:v>
      </x:c>
      <x:c r="J100" s="76" t="n">
        <x:v>57</x:v>
      </x:c>
      <x:c r="K100" s="76" t="n">
        <x:v>741</x:v>
      </x:c>
      <x:c r="L100" s="76" t="n">
        <x:v>6</x:v>
      </x:c>
      <x:c r="M100" s="76" t="n">
        <x:v>0</x:v>
      </x:c>
      <x:c r="N100" s="73" t="str">
        <x:v>https://www.thefantasyfootballers.com/2026-ultimate-draft-kit/udk-jasons-projections/?position=FLEX</x:v>
      </x:c>
    </x:row>
    <x:row r="101">
      <x:c r="A101" s="70" t="str">
        <x:v>Kenny Gainwell</x:v>
      </x:c>
      <x:c r="B101" s="69" t="str">
        <x:v>RB</x:v>
      </x:c>
      <x:c r="C101" s="69" t="str">
        <x:v>TB</x:v>
      </x:c>
      <x:c r="D101" s="74" t="n">
        <x:v>10</x:v>
      </x:c>
      <x:c r="E101" s="74" t="n">
        <x:v>96</x:v>
      </x:c>
      <x:c r="F101" s="75" t="n">
        <x:v>9.7</x:v>
      </x:c>
      <x:c r="G101" s="76" t="n">
        <x:v>135</x:v>
      </x:c>
      <x:c r="H101" s="76" t="n">
        <x:v>581</x:v>
      </x:c>
      <x:c r="I101" s="76" t="n">
        <x:v>4</x:v>
      </x:c>
      <x:c r="J101" s="76" t="n">
        <x:v>44</x:v>
      </x:c>
      <x:c r="K101" s="76" t="n">
        <x:v>292</x:v>
      </x:c>
      <x:c r="L101" s="76" t="n">
        <x:v>2</x:v>
      </x:c>
      <x:c r="M101" s="76" t="n">
        <x:v>1</x:v>
      </x:c>
      <x:c r="N101" s="73" t="str">
        <x:v>https://www.thefantasyfootballers.com/2026-ultimate-draft-kit/udk-jasons-projections/?position=FLEX</x:v>
      </x:c>
    </x:row>
    <x:row r="102">
      <x:c r="A102" s="70" t="str">
        <x:v>RJ Harvey</x:v>
      </x:c>
      <x:c r="B102" s="69" t="str">
        <x:v>RB</x:v>
      </x:c>
      <x:c r="C102" s="69" t="str">
        <x:v>DEN</x:v>
      </x:c>
      <x:c r="D102" s="74" t="n">
        <x:v>10</x:v>
      </x:c>
      <x:c r="E102" s="74" t="n">
        <x:v>97</x:v>
      </x:c>
      <x:c r="F102" s="75" t="n">
        <x:v>9.7</x:v>
      </x:c>
      <x:c r="G102" s="76" t="n">
        <x:v>122</x:v>
      </x:c>
      <x:c r="H102" s="76" t="n">
        <x:v>511</x:v>
      </x:c>
      <x:c r="I102" s="76" t="n">
        <x:v>5</x:v>
      </x:c>
      <x:c r="J102" s="76" t="n">
        <x:v>42</x:v>
      </x:c>
      <x:c r="K102" s="76" t="n">
        <x:v>300</x:v>
      </x:c>
      <x:c r="L102" s="76" t="n">
        <x:v>2</x:v>
      </x:c>
      <x:c r="M102" s="76" t="n">
        <x:v>1</x:v>
      </x:c>
      <x:c r="N102" s="73" t="str">
        <x:v>https://www.thefantasyfootballers.com/2026-ultimate-draft-kit/udk-jasons-projections/?position=FLEX</x:v>
      </x:c>
    </x:row>
    <x:row r="103">
      <x:c r="A103" s="70" t="str">
        <x:v>Malik Washington</x:v>
      </x:c>
      <x:c r="B103" s="69" t="str">
        <x:v>WR</x:v>
      </x:c>
      <x:c r="C103" s="69" t="str">
        <x:v>MIA</x:v>
      </x:c>
      <x:c r="D103" s="74" t="n">
        <x:v>6</x:v>
      </x:c>
      <x:c r="E103" s="74" t="n">
        <x:v>98</x:v>
      </x:c>
      <x:c r="F103" s="75" t="n">
        <x:v>9.6</x:v>
      </x:c>
      <x:c r="G103" s="76" t="n">
        <x:v>8</x:v>
      </x:c>
      <x:c r="H103" s="76" t="n">
        <x:v>45</x:v>
      </x:c>
      <x:c r="I103" s="76" t="n">
        <x:v>1</x:v>
      </x:c>
      <x:c r="J103" s="76" t="n">
        <x:v>67</x:v>
      </x:c>
      <x:c r="K103" s="76" t="n">
        <x:v>723</x:v>
      </x:c>
      <x:c r="L103" s="76" t="n">
        <x:v>3</x:v>
      </x:c>
      <x:c r="M103" s="76" t="n">
        <x:v>1</x:v>
      </x:c>
      <x:c r="N103" s="73" t="str">
        <x:v>https://www.thefantasyfootballers.com/2026-ultimate-draft-kit/udk-jasons-projections/?position=FLEX</x:v>
      </x:c>
    </x:row>
    <x:row r="104">
      <x:c r="A104" s="70" t="str">
        <x:v>Xavier Worthy</x:v>
      </x:c>
      <x:c r="B104" s="69" t="str">
        <x:v>WR</x:v>
      </x:c>
      <x:c r="C104" s="69" t="str">
        <x:v>KC</x:v>
      </x:c>
      <x:c r="D104" s="74" t="n">
        <x:v>5</x:v>
      </x:c>
      <x:c r="E104" s="74" t="n">
        <x:v>99</x:v>
      </x:c>
      <x:c r="F104" s="75" t="n">
        <x:v>9.6</x:v>
      </x:c>
      <x:c r="G104" s="76" t="n">
        <x:v>15</x:v>
      </x:c>
      <x:c r="H104" s="76" t="n">
        <x:v>115</x:v>
      </x:c>
      <x:c r="I104" s="76" t="n">
        <x:v>1</x:v>
      </x:c>
      <x:c r="J104" s="76" t="n">
        <x:v>46</x:v>
      </x:c>
      <x:c r="K104" s="76" t="n">
        <x:v>745</x:v>
      </x:c>
      <x:c r="L104" s="76" t="n">
        <x:v>5</x:v>
      </x:c>
      <x:c r="M104" s="76" t="n">
        <x:v>1</x:v>
      </x:c>
      <x:c r="N104" s="73" t="str">
        <x:v>https://www.thefantasyfootballers.com/2026-ultimate-draft-kit/udk-jasons-projections/?position=FLEX</x:v>
      </x:c>
    </x:row>
    <x:row r="105">
      <x:c r="A105" s="70" t="str">
        <x:v>Josh Downs</x:v>
      </x:c>
      <x:c r="B105" s="69" t="str">
        <x:v>WR</x:v>
      </x:c>
      <x:c r="C105" s="69" t="str">
        <x:v>IND</x:v>
      </x:c>
      <x:c r="D105" s="74" t="n">
        <x:v>13</x:v>
      </x:c>
      <x:c r="E105" s="74" t="n">
        <x:v>100</x:v>
      </x:c>
      <x:c r="F105" s="75" t="n">
        <x:v>9.5</x:v>
      </x:c>
      <x:c r="G105" s="76" t="n">
        <x:v>4</x:v>
      </x:c>
      <x:c r="H105" s="76" t="n">
        <x:v>20</x:v>
      </x:c>
      <x:c r="I105" s="76" t="n">
        <x:v>0</x:v>
      </x:c>
      <x:c r="J105" s="76" t="n">
        <x:v>63</x:v>
      </x:c>
      <x:c r="K105" s="76" t="n">
        <x:v>692</x:v>
      </x:c>
      <x:c r="L105" s="76" t="n">
        <x:v>5</x:v>
      </x:c>
      <x:c r="M105" s="76" t="n">
        <x:v>1</x:v>
      </x:c>
      <x:c r="N105" s="73" t="str">
        <x:v>https://www.thefantasyfootballers.com/2026-ultimate-draft-kit/udk-jasons-projections/?position=FLEX</x:v>
      </x:c>
    </x:row>
    <x:row r="106">
      <x:c r="A106" s="70" t="str">
        <x:v>Tony Pollard</x:v>
      </x:c>
      <x:c r="B106" s="69" t="str">
        <x:v>RB</x:v>
      </x:c>
      <x:c r="C106" s="69" t="str">
        <x:v>TEN</x:v>
      </x:c>
      <x:c r="D106" s="74" t="n">
        <x:v>9</x:v>
      </x:c>
      <x:c r="E106" s="74" t="n">
        <x:v>101</x:v>
      </x:c>
      <x:c r="F106" s="75" t="n">
        <x:v>9.5</x:v>
      </x:c>
      <x:c r="G106" s="76" t="n">
        <x:v>185</x:v>
      </x:c>
      <x:c r="H106" s="76" t="n">
        <x:v>790</x:v>
      </x:c>
      <x:c r="I106" s="76" t="n">
        <x:v>6</x:v>
      </x:c>
      <x:c r="J106" s="76" t="n">
        <x:v>27</x:v>
      </x:c>
      <x:c r="K106" s="76" t="n">
        <x:v>186</x:v>
      </x:c>
      <x:c r="L106" s="76" t="n">
        <x:v>1</x:v>
      </x:c>
      <x:c r="M106" s="76" t="n">
        <x:v>1</x:v>
      </x:c>
      <x:c r="N106" s="73" t="str">
        <x:v>https://www.thefantasyfootballers.com/2026-ultimate-draft-kit/udk-jasons-projections/?position=FLEX</x:v>
      </x:c>
    </x:row>
    <x:row r="107">
      <x:c r="A107" s="70" t="str">
        <x:v>Kayshon Boutte</x:v>
      </x:c>
      <x:c r="B107" s="69" t="str">
        <x:v>WR</x:v>
      </x:c>
      <x:c r="C107" s="69" t="str">
        <x:v>HOU</x:v>
      </x:c>
      <x:c r="D107" s="74" t="n">
        <x:v>8</x:v>
      </x:c>
      <x:c r="E107" s="74" t="n">
        <x:v>102</x:v>
      </x:c>
      <x:c r="F107" s="75" t="n">
        <x:v>9.5</x:v>
      </x:c>
      <x:c r="G107" s="76" t="n">
        <x:v>0</x:v>
      </x:c>
      <x:c r="H107" s="76" t="n">
        <x:v>0</x:v>
      </x:c>
      <x:c r="I107" s="76" t="n">
        <x:v>0</x:v>
      </x:c>
      <x:c r="J107" s="76" t="n">
        <x:v>64</x:v>
      </x:c>
      <x:c r="K107" s="76" t="n">
        <x:v>732</x:v>
      </x:c>
      <x:c r="L107" s="76" t="n">
        <x:v>4</x:v>
      </x:c>
      <x:c r="M107" s="76" t="n">
        <x:v>0</x:v>
      </x:c>
      <x:c r="N107" s="73" t="str">
        <x:v>https://www.thefantasyfootballers.com/2026-ultimate-draft-kit/udk-jasons-projections/?position=FLEX</x:v>
      </x:c>
    </x:row>
    <x:row r="108">
      <x:c r="A108" s="70" t="str">
        <x:v>Keenan Allen</x:v>
      </x:c>
      <x:c r="B108" s="69" t="str">
        <x:v>WR</x:v>
      </x:c>
      <x:c r="C108" s="69" t="str">
        <x:v>IND</x:v>
      </x:c>
      <x:c r="D108" s="74" t="n">
        <x:v>13</x:v>
      </x:c>
      <x:c r="E108" s="74" t="n">
        <x:v>103</x:v>
      </x:c>
      <x:c r="F108" s="75" t="n">
        <x:v>9.5</x:v>
      </x:c>
      <x:c r="G108" s="76" t="n">
        <x:v>0</x:v>
      </x:c>
      <x:c r="H108" s="76" t="n">
        <x:v>0</x:v>
      </x:c>
      <x:c r="I108" s="76" t="n">
        <x:v>0</x:v>
      </x:c>
      <x:c r="J108" s="76" t="n">
        <x:v>70</x:v>
      </x:c>
      <x:c r="K108" s="76" t="n">
        <x:v>666</x:v>
      </x:c>
      <x:c r="L108" s="76" t="n">
        <x:v>4</x:v>
      </x:c>
      <x:c r="M108" s="76" t="n">
        <x:v>0</x:v>
      </x:c>
      <x:c r="N108" s="73" t="str">
        <x:v>https://www.thefantasyfootballers.com/2026-ultimate-draft-kit/udk-jasons-projections/?position=FLEX</x:v>
      </x:c>
    </x:row>
    <x:row r="109">
      <x:c r="A109" s="70" t="str">
        <x:v>Stefon Diggs</x:v>
      </x:c>
      <x:c r="B109" s="69" t="str">
        <x:v>WR</x:v>
      </x:c>
      <x:c r="C109" s="69" t="str">
        <x:v>WAS</x:v>
      </x:c>
      <x:c r="D109" s="74" t="n">
        <x:v>7</x:v>
      </x:c>
      <x:c r="E109" s="74" t="n">
        <x:v>104</x:v>
      </x:c>
      <x:c r="F109" s="75" t="n">
        <x:v>9.4</x:v>
      </x:c>
      <x:c r="G109" s="76" t="n">
        <x:v>0</x:v>
      </x:c>
      <x:c r="H109" s="76" t="n">
        <x:v>0</x:v>
      </x:c>
      <x:c r="I109" s="76" t="n">
        <x:v>0</x:v>
      </x:c>
      <x:c r="J109" s="76" t="n">
        <x:v>61</x:v>
      </x:c>
      <x:c r="K109" s="76" t="n">
        <x:v>749</x:v>
      </x:c>
      <x:c r="L109" s="76" t="n">
        <x:v>4</x:v>
      </x:c>
      <x:c r="M109" s="76" t="n">
        <x:v>0</x:v>
      </x:c>
      <x:c r="N109" s="73" t="str">
        <x:v>https://www.thefantasyfootballers.com/2026-ultimate-draft-kit/udk-jasons-projections/?position=FLEX</x:v>
      </x:c>
    </x:row>
    <x:row r="110">
      <x:c r="A110" s="70" t="str">
        <x:v>Jacory Croskey-Merritt</x:v>
      </x:c>
      <x:c r="B110" s="69" t="str">
        <x:v>RB</x:v>
      </x:c>
      <x:c r="C110" s="69" t="str">
        <x:v>WAS</x:v>
      </x:c>
      <x:c r="D110" s="74" t="n">
        <x:v>7</x:v>
      </x:c>
      <x:c r="E110" s="74" t="n">
        <x:v>105</x:v>
      </x:c>
      <x:c r="F110" s="75" t="n">
        <x:v>9.4</x:v>
      </x:c>
      <x:c r="G110" s="76" t="n">
        <x:v>205</x:v>
      </x:c>
      <x:c r="H110" s="76" t="n">
        <x:v>902</x:v>
      </x:c>
      <x:c r="I110" s="76" t="n">
        <x:v>7</x:v>
      </x:c>
      <x:c r="J110" s="76" t="n">
        <x:v>17</x:v>
      </x:c>
      <x:c r="K110" s="76" t="n">
        <x:v>128</x:v>
      </x:c>
      <x:c r="L110" s="76" t="n">
        <x:v>0</x:v>
      </x:c>
      <x:c r="M110" s="76" t="n">
        <x:v>2</x:v>
      </x:c>
      <x:c r="N110" s="73" t="str">
        <x:v>https://www.thefantasyfootballers.com/2026-ultimate-draft-kit/udk-jasons-projections/?position=FLEX</x:v>
      </x:c>
    </x:row>
    <x:row r="111">
      <x:c r="A111" s="70" t="str">
        <x:v>Michael Wilson</x:v>
      </x:c>
      <x:c r="B111" s="69" t="str">
        <x:v>WR</x:v>
      </x:c>
      <x:c r="C111" s="69" t="str">
        <x:v>ARI</x:v>
      </x:c>
      <x:c r="D111" s="74" t="n">
        <x:v>14</x:v>
      </x:c>
      <x:c r="E111" s="74" t="n">
        <x:v>106</x:v>
      </x:c>
      <x:c r="F111" s="75" t="n">
        <x:v>9.3</x:v>
      </x:c>
      <x:c r="G111" s="76" t="n">
        <x:v>0</x:v>
      </x:c>
      <x:c r="H111" s="76" t="n">
        <x:v>0</x:v>
      </x:c>
      <x:c r="I111" s="76" t="n">
        <x:v>0</x:v>
      </x:c>
      <x:c r="J111" s="76" t="n">
        <x:v>61</x:v>
      </x:c>
      <x:c r="K111" s="76" t="n">
        <x:v>747</x:v>
      </x:c>
      <x:c r="L111" s="76" t="n">
        <x:v>4</x:v>
      </x:c>
      <x:c r="M111" s="76" t="n">
        <x:v>0</x:v>
      </x:c>
      <x:c r="N111" s="73" t="str">
        <x:v>https://www.thefantasyfootballers.com/2026-ultimate-draft-kit/udk-jasons-projections/?position=FLEX</x:v>
      </x:c>
    </x:row>
    <x:row r="112">
      <x:c r="A112" s="70" t="str">
        <x:v>Khalil Shakir</x:v>
      </x:c>
      <x:c r="B112" s="69" t="str">
        <x:v>WR</x:v>
      </x:c>
      <x:c r="C112" s="69" t="str">
        <x:v>BUF</x:v>
      </x:c>
      <x:c r="D112" s="74" t="n">
        <x:v>7</x:v>
      </x:c>
      <x:c r="E112" s="74" t="n">
        <x:v>107</x:v>
      </x:c>
      <x:c r="F112" s="75" t="n">
        <x:v>9.3</x:v>
      </x:c>
      <x:c r="G112" s="76" t="n">
        <x:v>2</x:v>
      </x:c>
      <x:c r="H112" s="76" t="n">
        <x:v>10</x:v>
      </x:c>
      <x:c r="I112" s="76" t="n">
        <x:v>0</x:v>
      </x:c>
      <x:c r="J112" s="76" t="n">
        <x:v>66</x:v>
      </x:c>
      <x:c r="K112" s="76" t="n">
        <x:v>665</x:v>
      </x:c>
      <x:c r="L112" s="76" t="n">
        <x:v>5</x:v>
      </x:c>
      <x:c r="M112" s="76" t="n">
        <x:v>1</x:v>
      </x:c>
      <x:c r="N112" s="73" t="str">
        <x:v>https://www.thefantasyfootballers.com/2026-ultimate-draft-kit/udk-jasons-projections/?position=FLEX</x:v>
      </x:c>
    </x:row>
    <x:row r="113">
      <x:c r="A113" s="70" t="str">
        <x:v>Kyle Monangai</x:v>
      </x:c>
      <x:c r="B113" s="69" t="str">
        <x:v>RB</x:v>
      </x:c>
      <x:c r="C113" s="69" t="str">
        <x:v>CHI</x:v>
      </x:c>
      <x:c r="D113" s="74" t="n">
        <x:v>10</x:v>
      </x:c>
      <x:c r="E113" s="74" t="n">
        <x:v>108</x:v>
      </x:c>
      <x:c r="F113" s="75" t="n">
        <x:v>9.3</x:v>
      </x:c>
      <x:c r="G113" s="76" t="n">
        <x:v>165</x:v>
      </x:c>
      <x:c r="H113" s="76" t="n">
        <x:v>805</x:v>
      </x:c>
      <x:c r="I113" s="76" t="n">
        <x:v>6</x:v>
      </x:c>
      <x:c r="J113" s="76" t="n">
        <x:v>22</x:v>
      </x:c>
      <x:c r="K113" s="76" t="n">
        <x:v>185</x:v>
      </x:c>
      <x:c r="L113" s="76" t="n">
        <x:v>1</x:v>
      </x:c>
      <x:c r="M113" s="76" t="n">
        <x:v>1</x:v>
      </x:c>
      <x:c r="N113" s="73" t="str">
        <x:v>https://www.thefantasyfootballers.com/2026-ultimate-draft-kit/udk-jasons-projections/?position=FLEX</x:v>
      </x:c>
    </x:row>
    <x:row r="114">
      <x:c r="A114" s="70" t="str">
        <x:v>J.K. Dobbins</x:v>
      </x:c>
      <x:c r="B114" s="69" t="str">
        <x:v>RB</x:v>
      </x:c>
      <x:c r="C114" s="69" t="str">
        <x:v>DEN</x:v>
      </x:c>
      <x:c r="D114" s="74" t="n">
        <x:v>10</x:v>
      </x:c>
      <x:c r="E114" s="74" t="n">
        <x:v>109</x:v>
      </x:c>
      <x:c r="F114" s="75" t="n">
        <x:v>9.3</x:v>
      </x:c>
      <x:c r="G114" s="76" t="n">
        <x:v>175</x:v>
      </x:c>
      <x:c r="H114" s="76" t="n">
        <x:v>846</x:v>
      </x:c>
      <x:c r="I114" s="76" t="n">
        <x:v>6</x:v>
      </x:c>
      <x:c r="J114" s="76" t="n">
        <x:v>22</x:v>
      </x:c>
      <x:c r="K114" s="76" t="n">
        <x:v>110</x:v>
      </x:c>
      <x:c r="L114" s="76" t="n">
        <x:v>1</x:v>
      </x:c>
      <x:c r="M114" s="76" t="n">
        <x:v>1</x:v>
      </x:c>
      <x:c r="N114" s="73" t="str">
        <x:v>https://www.thefantasyfootballers.com/2026-ultimate-draft-kit/udk-jasons-projections/?position=FLEX</x:v>
      </x:c>
    </x:row>
    <x:row r="115">
      <x:c r="A115" s="70" t="str">
        <x:v>Omar Cooper Jr.</x:v>
      </x:c>
      <x:c r="B115" s="69" t="str">
        <x:v>WR</x:v>
      </x:c>
      <x:c r="C115" s="69" t="str">
        <x:v>NYJ</x:v>
      </x:c>
      <x:c r="D115" s="74" t="n">
        <x:v>13</x:v>
      </x:c>
      <x:c r="E115" s="74" t="n">
        <x:v>110</x:v>
      </x:c>
      <x:c r="F115" s="75" t="n">
        <x:v>9.2</x:v>
      </x:c>
      <x:c r="G115" s="76" t="n">
        <x:v>1</x:v>
      </x:c>
      <x:c r="H115" s="76" t="n">
        <x:v>4</x:v>
      </x:c>
      <x:c r="I115" s="76" t="n">
        <x:v>0</x:v>
      </x:c>
      <x:c r="J115" s="76" t="n">
        <x:v>63</x:v>
      </x:c>
      <x:c r="K115" s="76" t="n">
        <x:v>662</x:v>
      </x:c>
      <x:c r="L115" s="76" t="n">
        <x:v>5</x:v>
      </x:c>
      <x:c r="M115" s="76" t="n">
        <x:v>0</x:v>
      </x:c>
      <x:c r="N115" s="73" t="str">
        <x:v>https://www.thefantasyfootballers.com/2026-ultimate-draft-kit/udk-jasons-projections/?position=FLEX</x:v>
      </x:c>
    </x:row>
    <x:row r="116">
      <x:c r="A116" s="70" t="str">
        <x:v>Jakobi Meyers</x:v>
      </x:c>
      <x:c r="B116" s="69" t="str">
        <x:v>WR</x:v>
      </x:c>
      <x:c r="C116" s="69" t="str">
        <x:v>JAX</x:v>
      </x:c>
      <x:c r="D116" s="74" t="n">
        <x:v>7</x:v>
      </x:c>
      <x:c r="E116" s="74" t="n">
        <x:v>111</x:v>
      </x:c>
      <x:c r="F116" s="75" t="n">
        <x:v>9.2</x:v>
      </x:c>
      <x:c r="G116" s="76" t="n">
        <x:v>4</x:v>
      </x:c>
      <x:c r="H116" s="76" t="n">
        <x:v>16</x:v>
      </x:c>
      <x:c r="I116" s="76" t="n">
        <x:v>0</x:v>
      </x:c>
      <x:c r="J116" s="76" t="n">
        <x:v>62</x:v>
      </x:c>
      <x:c r="K116" s="76" t="n">
        <x:v>678</x:v>
      </x:c>
      <x:c r="L116" s="76" t="n">
        <x:v>5</x:v>
      </x:c>
      <x:c r="M116" s="76" t="n">
        <x:v>1</x:v>
      </x:c>
      <x:c r="N116" s="73" t="str">
        <x:v>https://www.thefantasyfootballers.com/2026-ultimate-draft-kit/udk-jasons-projections/?position=FLEX</x:v>
      </x:c>
    </x:row>
    <x:row r="117">
      <x:c r="A117" s="70" t="str">
        <x:v>Rico Dowdle</x:v>
      </x:c>
      <x:c r="B117" s="69" t="str">
        <x:v>RB</x:v>
      </x:c>
      <x:c r="C117" s="69" t="str">
        <x:v>PIT</x:v>
      </x:c>
      <x:c r="D117" s="74" t="n">
        <x:v>9</x:v>
      </x:c>
      <x:c r="E117" s="74" t="n">
        <x:v>112</x:v>
      </x:c>
      <x:c r="F117" s="75" t="n">
        <x:v>9.2</x:v>
      </x:c>
      <x:c r="G117" s="76" t="n">
        <x:v>175</x:v>
      </x:c>
      <x:c r="H117" s="76" t="n">
        <x:v>770</x:v>
      </x:c>
      <x:c r="I117" s="76" t="n">
        <x:v>6</x:v>
      </x:c>
      <x:c r="J117" s="76" t="n">
        <x:v>25</x:v>
      </x:c>
      <x:c r="K117" s="76" t="n">
        <x:v>163</x:v>
      </x:c>
      <x:c r="L117" s="76" t="n">
        <x:v>1</x:v>
      </x:c>
      <x:c r="M117" s="76" t="n">
        <x:v>1</x:v>
      </x:c>
      <x:c r="N117" s="73" t="str">
        <x:v>https://www.thefantasyfootballers.com/2026-ultimate-draft-kit/udk-jasons-projections/?position=FLEX</x:v>
      </x:c>
    </x:row>
    <x:row r="118">
      <x:c r="A118" s="70" t="str">
        <x:v>Romeo Doubs</x:v>
      </x:c>
      <x:c r="B118" s="69" t="str">
        <x:v>WR</x:v>
      </x:c>
      <x:c r="C118" s="69" t="str">
        <x:v>NE</x:v>
      </x:c>
      <x:c r="D118" s="74" t="n">
        <x:v>11</x:v>
      </x:c>
      <x:c r="E118" s="74" t="n">
        <x:v>113</x:v>
      </x:c>
      <x:c r="F118" s="75" t="n">
        <x:v>9.2</x:v>
      </x:c>
      <x:c r="G118" s="76" t="n">
        <x:v>0</x:v>
      </x:c>
      <x:c r="H118" s="76" t="n">
        <x:v>0</x:v>
      </x:c>
      <x:c r="I118" s="76" t="n">
        <x:v>0</x:v>
      </x:c>
      <x:c r="J118" s="76" t="n">
        <x:v>52</x:v>
      </x:c>
      <x:c r="K118" s="76" t="n">
        <x:v>738</x:v>
      </x:c>
      <x:c r="L118" s="76" t="n">
        <x:v>5</x:v>
      </x:c>
      <x:c r="M118" s="76" t="n">
        <x:v>0</x:v>
      </x:c>
      <x:c r="N118" s="73" t="str">
        <x:v>https://www.thefantasyfootballers.com/2026-ultimate-draft-kit/udk-jasons-projections/?position=FLEX</x:v>
      </x:c>
    </x:row>
    <x:row r="119">
      <x:c r="A119" s="70" t="str">
        <x:v>Dallas Goedert</x:v>
      </x:c>
      <x:c r="B119" s="69" t="str">
        <x:v>TE</x:v>
      </x:c>
      <x:c r="C119" s="69" t="str">
        <x:v>PHI</x:v>
      </x:c>
      <x:c r="D119" s="74" t="n">
        <x:v>10</x:v>
      </x:c>
      <x:c r="E119" s="74" t="n">
        <x:v>114</x:v>
      </x:c>
      <x:c r="F119" s="75" t="n">
        <x:v>9</x:v>
      </x:c>
      <x:c r="G119" s="76" t="n">
        <x:v>0</x:v>
      </x:c>
      <x:c r="H119" s="76" t="n">
        <x:v>0</x:v>
      </x:c>
      <x:c r="I119" s="76" t="n">
        <x:v>0</x:v>
      </x:c>
      <x:c r="J119" s="76" t="n">
        <x:v>57</x:v>
      </x:c>
      <x:c r="K119" s="76" t="n">
        <x:v>547</x:v>
      </x:c>
      <x:c r="L119" s="76" t="n">
        <x:v>7</x:v>
      </x:c>
      <x:c r="M119" s="76" t="n">
        <x:v>0</x:v>
      </x:c>
      <x:c r="N119" s="73" t="str">
        <x:v>https://www.thefantasyfootballers.com/2026-ultimate-draft-kit/udk-jasons-projections/?position=FLEX</x:v>
      </x:c>
    </x:row>
    <x:row r="120">
      <x:c r="A120" s="70" t="str">
        <x:v>Aaron Jones Sr.</x:v>
      </x:c>
      <x:c r="B120" s="69" t="str">
        <x:v>RB</x:v>
      </x:c>
      <x:c r="C120" s="69" t="str">
        <x:v>MIN</x:v>
      </x:c>
      <x:c r="D120" s="74" t="n">
        <x:v>6</x:v>
      </x:c>
      <x:c r="E120" s="74" t="n">
        <x:v>115</x:v>
      </x:c>
      <x:c r="F120" s="75" t="n">
        <x:v>9</x:v>
      </x:c>
      <x:c r="G120" s="76" t="n">
        <x:v>145</x:v>
      </x:c>
      <x:c r="H120" s="76" t="n">
        <x:v>609</x:v>
      </x:c>
      <x:c r="I120" s="76" t="n">
        <x:v>5</x:v>
      </x:c>
      <x:c r="J120" s="76" t="n">
        <x:v>36</x:v>
      </x:c>
      <x:c r="K120" s="76" t="n">
        <x:v>245</x:v>
      </x:c>
      <x:c r="L120" s="76" t="n">
        <x:v>1</x:v>
      </x:c>
      <x:c r="M120" s="76" t="n">
        <x:v>2</x:v>
      </x:c>
      <x:c r="N120" s="73" t="str">
        <x:v>https://www.thefantasyfootballers.com/2026-ultimate-draft-kit/udk-jasons-projections/?position=FLEX</x:v>
      </x:c>
    </x:row>
    <x:row r="121">
      <x:c r="A121" s="70" t="str">
        <x:v>Zachariah Branch</x:v>
      </x:c>
      <x:c r="B121" s="69" t="str">
        <x:v>WR</x:v>
      </x:c>
      <x:c r="C121" s="69" t="str">
        <x:v>ATL</x:v>
      </x:c>
      <x:c r="D121" s="74" t="n">
        <x:v>11</x:v>
      </x:c>
      <x:c r="E121" s="74" t="n">
        <x:v>116</x:v>
      </x:c>
      <x:c r="F121" s="75" t="n">
        <x:v>8.9</x:v>
      </x:c>
      <x:c r="G121" s="76" t="n">
        <x:v>10</x:v>
      </x:c>
      <x:c r="H121" s="76" t="n">
        <x:v>70</x:v>
      </x:c>
      <x:c r="I121" s="76" t="n">
        <x:v>0</x:v>
      </x:c>
      <x:c r="J121" s="76" t="n">
        <x:v>57</x:v>
      </x:c>
      <x:c r="K121" s="76" t="n">
        <x:v>604</x:v>
      </x:c>
      <x:c r="L121" s="76" t="n">
        <x:v>5</x:v>
      </x:c>
      <x:c r="M121" s="76" t="n">
        <x:v>0</x:v>
      </x:c>
      <x:c r="N121" s="73" t="str">
        <x:v>https://www.thefantasyfootballers.com/2026-ultimate-draft-kit/udk-jasons-projections/?position=FLEX</x:v>
      </x:c>
    </x:row>
    <x:row r="122">
      <x:c r="A122" s="70" t="str">
        <x:v>Deebo Samuel Sr.</x:v>
      </x:c>
      <x:c r="B122" s="69" t="str">
        <x:v>WR</x:v>
      </x:c>
      <x:c r="C122" s="69" t="str">
        <x:v>SF</x:v>
      </x:c>
      <x:c r="D122" s="74" t="n">
        <x:v>8</x:v>
      </x:c>
      <x:c r="E122" s="74" t="n">
        <x:v>117</x:v>
      </x:c>
      <x:c r="F122" s="75" t="n">
        <x:v>8.7</x:v>
      </x:c>
      <x:c r="G122" s="76" t="n">
        <x:v>12</x:v>
      </x:c>
      <x:c r="H122" s="76" t="n">
        <x:v>48</x:v>
      </x:c>
      <x:c r="I122" s="76" t="n">
        <x:v>1</x:v>
      </x:c>
      <x:c r="J122" s="76" t="n">
        <x:v>58</x:v>
      </x:c>
      <x:c r="K122" s="76" t="n">
        <x:v>569</x:v>
      </x:c>
      <x:c r="L122" s="76" t="n">
        <x:v>4</x:v>
      </x:c>
      <x:c r="M122" s="76" t="n">
        <x:v>1</x:v>
      </x:c>
      <x:c r="N122" s="73" t="str">
        <x:v>https://www.thefantasyfootballers.com/2026-ultimate-draft-kit/udk-jasons-projections/?position=FLEX</x:v>
      </x:c>
    </x:row>
    <x:row r="123">
      <x:c r="A123" s="70" t="str">
        <x:v>Malachi Fields</x:v>
      </x:c>
      <x:c r="B123" s="69" t="str">
        <x:v>WR</x:v>
      </x:c>
      <x:c r="C123" s="69" t="str">
        <x:v>NYG</x:v>
      </x:c>
      <x:c r="D123" s="74" t="n">
        <x:v>8</x:v>
      </x:c>
      <x:c r="E123" s="74" t="n">
        <x:v>118</x:v>
      </x:c>
      <x:c r="F123" s="75" t="n">
        <x:v>8.6</x:v>
      </x:c>
      <x:c r="G123" s="76" t="n">
        <x:v>2</x:v>
      </x:c>
      <x:c r="H123" s="76" t="n">
        <x:v>10</x:v>
      </x:c>
      <x:c r="I123" s="76" t="n">
        <x:v>0</x:v>
      </x:c>
      <x:c r="J123" s="76" t="n">
        <x:v>53</x:v>
      </x:c>
      <x:c r="K123" s="76" t="n">
        <x:v>673</x:v>
      </x:c>
      <x:c r="L123" s="76" t="n">
        <x:v>4</x:v>
      </x:c>
      <x:c r="M123" s="76" t="n">
        <x:v>0</x:v>
      </x:c>
      <x:c r="N123" s="73" t="str">
        <x:v>https://www.thefantasyfootballers.com/2026-ultimate-draft-kit/udk-jasons-projections/?position=FLEX</x:v>
      </x:c>
    </x:row>
    <x:row r="124">
      <x:c r="A124" s="70" t="str">
        <x:v>Pat Bryant</x:v>
      </x:c>
      <x:c r="B124" s="69" t="str">
        <x:v>WR</x:v>
      </x:c>
      <x:c r="C124" s="69" t="str">
        <x:v>DEN</x:v>
      </x:c>
      <x:c r="D124" s="74" t="n">
        <x:v>10</x:v>
      </x:c>
      <x:c r="E124" s="74" t="n">
        <x:v>119</x:v>
      </x:c>
      <x:c r="F124" s="75" t="n">
        <x:v>8.5</x:v>
      </x:c>
      <x:c r="G124" s="76" t="n">
        <x:v>0</x:v>
      </x:c>
      <x:c r="H124" s="76" t="n">
        <x:v>0</x:v>
      </x:c>
      <x:c r="I124" s="76" t="n">
        <x:v>0</x:v>
      </x:c>
      <x:c r="J124" s="76" t="n">
        <x:v>60</x:v>
      </x:c>
      <x:c r="K124" s="76" t="n">
        <x:v>604</x:v>
      </x:c>
      <x:c r="L124" s="76" t="n">
        <x:v>4</x:v>
      </x:c>
      <x:c r="M124" s="76" t="n">
        <x:v>0</x:v>
      </x:c>
      <x:c r="N124" s="73" t="str">
        <x:v>https://www.thefantasyfootballers.com/2026-ultimate-draft-kit/udk-jasons-projections/?position=FLEX</x:v>
      </x:c>
    </x:row>
    <x:row r="125">
      <x:c r="A125" s="70" t="str">
        <x:v>Rachaad White</x:v>
      </x:c>
      <x:c r="B125" s="69" t="str">
        <x:v>RB</x:v>
      </x:c>
      <x:c r="C125" s="69" t="str">
        <x:v>WAS</x:v>
      </x:c>
      <x:c r="D125" s="74" t="n">
        <x:v>7</x:v>
      </x:c>
      <x:c r="E125" s="74" t="n">
        <x:v>120</x:v>
      </x:c>
      <x:c r="F125" s="75" t="n">
        <x:v>8.5</x:v>
      </x:c>
      <x:c r="G125" s="76" t="n">
        <x:v>115</x:v>
      </x:c>
      <x:c r="H125" s="76" t="n">
        <x:v>446</x:v>
      </x:c>
      <x:c r="I125" s="76" t="n">
        <x:v>3</x:v>
      </x:c>
      <x:c r="J125" s="76" t="n">
        <x:v>41</x:v>
      </x:c>
      <x:c r="K125" s="76" t="n">
        <x:v>308</x:v>
      </x:c>
      <x:c r="L125" s="76" t="n">
        <x:v>2</x:v>
      </x:c>
      <x:c r="M125" s="76" t="n">
        <x:v>1</x:v>
      </x:c>
      <x:c r="N125" s="73" t="str">
        <x:v>https://www.thefantasyfootballers.com/2026-ultimate-draft-kit/udk-jasons-projections/?position=FLEX</x:v>
      </x:c>
    </x:row>
    <x:row r="126">
      <x:c r="A126" s="70" t="str">
        <x:v>Chig Okonkwo</x:v>
      </x:c>
      <x:c r="B126" s="69" t="str">
        <x:v>TE</x:v>
      </x:c>
      <x:c r="C126" s="69" t="str">
        <x:v>WAS</x:v>
      </x:c>
      <x:c r="D126" s="74" t="n">
        <x:v>7</x:v>
      </x:c>
      <x:c r="E126" s="74" t="n">
        <x:v>121</x:v>
      </x:c>
      <x:c r="F126" s="75" t="n">
        <x:v>8.5</x:v>
      </x:c>
      <x:c r="G126" s="76" t="n">
        <x:v>0</x:v>
      </x:c>
      <x:c r="H126" s="76" t="n">
        <x:v>0</x:v>
      </x:c>
      <x:c r="I126" s="76" t="n">
        <x:v>0</x:v>
      </x:c>
      <x:c r="J126" s="76" t="n">
        <x:v>57</x:v>
      </x:c>
      <x:c r="K126" s="76" t="n">
        <x:v>570</x:v>
      </x:c>
      <x:c r="L126" s="76" t="n">
        <x:v>5</x:v>
      </x:c>
      <x:c r="M126" s="76" t="n">
        <x:v>0</x:v>
      </x:c>
      <x:c r="N126" s="73" t="str">
        <x:v>https://www.thefantasyfootballers.com/2026-ultimate-draft-kit/udk-jasons-projections/?position=FLEX</x:v>
      </x:c>
    </x:row>
    <x:row r="127">
      <x:c r="A127" s="70" t="str">
        <x:v>Cooper Kupp</x:v>
      </x:c>
      <x:c r="B127" s="69" t="str">
        <x:v>WR</x:v>
      </x:c>
      <x:c r="C127" s="69" t="str">
        <x:v>SEA</x:v>
      </x:c>
      <x:c r="D127" s="74" t="n">
        <x:v>11</x:v>
      </x:c>
      <x:c r="E127" s="74" t="n">
        <x:v>122</x:v>
      </x:c>
      <x:c r="F127" s="75" t="n">
        <x:v>8.5</x:v>
      </x:c>
      <x:c r="G127" s="76" t="n">
        <x:v>0</x:v>
      </x:c>
      <x:c r="H127" s="76" t="n">
        <x:v>0</x:v>
      </x:c>
      <x:c r="I127" s="76" t="n">
        <x:v>0</x:v>
      </x:c>
      <x:c r="J127" s="76" t="n">
        <x:v>56</x:v>
      </x:c>
      <x:c r="K127" s="76" t="n">
        <x:v>658</x:v>
      </x:c>
      <x:c r="L127" s="76" t="n">
        <x:v>4</x:v>
      </x:c>
      <x:c r="M127" s="76" t="n">
        <x:v>0</x:v>
      </x:c>
      <x:c r="N127" s="73" t="str">
        <x:v>https://www.thefantasyfootballers.com/2026-ultimate-draft-kit/udk-jasons-projections/?position=FLEX</x:v>
      </x:c>
    </x:row>
    <x:row r="128">
      <x:c r="A128" s="70" t="str">
        <x:v>Hunter Henry</x:v>
      </x:c>
      <x:c r="B128" s="69" t="str">
        <x:v>TE</x:v>
      </x:c>
      <x:c r="C128" s="69" t="str">
        <x:v>NE</x:v>
      </x:c>
      <x:c r="D128" s="74" t="n">
        <x:v>11</x:v>
      </x:c>
      <x:c r="E128" s="74" t="n">
        <x:v>123</x:v>
      </x:c>
      <x:c r="F128" s="75" t="n">
        <x:v>8.4</x:v>
      </x:c>
      <x:c r="G128" s="76" t="n">
        <x:v>0</x:v>
      </x:c>
      <x:c r="H128" s="76" t="n">
        <x:v>0</x:v>
      </x:c>
      <x:c r="I128" s="76" t="n">
        <x:v>0</x:v>
      </x:c>
      <x:c r="J128" s="76" t="n">
        <x:v>53</x:v>
      </x:c>
      <x:c r="K128" s="76" t="n">
        <x:v>636</x:v>
      </x:c>
      <x:c r="L128" s="76" t="n">
        <x:v>5</x:v>
      </x:c>
      <x:c r="M128" s="76" t="n">
        <x:v>0</x:v>
      </x:c>
      <x:c r="N128" s="73" t="str">
        <x:v>https://www.thefantasyfootballers.com/2026-ultimate-draft-kit/udk-jasons-projections/?position=FLEX</x:v>
      </x:c>
    </x:row>
    <x:row r="129">
      <x:c r="A129" s="70" t="str">
        <x:v>Jonathon Brooks</x:v>
      </x:c>
      <x:c r="B129" s="69" t="str">
        <x:v>RB</x:v>
      </x:c>
      <x:c r="C129" s="69" t="str">
        <x:v>CAR</x:v>
      </x:c>
      <x:c r="D129" s="74" t="n">
        <x:v>5</x:v>
      </x:c>
      <x:c r="E129" s="74" t="n">
        <x:v>124</x:v>
      </x:c>
      <x:c r="F129" s="75" t="n">
        <x:v>8.4</x:v>
      </x:c>
      <x:c r="G129" s="76" t="n">
        <x:v>170</x:v>
      </x:c>
      <x:c r="H129" s="76" t="n">
        <x:v>720</x:v>
      </x:c>
      <x:c r="I129" s="76" t="n">
        <x:v>5</x:v>
      </x:c>
      <x:c r="J129" s="76" t="n">
        <x:v>23</x:v>
      </x:c>
      <x:c r="K129" s="76" t="n">
        <x:v>173</x:v>
      </x:c>
      <x:c r="L129" s="76" t="n">
        <x:v>0</x:v>
      </x:c>
      <x:c r="M129" s="76" t="n">
        <x:v>1</x:v>
      </x:c>
      <x:c r="N129" s="73" t="str">
        <x:v>https://www.thefantasyfootballers.com/2026-ultimate-draft-kit/udk-jasons-projections/?position=FLEX</x:v>
      </x:c>
    </x:row>
    <x:row r="130">
      <x:c r="A130" s="70" t="str">
        <x:v>Zach Charbonnet</x:v>
      </x:c>
      <x:c r="B130" s="69" t="str">
        <x:v>RB</x:v>
      </x:c>
      <x:c r="C130" s="69" t="str">
        <x:v>SEA</x:v>
      </x:c>
      <x:c r="D130" s="74" t="n">
        <x:v>11</x:v>
      </x:c>
      <x:c r="E130" s="74" t="n">
        <x:v>125</x:v>
      </x:c>
      <x:c r="F130" s="75" t="n">
        <x:v>8.4</x:v>
      </x:c>
      <x:c r="G130" s="76" t="n">
        <x:v>150</x:v>
      </x:c>
      <x:c r="H130" s="76" t="n">
        <x:v>608</x:v>
      </x:c>
      <x:c r="I130" s="76" t="n">
        <x:v>5</x:v>
      </x:c>
      <x:c r="J130" s="76" t="n">
        <x:v>27</x:v>
      </x:c>
      <x:c r="K130" s="76" t="n">
        <x:v>189</x:v>
      </x:c>
      <x:c r="L130" s="76" t="n">
        <x:v>1</x:v>
      </x:c>
      <x:c r="M130" s="76" t="n">
        <x:v>0</x:v>
      </x:c>
      <x:c r="N130" s="73" t="str">
        <x:v>https://www.thefantasyfootballers.com/2026-ultimate-draft-kit/udk-jasons-projections/?position=FLEX</x:v>
      </x:c>
    </x:row>
    <x:row r="131">
      <x:c r="A131" s="70" t="str">
        <x:v>Jordan Mason</x:v>
      </x:c>
      <x:c r="B131" s="69" t="str">
        <x:v>RB</x:v>
      </x:c>
      <x:c r="C131" s="69" t="str">
        <x:v>MIN</x:v>
      </x:c>
      <x:c r="D131" s="74" t="n">
        <x:v>6</x:v>
      </x:c>
      <x:c r="E131" s="74" t="n">
        <x:v>126</x:v>
      </x:c>
      <x:c r="F131" s="75" t="n">
        <x:v>8.3</x:v>
      </x:c>
      <x:c r="G131" s="76" t="n">
        <x:v>188</x:v>
      </x:c>
      <x:c r="H131" s="76" t="n">
        <x:v>893</x:v>
      </x:c>
      <x:c r="I131" s="76" t="n">
        <x:v>6</x:v>
      </x:c>
      <x:c r="J131" s="76" t="n">
        <x:v>11</x:v>
      </x:c>
      <x:c r="K131" s="76" t="n">
        <x:v>55</x:v>
      </x:c>
      <x:c r="L131" s="76" t="n">
        <x:v>0</x:v>
      </x:c>
      <x:c r="M131" s="76" t="n">
        <x:v>1</x:v>
      </x:c>
      <x:c r="N131" s="73" t="str">
        <x:v>https://www.thefantasyfootballers.com/2026-ultimate-draft-kit/udk-jasons-projections/?position=FLEX</x:v>
      </x:c>
    </x:row>
    <x:row r="132">
      <x:c r="A132" s="70" t="str">
        <x:v>T.J. Hockenson</x:v>
      </x:c>
      <x:c r="B132" s="69" t="str">
        <x:v>TE</x:v>
      </x:c>
      <x:c r="C132" s="69" t="str">
        <x:v>MIN</x:v>
      </x:c>
      <x:c r="D132" s="74" t="n">
        <x:v>6</x:v>
      </x:c>
      <x:c r="E132" s="74" t="n">
        <x:v>127</x:v>
      </x:c>
      <x:c r="F132" s="75" t="n">
        <x:v>8.2</x:v>
      </x:c>
      <x:c r="G132" s="76" t="n">
        <x:v>0</x:v>
      </x:c>
      <x:c r="H132" s="76" t="n">
        <x:v>0</x:v>
      </x:c>
      <x:c r="I132" s="76" t="n">
        <x:v>0</x:v>
      </x:c>
      <x:c r="J132" s="76" t="n">
        <x:v>59</x:v>
      </x:c>
      <x:c r="K132" s="76" t="n">
        <x:v>561</x:v>
      </x:c>
      <x:c r="L132" s="76" t="n">
        <x:v>4</x:v>
      </x:c>
      <x:c r="M132" s="76" t="n">
        <x:v>0</x:v>
      </x:c>
      <x:c r="N132" s="73" t="str">
        <x:v>https://www.thefantasyfootballers.com/2026-ultimate-draft-kit/udk-jasons-projections/?position=FLEX</x:v>
      </x:c>
    </x:row>
    <x:row r="133">
      <x:c r="A133" s="70" t="str">
        <x:v>Blake Corum</x:v>
      </x:c>
      <x:c r="B133" s="69" t="str">
        <x:v>RB</x:v>
      </x:c>
      <x:c r="C133" s="69" t="str">
        <x:v>LAR</x:v>
      </x:c>
      <x:c r="D133" s="74" t="n">
        <x:v>11</x:v>
      </x:c>
      <x:c r="E133" s="74" t="n">
        <x:v>128</x:v>
      </x:c>
      <x:c r="F133" s="75" t="n">
        <x:v>8.1</x:v>
      </x:c>
      <x:c r="G133" s="76" t="n">
        <x:v>169</x:v>
      </x:c>
      <x:c r="H133" s="76" t="n">
        <x:v>769</x:v>
      </x:c>
      <x:c r="I133" s="76" t="n">
        <x:v>7</x:v>
      </x:c>
      <x:c r="J133" s="76" t="n">
        <x:v>11</x:v>
      </x:c>
      <x:c r="K133" s="76" t="n">
        <x:v>65</x:v>
      </x:c>
      <x:c r="L133" s="76" t="n">
        <x:v>1</x:v>
      </x:c>
      <x:c r="M133" s="76" t="n">
        <x:v>1</x:v>
      </x:c>
      <x:c r="N133" s="73" t="str">
        <x:v>https://www.thefantasyfootballers.com/2026-ultimate-draft-kit/udk-jasons-projections/?position=FLEX</x:v>
      </x:c>
    </x:row>
    <x:row r="134">
      <x:c r="A134" s="70" t="str">
        <x:v>Jerry Jeudy</x:v>
      </x:c>
      <x:c r="B134" s="69" t="str">
        <x:v>WR</x:v>
      </x:c>
      <x:c r="C134" s="69" t="str">
        <x:v>CLE</x:v>
      </x:c>
      <x:c r="D134" s="74" t="n">
        <x:v>11</x:v>
      </x:c>
      <x:c r="E134" s="74" t="n">
        <x:v>129</x:v>
      </x:c>
      <x:c r="F134" s="75" t="n">
        <x:v>8</x:v>
      </x:c>
      <x:c r="G134" s="76" t="n">
        <x:v>0</x:v>
      </x:c>
      <x:c r="H134" s="76" t="n">
        <x:v>0</x:v>
      </x:c>
      <x:c r="I134" s="76" t="n">
        <x:v>0</x:v>
      </x:c>
      <x:c r="J134" s="76" t="n">
        <x:v>48</x:v>
      </x:c>
      <x:c r="K134" s="76" t="n">
        <x:v>642</x:v>
      </x:c>
      <x:c r="L134" s="76" t="n">
        <x:v>4</x:v>
      </x:c>
      <x:c r="M134" s="76" t="n">
        <x:v>1</x:v>
      </x:c>
      <x:c r="N134" s="73" t="str">
        <x:v>https://www.thefantasyfootballers.com/2026-ultimate-draft-kit/udk-jasons-projections/?position=FLEX</x:v>
      </x:c>
    </x:row>
    <x:row r="135">
      <x:c r="A135" s="70" t="str">
        <x:v>Adonai Mitchell</x:v>
      </x:c>
      <x:c r="B135" s="69" t="str">
        <x:v>WR</x:v>
      </x:c>
      <x:c r="C135" s="69" t="str">
        <x:v>NYJ</x:v>
      </x:c>
      <x:c r="D135" s="74" t="n">
        <x:v>13</x:v>
      </x:c>
      <x:c r="E135" s="74" t="n">
        <x:v>130</x:v>
      </x:c>
      <x:c r="F135" s="75" t="n">
        <x:v>8</x:v>
      </x:c>
      <x:c r="G135" s="76" t="n">
        <x:v>0</x:v>
      </x:c>
      <x:c r="H135" s="76" t="n">
        <x:v>0</x:v>
      </x:c>
      <x:c r="I135" s="76" t="n">
        <x:v>0</x:v>
      </x:c>
      <x:c r="J135" s="76" t="n">
        <x:v>49</x:v>
      </x:c>
      <x:c r="K135" s="76" t="n">
        <x:v>662</x:v>
      </x:c>
      <x:c r="L135" s="76" t="n">
        <x:v>3</x:v>
      </x:c>
      <x:c r="M135" s="76" t="n">
        <x:v>0</x:v>
      </x:c>
      <x:c r="N135" s="73" t="str">
        <x:v>https://www.thefantasyfootballers.com/2026-ultimate-draft-kit/udk-jasons-projections/?position=FLEX</x:v>
      </x:c>
    </x:row>
    <x:row r="136">
      <x:c r="A136" s="70" t="str">
        <x:v>Kenyon Sadiq</x:v>
      </x:c>
      <x:c r="B136" s="69" t="str">
        <x:v>TE</x:v>
      </x:c>
      <x:c r="C136" s="69" t="str">
        <x:v>NYJ</x:v>
      </x:c>
      <x:c r="D136" s="74" t="n">
        <x:v>13</x:v>
      </x:c>
      <x:c r="E136" s="74" t="n">
        <x:v>131</x:v>
      </x:c>
      <x:c r="F136" s="75" t="n">
        <x:v>7.9</x:v>
      </x:c>
      <x:c r="G136" s="76" t="n">
        <x:v>0</x:v>
      </x:c>
      <x:c r="H136" s="76" t="n">
        <x:v>0</x:v>
      </x:c>
      <x:c r="I136" s="76" t="n">
        <x:v>0</x:v>
      </x:c>
      <x:c r="J136" s="76" t="n">
        <x:v>54</x:v>
      </x:c>
      <x:c r="K136" s="76" t="n">
        <x:v>540</x:v>
      </x:c>
      <x:c r="L136" s="76" t="n">
        <x:v>5</x:v>
      </x:c>
      <x:c r="M136" s="76" t="n">
        <x:v>0</x:v>
      </x:c>
      <x:c r="N136" s="73" t="str">
        <x:v>https://www.thefantasyfootballers.com/2026-ultimate-draft-kit/udk-jasons-projections/?position=FLEX</x:v>
      </x:c>
    </x:row>
    <x:row r="137">
      <x:c r="A137" s="70" t="str">
        <x:v>Darren Waller</x:v>
      </x:c>
      <x:c r="B137" s="69" t="str">
        <x:v>TE</x:v>
      </x:c>
      <x:c r="C137" s="69" t="str">
        <x:v>CAR</x:v>
      </x:c>
      <x:c r="D137" s="74" t="n">
        <x:v>5</x:v>
      </x:c>
      <x:c r="E137" s="74" t="n">
        <x:v>132</x:v>
      </x:c>
      <x:c r="F137" s="75" t="n">
        <x:v>7.9</x:v>
      </x:c>
      <x:c r="G137" s="76" t="n">
        <x:v>0</x:v>
      </x:c>
      <x:c r="H137" s="76" t="n">
        <x:v>0</x:v>
      </x:c>
      <x:c r="I137" s="76" t="n">
        <x:v>0</x:v>
      </x:c>
      <x:c r="J137" s="76" t="n">
        <x:v>49</x:v>
      </x:c>
      <x:c r="K137" s="76" t="n">
        <x:v>542</x:v>
      </x:c>
      <x:c r="L137" s="76" t="n">
        <x:v>5</x:v>
      </x:c>
      <x:c r="M137" s="76" t="n">
        <x:v>0</x:v>
      </x:c>
      <x:c r="N137" s="73" t="str">
        <x:v>https://www.thefantasyfootballers.com/2026-ultimate-draft-kit/udk-jasons-projections/?position=FLEX</x:v>
      </x:c>
    </x:row>
    <x:row r="138">
      <x:c r="A138" s="70" t="str">
        <x:v>Dontayvion Wicks</x:v>
      </x:c>
      <x:c r="B138" s="69" t="str">
        <x:v>WR</x:v>
      </x:c>
      <x:c r="C138" s="69" t="str">
        <x:v>PHI</x:v>
      </x:c>
      <x:c r="D138" s="74" t="n">
        <x:v>10</x:v>
      </x:c>
      <x:c r="E138" s="74" t="n">
        <x:v>133</x:v>
      </x:c>
      <x:c r="F138" s="75" t="n">
        <x:v>7.8</x:v>
      </x:c>
      <x:c r="G138" s="76" t="n">
        <x:v>1</x:v>
      </x:c>
      <x:c r="H138" s="76" t="n">
        <x:v>5</x:v>
      </x:c>
      <x:c r="I138" s="76" t="n">
        <x:v>0</x:v>
      </x:c>
      <x:c r="J138" s="76" t="n">
        <x:v>52</x:v>
      </x:c>
      <x:c r="K138" s="76" t="n">
        <x:v>655</x:v>
      </x:c>
      <x:c r="L138" s="76" t="n">
        <x:v>3</x:v>
      </x:c>
      <x:c r="M138" s="76" t="n">
        <x:v>0</x:v>
      </x:c>
      <x:c r="N138" s="73" t="str">
        <x:v>https://www.thefantasyfootballers.com/2026-ultimate-draft-kit/udk-jasons-projections/?position=FLEX</x:v>
      </x:c>
    </x:row>
    <x:row r="139">
      <x:c r="A139" s="70" t="str">
        <x:v>Jalen Nailor</x:v>
      </x:c>
      <x:c r="B139" s="69" t="str">
        <x:v>WR</x:v>
      </x:c>
      <x:c r="C139" s="69" t="str">
        <x:v>LV</x:v>
      </x:c>
      <x:c r="D139" s="74" t="n">
        <x:v>13</x:v>
      </x:c>
      <x:c r="E139" s="74" t="n">
        <x:v>134</x:v>
      </x:c>
      <x:c r="F139" s="75" t="n">
        <x:v>7.8</x:v>
      </x:c>
      <x:c r="G139" s="76" t="n">
        <x:v>0</x:v>
      </x:c>
      <x:c r="H139" s="76" t="n">
        <x:v>0</x:v>
      </x:c>
      <x:c r="I139" s="76" t="n">
        <x:v>0</x:v>
      </x:c>
      <x:c r="J139" s="76" t="n">
        <x:v>55</x:v>
      </x:c>
      <x:c r="K139" s="76" t="n">
        <x:v>660</x:v>
      </x:c>
      <x:c r="L139" s="76" t="n">
        <x:v>2</x:v>
      </x:c>
      <x:c r="M139" s="76" t="n">
        <x:v>0</x:v>
      </x:c>
      <x:c r="N139" s="73" t="str">
        <x:v>https://www.thefantasyfootballers.com/2026-ultimate-draft-kit/udk-jasons-projections/?position=FLEX</x:v>
      </x:c>
    </x:row>
    <x:row r="140">
      <x:c r="A140" s="70" t="str">
        <x:v>Jonah Coleman</x:v>
      </x:c>
      <x:c r="B140" s="69" t="str">
        <x:v>RB</x:v>
      </x:c>
      <x:c r="C140" s="69" t="str">
        <x:v>DEN</x:v>
      </x:c>
      <x:c r="D140" s="74" t="n">
        <x:v>10</x:v>
      </x:c>
      <x:c r="E140" s="74" t="n">
        <x:v>135</x:v>
      </x:c>
      <x:c r="F140" s="75" t="n">
        <x:v>7.7</x:v>
      </x:c>
      <x:c r="G140" s="76" t="n">
        <x:v>105</x:v>
      </x:c>
      <x:c r="H140" s="76" t="n">
        <x:v>437</x:v>
      </x:c>
      <x:c r="I140" s="76" t="n">
        <x:v>6</x:v>
      </x:c>
      <x:c r="J140" s="76" t="n">
        <x:v>27</x:v>
      </x:c>
      <x:c r="K140" s="76" t="n">
        <x:v>180</x:v>
      </x:c>
      <x:c r="L140" s="76" t="n">
        <x:v>1</x:v>
      </x:c>
      <x:c r="M140" s="76" t="n">
        <x:v>0</x:v>
      </x:c>
      <x:c r="N140" s="73" t="str">
        <x:v>https://www.thefantasyfootballers.com/2026-ultimate-draft-kit/udk-jasons-projections/?position=FLEX</x:v>
      </x:c>
    </x:row>
    <x:row r="141">
      <x:c r="A141" s="70" t="str">
        <x:v>Woody Marks</x:v>
      </x:c>
      <x:c r="B141" s="69" t="str">
        <x:v>RB</x:v>
      </x:c>
      <x:c r="C141" s="69" t="str">
        <x:v>HOU</x:v>
      </x:c>
      <x:c r="D141" s="74" t="n">
        <x:v>8</x:v>
      </x:c>
      <x:c r="E141" s="74" t="n">
        <x:v>136</x:v>
      </x:c>
      <x:c r="F141" s="75" t="n">
        <x:v>7.6</x:v>
      </x:c>
      <x:c r="G141" s="76" t="n">
        <x:v>125</x:v>
      </x:c>
      <x:c r="H141" s="76" t="n">
        <x:v>511</x:v>
      </x:c>
      <x:c r="I141" s="76" t="n">
        <x:v>4</x:v>
      </x:c>
      <x:c r="J141" s="76" t="n">
        <x:v>27</x:v>
      </x:c>
      <x:c r="K141" s="76" t="n">
        <x:v>235</x:v>
      </x:c>
      <x:c r="L141" s="76" t="n">
        <x:v>1</x:v>
      </x:c>
      <x:c r="M141" s="76" t="n">
        <x:v>1</x:v>
      </x:c>
      <x:c r="N141" s="73" t="str">
        <x:v>https://www.thefantasyfootballers.com/2026-ultimate-draft-kit/udk-jasons-projections/?position=FLEX</x:v>
      </x:c>
    </x:row>
    <x:row r="142">
      <x:c r="A142" s="70" t="str">
        <x:v>Cade Otton</x:v>
      </x:c>
      <x:c r="B142" s="69" t="str">
        <x:v>TE</x:v>
      </x:c>
      <x:c r="C142" s="69" t="str">
        <x:v>TB</x:v>
      </x:c>
      <x:c r="D142" s="74" t="n">
        <x:v>10</x:v>
      </x:c>
      <x:c r="E142" s="74" t="n">
        <x:v>137</x:v>
      </x:c>
      <x:c r="F142" s="75" t="n">
        <x:v>7.6</x:v>
      </x:c>
      <x:c r="G142" s="76" t="n">
        <x:v>0</x:v>
      </x:c>
      <x:c r="H142" s="76" t="n">
        <x:v>0</x:v>
      </x:c>
      <x:c r="I142" s="76" t="n">
        <x:v>0</x:v>
      </x:c>
      <x:c r="J142" s="76" t="n">
        <x:v>53</x:v>
      </x:c>
      <x:c r="K142" s="76" t="n">
        <x:v>519</x:v>
      </x:c>
      <x:c r="L142" s="76" t="n">
        <x:v>4</x:v>
      </x:c>
      <x:c r="M142" s="76" t="n">
        <x:v>0</x:v>
      </x:c>
      <x:c r="N142" s="73" t="str">
        <x:v>https://www.thefantasyfootballers.com/2026-ultimate-draft-kit/udk-jasons-projections/?position=FLEX</x:v>
      </x:c>
    </x:row>
    <x:row r="143">
      <x:c r="A143" s="70" t="str">
        <x:v>Jauan Jennings</x:v>
      </x:c>
      <x:c r="B143" s="69" t="str">
        <x:v>WR</x:v>
      </x:c>
      <x:c r="C143" s="69" t="str">
        <x:v>MIN</x:v>
      </x:c>
      <x:c r="D143" s="74" t="n">
        <x:v>6</x:v>
      </x:c>
      <x:c r="E143" s="74" t="n">
        <x:v>138</x:v>
      </x:c>
      <x:c r="F143" s="75" t="n">
        <x:v>7.5</x:v>
      </x:c>
      <x:c r="G143" s="76" t="n">
        <x:v>0</x:v>
      </x:c>
      <x:c r="H143" s="76" t="n">
        <x:v>0</x:v>
      </x:c>
      <x:c r="I143" s="76" t="n">
        <x:v>0</x:v>
      </x:c>
      <x:c r="J143" s="76" t="n">
        <x:v>48</x:v>
      </x:c>
      <x:c r="K143" s="76" t="n">
        <x:v>547</x:v>
      </x:c>
      <x:c r="L143" s="76" t="n">
        <x:v>4</x:v>
      </x:c>
      <x:c r="M143" s="76" t="n">
        <x:v>0</x:v>
      </x:c>
      <x:c r="N143" s="73" t="str">
        <x:v>https://www.thefantasyfootballers.com/2026-ultimate-draft-kit/udk-jasons-projections/?position=FLEX</x:v>
      </x:c>
    </x:row>
    <x:row r="144">
      <x:c r="A144" s="70" t="str">
        <x:v>Tre Tucker</x:v>
      </x:c>
      <x:c r="B144" s="69" t="str">
        <x:v>WR</x:v>
      </x:c>
      <x:c r="C144" s="69" t="str">
        <x:v>LV</x:v>
      </x:c>
      <x:c r="D144" s="74" t="n">
        <x:v>13</x:v>
      </x:c>
      <x:c r="E144" s="74" t="n">
        <x:v>139</x:v>
      </x:c>
      <x:c r="F144" s="75" t="n">
        <x:v>7.5</x:v>
      </x:c>
      <x:c r="G144" s="76" t="n">
        <x:v>7</x:v>
      </x:c>
      <x:c r="H144" s="76" t="n">
        <x:v>45</x:v>
      </x:c>
      <x:c r="I144" s="76" t="n">
        <x:v>0</x:v>
      </x:c>
      <x:c r="J144" s="76" t="n">
        <x:v>47</x:v>
      </x:c>
      <x:c r="K144" s="76" t="n">
        <x:v>578</x:v>
      </x:c>
      <x:c r="L144" s="76" t="n">
        <x:v>3</x:v>
      </x:c>
      <x:c r="M144" s="76" t="n">
        <x:v>1</x:v>
      </x:c>
      <x:c r="N144" s="73" t="str">
        <x:v>https://www.thefantasyfootballers.com/2026-ultimate-draft-kit/udk-jasons-projections/?position=FLEX</x:v>
      </x:c>
    </x:row>
    <x:row r="145">
      <x:c r="A145" s="70" t="str">
        <x:v>Tre' Harris</x:v>
      </x:c>
      <x:c r="B145" s="69" t="str">
        <x:v>WR</x:v>
      </x:c>
      <x:c r="C145" s="69" t="str">
        <x:v>LAC</x:v>
      </x:c>
      <x:c r="D145" s="74" t="n">
        <x:v>7</x:v>
      </x:c>
      <x:c r="E145" s="74" t="n">
        <x:v>140</x:v>
      </x:c>
      <x:c r="F145" s="75" t="n">
        <x:v>7.5</x:v>
      </x:c>
      <x:c r="G145" s="76" t="n">
        <x:v>1</x:v>
      </x:c>
      <x:c r="H145" s="76" t="n">
        <x:v>5</x:v>
      </x:c>
      <x:c r="I145" s="76" t="n">
        <x:v>0</x:v>
      </x:c>
      <x:c r="J145" s="76" t="n">
        <x:v>49</x:v>
      </x:c>
      <x:c r="K145" s="76" t="n">
        <x:v>536</x:v>
      </x:c>
      <x:c r="L145" s="76" t="n">
        <x:v>4</x:v>
      </x:c>
      <x:c r="M145" s="76" t="n">
        <x:v>0</x:v>
      </x:c>
      <x:c r="N145" s="73" t="str">
        <x:v>https://www.thefantasyfootballers.com/2026-ultimate-draft-kit/udk-jasons-projections/?position=FLEX</x:v>
      </x:c>
    </x:row>
    <x:row r="146">
      <x:c r="A146" s="70" t="str">
        <x:v>Mike Gesicki</x:v>
      </x:c>
      <x:c r="B146" s="69" t="str">
        <x:v>TE</x:v>
      </x:c>
      <x:c r="C146" s="69" t="str">
        <x:v>CIN</x:v>
      </x:c>
      <x:c r="D146" s="74" t="n">
        <x:v>6</x:v>
      </x:c>
      <x:c r="E146" s="74" t="n">
        <x:v>141</x:v>
      </x:c>
      <x:c r="F146" s="75" t="n">
        <x:v>7.4</x:v>
      </x:c>
      <x:c r="G146" s="76" t="n">
        <x:v>0</x:v>
      </x:c>
      <x:c r="H146" s="76" t="n">
        <x:v>0</x:v>
      </x:c>
      <x:c r="I146" s="76" t="n">
        <x:v>0</x:v>
      </x:c>
      <x:c r="J146" s="76" t="n">
        <x:v>50</x:v>
      </x:c>
      <x:c r="K146" s="76" t="n">
        <x:v>550</x:v>
      </x:c>
      <x:c r="L146" s="76" t="n">
        <x:v>4</x:v>
      </x:c>
      <x:c r="M146" s="76" t="n">
        <x:v>0</x:v>
      </x:c>
      <x:c r="N146" s="73" t="str">
        <x:v>https://www.thefantasyfootballers.com/2026-ultimate-draft-kit/udk-jasons-projections/?position=FLEX</x:v>
      </x:c>
    </x:row>
    <x:row r="147">
      <x:c r="A147" s="70" t="str">
        <x:v>Cyrus Allen</x:v>
      </x:c>
      <x:c r="B147" s="69" t="str">
        <x:v>WR</x:v>
      </x:c>
      <x:c r="C147" s="69" t="str">
        <x:v>KC</x:v>
      </x:c>
      <x:c r="D147" s="74" t="n">
        <x:v>5</x:v>
      </x:c>
      <x:c r="E147" s="74" t="n">
        <x:v>142</x:v>
      </x:c>
      <x:c r="F147" s="75" t="n">
        <x:v>7.3</x:v>
      </x:c>
      <x:c r="G147" s="76" t="n">
        <x:v>0</x:v>
      </x:c>
      <x:c r="H147" s="76" t="n">
        <x:v>0</x:v>
      </x:c>
      <x:c r="I147" s="76" t="n">
        <x:v>0</x:v>
      </x:c>
      <x:c r="J147" s="76" t="n">
        <x:v>46</x:v>
      </x:c>
      <x:c r="K147" s="76" t="n">
        <x:v>550</x:v>
      </x:c>
      <x:c r="L147" s="76" t="n">
        <x:v>4</x:v>
      </x:c>
      <x:c r="M147" s="76" t="n">
        <x:v>0</x:v>
      </x:c>
      <x:c r="N147" s="73" t="str">
        <x:v>https://www.thefantasyfootballers.com/2026-ultimate-draft-kit/udk-jasons-projections/?position=FLEX</x:v>
      </x:c>
    </x:row>
    <x:row r="148">
      <x:c r="A148" s="70" t="str">
        <x:v>Pat Freiermuth</x:v>
      </x:c>
      <x:c r="B148" s="69" t="str">
        <x:v>TE</x:v>
      </x:c>
      <x:c r="C148" s="69" t="str">
        <x:v>PIT</x:v>
      </x:c>
      <x:c r="D148" s="74" t="n">
        <x:v>9</x:v>
      </x:c>
      <x:c r="E148" s="74" t="n">
        <x:v>143</x:v>
      </x:c>
      <x:c r="F148" s="75" t="n">
        <x:v>7.2</x:v>
      </x:c>
      <x:c r="G148" s="76" t="n">
        <x:v>0</x:v>
      </x:c>
      <x:c r="H148" s="76" t="n">
        <x:v>0</x:v>
      </x:c>
      <x:c r="I148" s="76" t="n">
        <x:v>0</x:v>
      </x:c>
      <x:c r="J148" s="76" t="n">
        <x:v>49</x:v>
      </x:c>
      <x:c r="K148" s="76" t="n">
        <x:v>460</x:v>
      </x:c>
      <x:c r="L148" s="76" t="n">
        <x:v>5</x:v>
      </x:c>
      <x:c r="M148" s="76" t="n">
        <x:v>0</x:v>
      </x:c>
      <x:c r="N148" s="73" t="str">
        <x:v>https://www.thefantasyfootballers.com/2026-ultimate-draft-kit/udk-jasons-projections/?position=FLEX</x:v>
      </x:c>
    </x:row>
    <x:row r="149">
      <x:c r="A149" s="70" t="str">
        <x:v>Isiah Pacheco</x:v>
      </x:c>
      <x:c r="B149" s="69" t="str">
        <x:v>RB</x:v>
      </x:c>
      <x:c r="C149" s="69" t="str">
        <x:v>DET</x:v>
      </x:c>
      <x:c r="D149" s="74" t="n">
        <x:v>6</x:v>
      </x:c>
      <x:c r="E149" s="74" t="n">
        <x:v>144</x:v>
      </x:c>
      <x:c r="F149" s="75" t="n">
        <x:v>7</x:v>
      </x:c>
      <x:c r="G149" s="76" t="n">
        <x:v>135</x:v>
      </x:c>
      <x:c r="H149" s="76" t="n">
        <x:v>563</x:v>
      </x:c>
      <x:c r="I149" s="76" t="n">
        <x:v>6</x:v>
      </x:c>
      <x:c r="J149" s="76" t="n">
        <x:v>18</x:v>
      </x:c>
      <x:c r="K149" s="76" t="n">
        <x:v>105</x:v>
      </x:c>
      <x:c r="L149" s="76" t="n">
        <x:v>1</x:v>
      </x:c>
      <x:c r="M149" s="76" t="n">
        <x:v>2</x:v>
      </x:c>
      <x:c r="N149" s="73" t="str">
        <x:v>https://www.thefantasyfootballers.com/2026-ultimate-draft-kit/udk-jasons-projections/?position=FLEX</x:v>
      </x:c>
    </x:row>
    <x:row r="150">
      <x:c r="A150" s="70" t="str">
        <x:v>Dylan Sampson</x:v>
      </x:c>
      <x:c r="B150" s="69" t="str">
        <x:v>RB</x:v>
      </x:c>
      <x:c r="C150" s="69" t="str">
        <x:v>CLE</x:v>
      </x:c>
      <x:c r="D150" s="74" t="n">
        <x:v>11</x:v>
      </x:c>
      <x:c r="E150" s="74" t="n">
        <x:v>145</x:v>
      </x:c>
      <x:c r="F150" s="75" t="n">
        <x:v>7</x:v>
      </x:c>
      <x:c r="G150" s="76" t="n">
        <x:v>116</x:v>
      </x:c>
      <x:c r="H150" s="76" t="n">
        <x:v>505</x:v>
      </x:c>
      <x:c r="I150" s="76" t="n">
        <x:v>3</x:v>
      </x:c>
      <x:c r="J150" s="76" t="n">
        <x:v>27</x:v>
      </x:c>
      <x:c r="K150" s="76" t="n">
        <x:v>211</x:v>
      </x:c>
      <x:c r="L150" s="76" t="n">
        <x:v>1</x:v>
      </x:c>
      <x:c r="M150" s="76" t="n">
        <x:v>1</x:v>
      </x:c>
      <x:c r="N150" s="73" t="str">
        <x:v>https://www.thefantasyfootballers.com/2026-ultimate-draft-kit/udk-jasons-projections/?position=FLEX</x:v>
      </x:c>
    </x:row>
    <x:row r="151">
      <x:c r="A151" s="70" t="str">
        <x:v>Malik Davis</x:v>
      </x:c>
      <x:c r="B151" s="69" t="str">
        <x:v>RB</x:v>
      </x:c>
      <x:c r="C151" s="69" t="str">
        <x:v>DAL</x:v>
      </x:c>
      <x:c r="D151" s="74" t="n">
        <x:v>14</x:v>
      </x:c>
      <x:c r="E151" s="74" t="n">
        <x:v>146</x:v>
      </x:c>
      <x:c r="F151" s="75" t="n">
        <x:v>7</x:v>
      </x:c>
      <x:c r="G151" s="76" t="n">
        <x:v>145</x:v>
      </x:c>
      <x:c r="H151" s="76" t="n">
        <x:v>696</x:v>
      </x:c>
      <x:c r="I151" s="76" t="n">
        <x:v>3</x:v>
      </x:c>
      <x:c r="J151" s="76" t="n">
        <x:v>20</x:v>
      </x:c>
      <x:c r="K151" s="76" t="n">
        <x:v>135</x:v>
      </x:c>
      <x:c r="L151" s="76" t="n">
        <x:v>0</x:v>
      </x:c>
      <x:c r="M151" s="76" t="n">
        <x:v>1</x:v>
      </x:c>
      <x:c r="N151" s="73" t="str">
        <x:v>https://www.thefantasyfootballers.com/2026-ultimate-draft-kit/udk-jasons-projections/?position=FLEX</x:v>
      </x:c>
    </x:row>
    <x:row r="152">
      <x:c r="A152" s="70" t="str">
        <x:v>Germie Bernard</x:v>
      </x:c>
      <x:c r="B152" s="69" t="str">
        <x:v>WR</x:v>
      </x:c>
      <x:c r="C152" s="69" t="str">
        <x:v>PIT</x:v>
      </x:c>
      <x:c r="D152" s="74" t="n">
        <x:v>9</x:v>
      </x:c>
      <x:c r="E152" s="74" t="n">
        <x:v>147</x:v>
      </x:c>
      <x:c r="F152" s="75" t="n">
        <x:v>7</x:v>
      </x:c>
      <x:c r="G152" s="76" t="n">
        <x:v>7</x:v>
      </x:c>
      <x:c r="H152" s="76" t="n">
        <x:v>42</x:v>
      </x:c>
      <x:c r="I152" s="76" t="n">
        <x:v>0</x:v>
      </x:c>
      <x:c r="J152" s="76" t="n">
        <x:v>45</x:v>
      </x:c>
      <x:c r="K152" s="76" t="n">
        <x:v>504</x:v>
      </x:c>
      <x:c r="L152" s="76" t="n">
        <x:v>3</x:v>
      </x:c>
      <x:c r="M152" s="76" t="n">
        <x:v>0</x:v>
      </x:c>
      <x:c r="N152" s="73" t="str">
        <x:v>https://www.thefantasyfootballers.com/2026-ultimate-draft-kit/udk-jasons-projections/?position=FLEX</x:v>
      </x:c>
    </x:row>
    <x:row r="153">
      <x:c r="A153" s="70" t="str">
        <x:v>Caleb Douglas</x:v>
      </x:c>
      <x:c r="B153" s="69" t="str">
        <x:v>WR</x:v>
      </x:c>
      <x:c r="C153" s="69" t="str">
        <x:v>MIA</x:v>
      </x:c>
      <x:c r="D153" s="74" t="n">
        <x:v>6</x:v>
      </x:c>
      <x:c r="E153" s="74" t="n">
        <x:v>148</x:v>
      </x:c>
      <x:c r="F153" s="75" t="n">
        <x:v>7</x:v>
      </x:c>
      <x:c r="G153" s="76" t="n">
        <x:v>0</x:v>
      </x:c>
      <x:c r="H153" s="76" t="n">
        <x:v>0</x:v>
      </x:c>
      <x:c r="I153" s="76" t="n">
        <x:v>0</x:v>
      </x:c>
      <x:c r="J153" s="76" t="n">
        <x:v>43</x:v>
      </x:c>
      <x:c r="K153" s="76" t="n">
        <x:v>573</x:v>
      </x:c>
      <x:c r="L153" s="76" t="n">
        <x:v>3</x:v>
      </x:c>
      <x:c r="M153" s="76" t="n">
        <x:v>0</x:v>
      </x:c>
      <x:c r="N153" s="73" t="str">
        <x:v>https://www.thefantasyfootballers.com/2026-ultimate-draft-kit/udk-jasons-projections/?position=FLEX</x:v>
      </x:c>
    </x:row>
    <x:row r="154">
      <x:c r="A154" s="70" t="str">
        <x:v>Tyjae Spears</x:v>
      </x:c>
      <x:c r="B154" s="69" t="str">
        <x:v>RB</x:v>
      </x:c>
      <x:c r="C154" s="69" t="str">
        <x:v>TEN</x:v>
      </x:c>
      <x:c r="D154" s="74" t="n">
        <x:v>9</x:v>
      </x:c>
      <x:c r="E154" s="74" t="n">
        <x:v>149</x:v>
      </x:c>
      <x:c r="F154" s="75" t="n">
        <x:v>6.9</x:v>
      </x:c>
      <x:c r="G154" s="76" t="n">
        <x:v>90</x:v>
      </x:c>
      <x:c r="H154" s="76" t="n">
        <x:v>385</x:v>
      </x:c>
      <x:c r="I154" s="76" t="n">
        <x:v>2</x:v>
      </x:c>
      <x:c r="J154" s="76" t="n">
        <x:v>35</x:v>
      </x:c>
      <x:c r="K154" s="76" t="n">
        <x:v>252</x:v>
      </x:c>
      <x:c r="L154" s="76" t="n">
        <x:v>2</x:v>
      </x:c>
      <x:c r="M154" s="76" t="n">
        <x:v>1</x:v>
      </x:c>
      <x:c r="N154" s="73" t="str">
        <x:v>https://www.thefantasyfootballers.com/2026-ultimate-draft-kit/udk-jasons-projections/?position=FLEX</x:v>
      </x:c>
    </x:row>
    <x:row r="155">
      <x:c r="A155" s="70" t="str">
        <x:v>Keon Coleman</x:v>
      </x:c>
      <x:c r="B155" s="69" t="str">
        <x:v>WR</x:v>
      </x:c>
      <x:c r="C155" s="69" t="str">
        <x:v>BUF</x:v>
      </x:c>
      <x:c r="D155" s="74" t="n">
        <x:v>7</x:v>
      </x:c>
      <x:c r="E155" s="74" t="n">
        <x:v>150</x:v>
      </x:c>
      <x:c r="F155" s="75" t="n">
        <x:v>6.9</x:v>
      </x:c>
      <x:c r="G155" s="76" t="n">
        <x:v>0</x:v>
      </x:c>
      <x:c r="H155" s="76" t="n">
        <x:v>0</x:v>
      </x:c>
      <x:c r="I155" s="76" t="n">
        <x:v>0</x:v>
      </x:c>
      <x:c r="J155" s="76" t="n">
        <x:v>39</x:v>
      </x:c>
      <x:c r="K155" s="76" t="n">
        <x:v>505</x:v>
      </x:c>
      <x:c r="L155" s="76" t="n">
        <x:v>5</x:v>
      </x:c>
      <x:c r="M155" s="76" t="n">
        <x:v>1</x:v>
      </x:c>
      <x:c r="N155" s="73" t="str">
        <x:v>https://www.thefantasyfootballers.com/2026-ultimate-draft-kit/udk-jasons-projections/?position=FLEX</x:v>
      </x:c>
    </x:row>
    <x:row r="156">
      <x:c r="A156" s="70" t="str">
        <x:v>Mike Washington Jr.</x:v>
      </x:c>
      <x:c r="B156" s="69" t="str">
        <x:v>RB</x:v>
      </x:c>
      <x:c r="C156" s="69" t="str">
        <x:v>LV</x:v>
      </x:c>
      <x:c r="D156" s="74" t="n">
        <x:v>13</x:v>
      </x:c>
      <x:c r="E156" s="74" t="n">
        <x:v>151</x:v>
      </x:c>
      <x:c r="F156" s="75" t="n">
        <x:v>6.9</x:v>
      </x:c>
      <x:c r="G156" s="76" t="n">
        <x:v>200</x:v>
      </x:c>
      <x:c r="H156" s="76" t="n">
        <x:v>664</x:v>
      </x:c>
      <x:c r="I156" s="76" t="n">
        <x:v>3</x:v>
      </x:c>
      <x:c r="J156" s="76" t="n">
        <x:v>22</x:v>
      </x:c>
      <x:c r="K156" s="76" t="n">
        <x:v>125</x:v>
      </x:c>
      <x:c r="L156" s="76" t="n">
        <x:v>1</x:v>
      </x:c>
      <x:c r="M156" s="76" t="n">
        <x:v>1</x:v>
      </x:c>
      <x:c r="N156" s="73" t="str">
        <x:v>https://www.thefantasyfootballers.com/2026-ultimate-draft-kit/udk-jasons-projections/?position=FLEX</x:v>
      </x:c>
    </x:row>
    <x:row r="157">
      <x:c r="A157" s="70" t="str">
        <x:v>Nicholas Singleton</x:v>
      </x:c>
      <x:c r="B157" s="69" t="str">
        <x:v>RB</x:v>
      </x:c>
      <x:c r="C157" s="69" t="str">
        <x:v>TEN</x:v>
      </x:c>
      <x:c r="D157" s="74" t="n">
        <x:v>9</x:v>
      </x:c>
      <x:c r="E157" s="74" t="n">
        <x:v>152</x:v>
      </x:c>
      <x:c r="F157" s="75" t="n">
        <x:v>6.9</x:v>
      </x:c>
      <x:c r="G157" s="76" t="n">
        <x:v>105</x:v>
      </x:c>
      <x:c r="H157" s="76" t="n">
        <x:v>462</x:v>
      </x:c>
      <x:c r="I157" s="76" t="n">
        <x:v>5</x:v>
      </x:c>
      <x:c r="J157" s="76" t="n">
        <x:v>23</x:v>
      </x:c>
      <x:c r="K157" s="76" t="n">
        <x:v>173</x:v>
      </x:c>
      <x:c r="L157" s="76" t="n">
        <x:v>1</x:v>
      </x:c>
      <x:c r="M157" s="76" t="n">
        <x:v>0</x:v>
      </x:c>
      <x:c r="N157" s="73" t="str">
        <x:v>https://www.thefantasyfootballers.com/2026-ultimate-draft-kit/udk-jasons-projections/?position=FLEX</x:v>
      </x:c>
    </x:row>
    <x:row r="158">
      <x:c r="A158" s="70" t="str">
        <x:v>Terrance Ferguson</x:v>
      </x:c>
      <x:c r="B158" s="69" t="str">
        <x:v>TE</x:v>
      </x:c>
      <x:c r="C158" s="69" t="str">
        <x:v>LAR</x:v>
      </x:c>
      <x:c r="D158" s="74" t="n">
        <x:v>11</x:v>
      </x:c>
      <x:c r="E158" s="74" t="n">
        <x:v>153</x:v>
      </x:c>
      <x:c r="F158" s="75" t="n">
        <x:v>6.8</x:v>
      </x:c>
      <x:c r="G158" s="76" t="n">
        <x:v>0</x:v>
      </x:c>
      <x:c r="H158" s="76" t="n">
        <x:v>0</x:v>
      </x:c>
      <x:c r="I158" s="76" t="n">
        <x:v>0</x:v>
      </x:c>
      <x:c r="J158" s="76" t="n">
        <x:v>34</x:v>
      </x:c>
      <x:c r="K158" s="76" t="n">
        <x:v>519</x:v>
      </x:c>
      <x:c r="L158" s="76" t="n">
        <x:v>5</x:v>
      </x:c>
      <x:c r="M158" s="76" t="n">
        <x:v>0</x:v>
      </x:c>
      <x:c r="N158" s="73" t="str">
        <x:v>https://www.thefantasyfootballers.com/2026-ultimate-draft-kit/udk-jasons-projections/?position=FLEX</x:v>
      </x:c>
    </x:row>
    <x:row r="159">
      <x:c r="A159" s="70" t="str">
        <x:v>Keaton Mitchell</x:v>
      </x:c>
      <x:c r="B159" s="69" t="str">
        <x:v>RB</x:v>
      </x:c>
      <x:c r="C159" s="69" t="str">
        <x:v>LAC</x:v>
      </x:c>
      <x:c r="D159" s="74" t="n">
        <x:v>7</x:v>
      </x:c>
      <x:c r="E159" s="74" t="n">
        <x:v>154</x:v>
      </x:c>
      <x:c r="F159" s="75" t="n">
        <x:v>6.8</x:v>
      </x:c>
      <x:c r="G159" s="76" t="n">
        <x:v>77</x:v>
      </x:c>
      <x:c r="H159" s="76" t="n">
        <x:v>426</x:v>
      </x:c>
      <x:c r="I159" s="76" t="n">
        <x:v>2</x:v>
      </x:c>
      <x:c r="J159" s="76" t="n">
        <x:v>32</x:v>
      </x:c>
      <x:c r="K159" s="76" t="n">
        <x:v>259</x:v>
      </x:c>
      <x:c r="L159" s="76" t="n">
        <x:v>1</x:v>
      </x:c>
      <x:c r="M159" s="76" t="n">
        <x:v>0</x:v>
      </x:c>
      <x:c r="N159" s="73" t="str">
        <x:v>https://www.thefantasyfootballers.com/2026-ultimate-draft-kit/udk-jasons-projections/?position=FLEX</x:v>
      </x:c>
    </x:row>
    <x:row r="160">
      <x:c r="A160" s="70" t="str">
        <x:v>Brian Robinson</x:v>
      </x:c>
      <x:c r="B160" s="69" t="str">
        <x:v>RB</x:v>
      </x:c>
      <x:c r="C160" s="69" t="str">
        <x:v>ATL</x:v>
      </x:c>
      <x:c r="D160" s="74" t="n">
        <x:v>11</x:v>
      </x:c>
      <x:c r="E160" s="74" t="n">
        <x:v>155</x:v>
      </x:c>
      <x:c r="F160" s="75" t="n">
        <x:v>6.7</x:v>
      </x:c>
      <x:c r="G160" s="76" t="n">
        <x:v>119</x:v>
      </x:c>
      <x:c r="H160" s="76" t="n">
        <x:v>494</x:v>
      </x:c>
      <x:c r="I160" s="76" t="n">
        <x:v>7</x:v>
      </x:c>
      <x:c r="J160" s="76" t="n">
        <x:v>14</x:v>
      </x:c>
      <x:c r="K160" s="76" t="n">
        <x:v>76</x:v>
      </x:c>
      <x:c r="L160" s="76" t="n">
        <x:v>1</x:v>
      </x:c>
      <x:c r="M160" s="76" t="n">
        <x:v>1</x:v>
      </x:c>
      <x:c r="N160" s="73" t="str">
        <x:v>https://www.thefantasyfootballers.com/2026-ultimate-draft-kit/udk-jasons-projections/?position=FLEX</x:v>
      </x:c>
    </x:row>
    <x:row r="161">
      <x:c r="A161" s="70" t="str">
        <x:v>Gunnar Helm</x:v>
      </x:c>
      <x:c r="B161" s="69" t="str">
        <x:v>TE</x:v>
      </x:c>
      <x:c r="C161" s="69" t="str">
        <x:v>TEN</x:v>
      </x:c>
      <x:c r="D161" s="74" t="n">
        <x:v>9</x:v>
      </x:c>
      <x:c r="E161" s="74" t="n">
        <x:v>156</x:v>
      </x:c>
      <x:c r="F161" s="75" t="n">
        <x:v>6.7</x:v>
      </x:c>
      <x:c r="G161" s="76" t="n">
        <x:v>0</x:v>
      </x:c>
      <x:c r="H161" s="76" t="n">
        <x:v>0</x:v>
      </x:c>
      <x:c r="I161" s="76" t="n">
        <x:v>0</x:v>
      </x:c>
      <x:c r="J161" s="76" t="n">
        <x:v>45</x:v>
      </x:c>
      <x:c r="K161" s="76" t="n">
        <x:v>450</x:v>
      </x:c>
      <x:c r="L161" s="76" t="n">
        <x:v>4</x:v>
      </x:c>
      <x:c r="M161" s="76" t="n">
        <x:v>0</x:v>
      </x:c>
      <x:c r="N161" s="73" t="str">
        <x:v>https://www.thefantasyfootballers.com/2026-ultimate-draft-kit/udk-jasons-projections/?position=FLEX</x:v>
      </x:c>
    </x:row>
    <x:row r="162">
      <x:c r="A162" s="70" t="str">
        <x:v>Alvin Kamara</x:v>
      </x:c>
      <x:c r="B162" s="69" t="str">
        <x:v>RB</x:v>
      </x:c>
      <x:c r="C162" s="69" t="str">
        <x:v>NO</x:v>
      </x:c>
      <x:c r="D162" s="74" t="n">
        <x:v>8</x:v>
      </x:c>
      <x:c r="E162" s="74" t="n">
        <x:v>157</x:v>
      </x:c>
      <x:c r="F162" s="75" t="n">
        <x:v>6.7</x:v>
      </x:c>
      <x:c r="G162" s="76" t="n">
        <x:v>90</x:v>
      </x:c>
      <x:c r="H162" s="76" t="n">
        <x:v>356</x:v>
      </x:c>
      <x:c r="I162" s="76" t="n">
        <x:v>3</x:v>
      </x:c>
      <x:c r="J162" s="76" t="n">
        <x:v>34</x:v>
      </x:c>
      <x:c r="K162" s="76" t="n">
        <x:v>238</x:v>
      </x:c>
      <x:c r="L162" s="76" t="n">
        <x:v>1</x:v>
      </x:c>
      <x:c r="M162" s="76" t="n">
        <x:v>2</x:v>
      </x:c>
      <x:c r="N162" s="73" t="str">
        <x:v>https://www.thefantasyfootballers.com/2026-ultimate-draft-kit/udk-jasons-projections/?position=FLEX</x:v>
      </x:c>
    </x:row>
    <x:row r="163">
      <x:c r="A163" s="70" t="str">
        <x:v>Ja'Kobi Lane</x:v>
      </x:c>
      <x:c r="B163" s="69" t="str">
        <x:v>WR</x:v>
      </x:c>
      <x:c r="C163" s="69" t="str">
        <x:v>BAL</x:v>
      </x:c>
      <x:c r="D163" s="74" t="n">
        <x:v>13</x:v>
      </x:c>
      <x:c r="E163" s="74" t="n">
        <x:v>158</x:v>
      </x:c>
      <x:c r="F163" s="75" t="n">
        <x:v>6.4</x:v>
      </x:c>
      <x:c r="G163" s="76" t="n">
        <x:v>0</x:v>
      </x:c>
      <x:c r="H163" s="76" t="n">
        <x:v>0</x:v>
      </x:c>
      <x:c r="I163" s="76" t="n">
        <x:v>0</x:v>
      </x:c>
      <x:c r="J163" s="76" t="n">
        <x:v>37</x:v>
      </x:c>
      <x:c r="K163" s="76" t="n">
        <x:v>486</x:v>
      </x:c>
      <x:c r="L163" s="76" t="n">
        <x:v>4</x:v>
      </x:c>
      <x:c r="M163" s="76" t="n">
        <x:v>0</x:v>
      </x:c>
      <x:c r="N163" s="73" t="str">
        <x:v>https://www.thefantasyfootballers.com/2026-ultimate-draft-kit/udk-jasons-projections/?position=FLEX</x:v>
      </x:c>
    </x:row>
    <x:row r="164">
      <x:c r="A164" s="70" t="str">
        <x:v>Colby Parkinson</x:v>
      </x:c>
      <x:c r="B164" s="69" t="str">
        <x:v>TE</x:v>
      </x:c>
      <x:c r="C164" s="69" t="str">
        <x:v>LAR</x:v>
      </x:c>
      <x:c r="D164" s="74" t="n">
        <x:v>11</x:v>
      </x:c>
      <x:c r="E164" s="74" t="n">
        <x:v>159</x:v>
      </x:c>
      <x:c r="F164" s="75" t="n">
        <x:v>6.4</x:v>
      </x:c>
      <x:c r="G164" s="76" t="n">
        <x:v>0</x:v>
      </x:c>
      <x:c r="H164" s="76" t="n">
        <x:v>0</x:v>
      </x:c>
      <x:c r="I164" s="76" t="n">
        <x:v>0</x:v>
      </x:c>
      <x:c r="J164" s="76" t="n">
        <x:v>42</x:v>
      </x:c>
      <x:c r="K164" s="76" t="n">
        <x:v>425</x:v>
      </x:c>
      <x:c r="L164" s="76" t="n">
        <x:v>5</x:v>
      </x:c>
      <x:c r="M164" s="76" t="n">
        <x:v>1</x:v>
      </x:c>
      <x:c r="N164" s="73" t="str">
        <x:v>https://www.thefantasyfootballers.com/2026-ultimate-draft-kit/udk-jasons-projections/?position=FLEX</x:v>
      </x:c>
    </x:row>
    <x:row r="165">
      <x:c r="A165" s="70" t="str">
        <x:v>Najee Harris</x:v>
      </x:c>
      <x:c r="B165" s="69" t="str">
        <x:v>RB</x:v>
      </x:c>
      <x:c r="C165" s="69" t="str">
        <x:v>NYG</x:v>
      </x:c>
      <x:c r="D165" s="74" t="n">
        <x:v>8</x:v>
      </x:c>
      <x:c r="E165" s="74" t="n">
        <x:v>160</x:v>
      </x:c>
      <x:c r="F165" s="75" t="n">
        <x:v>6.4</x:v>
      </x:c>
      <x:c r="G165" s="76" t="n">
        <x:v>114</x:v>
      </x:c>
      <x:c r="H165" s="76" t="n">
        <x:v>456</x:v>
      </x:c>
      <x:c r="I165" s="76" t="n">
        <x:v>4</x:v>
      </x:c>
      <x:c r="J165" s="76" t="n">
        <x:v>23</x:v>
      </x:c>
      <x:c r="K165" s="76" t="n">
        <x:v>166</x:v>
      </x:c>
      <x:c r="L165" s="76" t="n">
        <x:v>0</x:v>
      </x:c>
      <x:c r="M165" s="76" t="n">
        <x:v>0</x:v>
      </x:c>
      <x:c r="N165" s="73" t="str">
        <x:v>https://www.thefantasyfootballers.com/2026-ultimate-draft-kit/udk-jasons-projections/?position=FLEX</x:v>
      </x:c>
    </x:row>
    <x:row r="166">
      <x:c r="A166" s="70" t="str">
        <x:v>Andrei Iosivas</x:v>
      </x:c>
      <x:c r="B166" s="69" t="str">
        <x:v>WR</x:v>
      </x:c>
      <x:c r="C166" s="69" t="str">
        <x:v>CIN</x:v>
      </x:c>
      <x:c r="D166" s="74" t="n">
        <x:v>6</x:v>
      </x:c>
      <x:c r="E166" s="74" t="n">
        <x:v>161</x:v>
      </x:c>
      <x:c r="F166" s="75" t="n">
        <x:v>6.4</x:v>
      </x:c>
      <x:c r="G166" s="76" t="n">
        <x:v>3</x:v>
      </x:c>
      <x:c r="H166" s="76" t="n">
        <x:v>15</x:v>
      </x:c>
      <x:c r="I166" s="76" t="n">
        <x:v>0</x:v>
      </x:c>
      <x:c r="J166" s="76" t="n">
        <x:v>35</x:v>
      </x:c>
      <x:c r="K166" s="76" t="n">
        <x:v>455</x:v>
      </x:c>
      <x:c r="L166" s="76" t="n">
        <x:v>5</x:v>
      </x:c>
      <x:c r="M166" s="76" t="n">
        <x:v>0</x:v>
      </x:c>
      <x:c r="N166" s="73" t="str">
        <x:v>https://www.thefantasyfootballers.com/2026-ultimate-draft-kit/udk-jasons-projections/?position=FLEX</x:v>
      </x:c>
    </x:row>
    <x:row r="167">
      <x:c r="A167" s="70" t="str">
        <x:v>Jaylin Noel</x:v>
      </x:c>
      <x:c r="B167" s="69" t="str">
        <x:v>WR</x:v>
      </x:c>
      <x:c r="C167" s="69" t="str">
        <x:v>HOU</x:v>
      </x:c>
      <x:c r="D167" s="74" t="n">
        <x:v>8</x:v>
      </x:c>
      <x:c r="E167" s="74" t="n">
        <x:v>162</x:v>
      </x:c>
      <x:c r="F167" s="75" t="n">
        <x:v>6.4</x:v>
      </x:c>
      <x:c r="G167" s="76" t="n">
        <x:v>6</x:v>
      </x:c>
      <x:c r="H167" s="76" t="n">
        <x:v>35</x:v>
      </x:c>
      <x:c r="I167" s="76" t="n">
        <x:v>0</x:v>
      </x:c>
      <x:c r="J167" s="76" t="n">
        <x:v>44</x:v>
      </x:c>
      <x:c r="K167" s="76" t="n">
        <x:v>426</x:v>
      </x:c>
      <x:c r="L167" s="76" t="n">
        <x:v>3</x:v>
      </x:c>
      <x:c r="M167" s="76" t="n">
        <x:v>0</x:v>
      </x:c>
      <x:c r="N167" s="73" t="str">
        <x:v>https://www.thefantasyfootballers.com/2026-ultimate-draft-kit/udk-jasons-projections/?position=FLEX</x:v>
      </x:c>
    </x:row>
    <x:row r="168">
      <x:c r="A168" s="70" t="str">
        <x:v>David Njoku</x:v>
      </x:c>
      <x:c r="B168" s="69" t="str">
        <x:v>TE</x:v>
      </x:c>
      <x:c r="C168" s="69" t="str">
        <x:v>LAC</x:v>
      </x:c>
      <x:c r="D168" s="74" t="n">
        <x:v>7</x:v>
      </x:c>
      <x:c r="E168" s="74" t="n">
        <x:v>163</x:v>
      </x:c>
      <x:c r="F168" s="75" t="n">
        <x:v>6.3</x:v>
      </x:c>
      <x:c r="G168" s="76" t="n">
        <x:v>0</x:v>
      </x:c>
      <x:c r="H168" s="76" t="n">
        <x:v>0</x:v>
      </x:c>
      <x:c r="I168" s="76" t="n">
        <x:v>0</x:v>
      </x:c>
      <x:c r="J168" s="76" t="n">
        <x:v>41</x:v>
      </x:c>
      <x:c r="K168" s="76" t="n">
        <x:v>397</x:v>
      </x:c>
      <x:c r="L168" s="76" t="n">
        <x:v>5</x:v>
      </x:c>
      <x:c r="M168" s="76" t="n">
        <x:v>0</x:v>
      </x:c>
      <x:c r="N168" s="73" t="str">
        <x:v>https://www.thefantasyfootballers.com/2026-ultimate-draft-kit/udk-jasons-projections/?position=FLEX</x:v>
      </x:c>
    </x:row>
    <x:row r="169">
      <x:c r="A169" s="70" t="str">
        <x:v>Chris Rodriguez Jr.</x:v>
      </x:c>
      <x:c r="B169" s="69" t="str">
        <x:v>RB</x:v>
      </x:c>
      <x:c r="C169" s="69" t="str">
        <x:v>JAX</x:v>
      </x:c>
      <x:c r="D169" s="74" t="n">
        <x:v>7</x:v>
      </x:c>
      <x:c r="E169" s="74" t="n">
        <x:v>164</x:v>
      </x:c>
      <x:c r="F169" s="75" t="n">
        <x:v>6.3</x:v>
      </x:c>
      <x:c r="G169" s="76" t="n">
        <x:v>132</x:v>
      </x:c>
      <x:c r="H169" s="76" t="n">
        <x:v>554</x:v>
      </x:c>
      <x:c r="I169" s="76" t="n">
        <x:v>6</x:v>
      </x:c>
      <x:c r="J169" s="76" t="n">
        <x:v>9</x:v>
      </x:c>
      <x:c r="K169" s="76" t="n">
        <x:v>70</x:v>
      </x:c>
      <x:c r="L169" s="76" t="n">
        <x:v>0</x:v>
      </x:c>
      <x:c r="M169" s="76" t="n">
        <x:v>1</x:v>
      </x:c>
      <x:c r="N169" s="73" t="str">
        <x:v>https://www.thefantasyfootballers.com/2026-ultimate-draft-kit/udk-jasons-projections/?position=FLEX</x:v>
      </x:c>
    </x:row>
    <x:row r="170">
      <x:c r="A170" s="70" t="str">
        <x:v>Rashod Bateman</x:v>
      </x:c>
      <x:c r="B170" s="69" t="str">
        <x:v>WR</x:v>
      </x:c>
      <x:c r="C170" s="69" t="str">
        <x:v>BAL</x:v>
      </x:c>
      <x:c r="D170" s="74" t="n">
        <x:v>13</x:v>
      </x:c>
      <x:c r="E170" s="74" t="n">
        <x:v>165</x:v>
      </x:c>
      <x:c r="F170" s="75" t="n">
        <x:v>6.2</x:v>
      </x:c>
      <x:c r="G170" s="76" t="n">
        <x:v>0</x:v>
      </x:c>
      <x:c r="H170" s="76" t="n">
        <x:v>0</x:v>
      </x:c>
      <x:c r="I170" s="76" t="n">
        <x:v>0</x:v>
      </x:c>
      <x:c r="J170" s="76" t="n">
        <x:v>35</x:v>
      </x:c>
      <x:c r="K170" s="76" t="n">
        <x:v>473</x:v>
      </x:c>
      <x:c r="L170" s="76" t="n">
        <x:v>4</x:v>
      </x:c>
      <x:c r="M170" s="76" t="n">
        <x:v>0</x:v>
      </x:c>
      <x:c r="N170" s="73" t="str">
        <x:v>https://www.thefantasyfootballers.com/2026-ultimate-draft-kit/udk-jasons-projections/?position=FLEX</x:v>
      </x:c>
    </x:row>
    <x:row r="171">
      <x:c r="A171" s="70" t="str">
        <x:v>Travis Hunter</x:v>
      </x:c>
      <x:c r="B171" s="69" t="str">
        <x:v>WR</x:v>
      </x:c>
      <x:c r="C171" s="69" t="str">
        <x:v>JAX</x:v>
      </x:c>
      <x:c r="D171" s="74" t="n">
        <x:v>7</x:v>
      </x:c>
      <x:c r="E171" s="74" t="n">
        <x:v>166</x:v>
      </x:c>
      <x:c r="F171" s="75" t="n">
        <x:v>6.2</x:v>
      </x:c>
      <x:c r="G171" s="76" t="n">
        <x:v>4</x:v>
      </x:c>
      <x:c r="H171" s="76" t="n">
        <x:v>22</x:v>
      </x:c>
      <x:c r="I171" s="76" t="n">
        <x:v>1</x:v>
      </x:c>
      <x:c r="J171" s="76" t="n">
        <x:v>39</x:v>
      </x:c>
      <x:c r="K171" s="76" t="n">
        <x:v>430</x:v>
      </x:c>
      <x:c r="L171" s="76" t="n">
        <x:v>3</x:v>
      </x:c>
      <x:c r="M171" s="76" t="n">
        <x:v>0</x:v>
      </x:c>
      <x:c r="N171" s="73" t="str">
        <x:v>https://www.thefantasyfootballers.com/2026-ultimate-draft-kit/udk-jasons-projections/?position=FLEX</x:v>
      </x:c>
    </x:row>
    <x:row r="172">
      <x:c r="A172" s="70" t="str">
        <x:v>DeMario Douglas</x:v>
      </x:c>
      <x:c r="B172" s="69" t="str">
        <x:v>WR</x:v>
      </x:c>
      <x:c r="C172" s="69" t="str">
        <x:v>NE</x:v>
      </x:c>
      <x:c r="D172" s="74" t="n">
        <x:v>11</x:v>
      </x:c>
      <x:c r="E172" s="74" t="n">
        <x:v>167</x:v>
      </x:c>
      <x:c r="F172" s="75" t="n">
        <x:v>6.2</x:v>
      </x:c>
      <x:c r="G172" s="76" t="n">
        <x:v>7</x:v>
      </x:c>
      <x:c r="H172" s="76" t="n">
        <x:v>30</x:v>
      </x:c>
      <x:c r="I172" s="76" t="n">
        <x:v>0</x:v>
      </x:c>
      <x:c r="J172" s="76" t="n">
        <x:v>35</x:v>
      </x:c>
      <x:c r="K172" s="76" t="n">
        <x:v>490</x:v>
      </x:c>
      <x:c r="L172" s="76" t="n">
        <x:v>3</x:v>
      </x:c>
      <x:c r="M172" s="76" t="n">
        <x:v>0</x:v>
      </x:c>
      <x:c r="N172" s="73" t="str">
        <x:v>https://www.thefantasyfootballers.com/2026-ultimate-draft-kit/udk-jasons-projections/?position=FLEX</x:v>
      </x:c>
    </x:row>
    <x:row r="173">
      <x:c r="A173" s="70" t="str">
        <x:v>Calvin Ridley</x:v>
      </x:c>
      <x:c r="B173" s="69" t="str">
        <x:v>WR</x:v>
      </x:c>
      <x:c r="C173" s="69" t="str">
        <x:v>TEN</x:v>
      </x:c>
      <x:c r="D173" s="74" t="n">
        <x:v>9</x:v>
      </x:c>
      <x:c r="E173" s="74" t="n">
        <x:v>168</x:v>
      </x:c>
      <x:c r="F173" s="75" t="n">
        <x:v>6.2</x:v>
      </x:c>
      <x:c r="G173" s="76" t="n">
        <x:v>0</x:v>
      </x:c>
      <x:c r="H173" s="76" t="n">
        <x:v>0</x:v>
      </x:c>
      <x:c r="I173" s="76" t="n">
        <x:v>0</x:v>
      </x:c>
      <x:c r="J173" s="76" t="n">
        <x:v>37</x:v>
      </x:c>
      <x:c r="K173" s="76" t="n">
        <x:v>481</x:v>
      </x:c>
      <x:c r="L173" s="76" t="n">
        <x:v>3</x:v>
      </x:c>
      <x:c r="M173" s="76" t="n">
        <x:v>0</x:v>
      </x:c>
      <x:c r="N173" s="73" t="str">
        <x:v>https://www.thefantasyfootballers.com/2026-ultimate-draft-kit/udk-jasons-projections/?position=FLEX</x:v>
      </x:c>
    </x:row>
    <x:row r="174">
      <x:c r="A174" s="70" t="str">
        <x:v>Denzel Boston</x:v>
      </x:c>
      <x:c r="B174" s="69" t="str">
        <x:v>WR</x:v>
      </x:c>
      <x:c r="C174" s="69" t="str">
        <x:v>CLE</x:v>
      </x:c>
      <x:c r="D174" s="74" t="n">
        <x:v>11</x:v>
      </x:c>
      <x:c r="E174" s="74" t="n">
        <x:v>169</x:v>
      </x:c>
      <x:c r="F174" s="75" t="n">
        <x:v>6.1</x:v>
      </x:c>
      <x:c r="G174" s="76" t="n">
        <x:v>0</x:v>
      </x:c>
      <x:c r="H174" s="76" t="n">
        <x:v>0</x:v>
      </x:c>
      <x:c r="I174" s="76" t="n">
        <x:v>0</x:v>
      </x:c>
      <x:c r="J174" s="76" t="n">
        <x:v>40</x:v>
      </x:c>
      <x:c r="K174" s="76" t="n">
        <x:v>466</x:v>
      </x:c>
      <x:c r="L174" s="76" t="n">
        <x:v>3</x:v>
      </x:c>
      <x:c r="M174" s="76" t="n">
        <x:v>0</x:v>
      </x:c>
      <x:c r="N174" s="73" t="str">
        <x:v>https://www.thefantasyfootballers.com/2026-ultimate-draft-kit/udk-jasons-projections/?position=FLEX</x:v>
      </x:c>
    </x:row>
    <x:row r="175">
      <x:c r="A175" s="70" t="str">
        <x:v>Greg Dulcich</x:v>
      </x:c>
      <x:c r="B175" s="69" t="str">
        <x:v>TE</x:v>
      </x:c>
      <x:c r="C175" s="69" t="str">
        <x:v>MIA</x:v>
      </x:c>
      <x:c r="D175" s="74" t="n">
        <x:v>6</x:v>
      </x:c>
      <x:c r="E175" s="74" t="n">
        <x:v>170</x:v>
      </x:c>
      <x:c r="F175" s="75" t="n">
        <x:v>6.1</x:v>
      </x:c>
      <x:c r="G175" s="76" t="n">
        <x:v>0</x:v>
      </x:c>
      <x:c r="H175" s="76" t="n">
        <x:v>0</x:v>
      </x:c>
      <x:c r="I175" s="76" t="n">
        <x:v>0</x:v>
      </x:c>
      <x:c r="J175" s="76" t="n">
        <x:v>41</x:v>
      </x:c>
      <x:c r="K175" s="76" t="n">
        <x:v>471</x:v>
      </x:c>
      <x:c r="L175" s="76" t="n">
        <x:v>3</x:v>
      </x:c>
      <x:c r="M175" s="76" t="n">
        <x:v>1</x:v>
      </x:c>
      <x:c r="N175" s="73" t="str">
        <x:v>https://www.thefantasyfootballers.com/2026-ultimate-draft-kit/udk-jasons-projections/?position=FLEX</x:v>
      </x:c>
    </x:row>
    <x:row r="176">
      <x:c r="A176" s="70" t="str">
        <x:v>Tank Bigsby</x:v>
      </x:c>
      <x:c r="B176" s="69" t="str">
        <x:v>RB</x:v>
      </x:c>
      <x:c r="C176" s="69" t="str">
        <x:v>PHI</x:v>
      </x:c>
      <x:c r="D176" s="74" t="n">
        <x:v>10</x:v>
      </x:c>
      <x:c r="E176" s="74" t="n">
        <x:v>171</x:v>
      </x:c>
      <x:c r="F176" s="75" t="n">
        <x:v>6.1</x:v>
      </x:c>
      <x:c r="G176" s="76" t="n">
        <x:v>130</x:v>
      </x:c>
      <x:c r="H176" s="76" t="n">
        <x:v>637</x:v>
      </x:c>
      <x:c r="I176" s="76" t="n">
        <x:v>4</x:v>
      </x:c>
      <x:c r="J176" s="76" t="n">
        <x:v>10</x:v>
      </x:c>
      <x:c r="K176" s="76" t="n">
        <x:v>80</x:v>
      </x:c>
      <x:c r="L176" s="76" t="n">
        <x:v>0</x:v>
      </x:c>
      <x:c r="M176" s="76" t="n">
        <x:v>1</x:v>
      </x:c>
      <x:c r="N176" s="73" t="str">
        <x:v>https://www.thefantasyfootballers.com/2026-ultimate-draft-kit/udk-jasons-projections/?position=FLEX</x:v>
      </x:c>
    </x:row>
    <x:row r="177">
      <x:c r="A177" s="70" t="str">
        <x:v>Oronde Gadsden</x:v>
      </x:c>
      <x:c r="B177" s="69" t="str">
        <x:v>TE</x:v>
      </x:c>
      <x:c r="C177" s="69" t="str">
        <x:v>LAC</x:v>
      </x:c>
      <x:c r="D177" s="74" t="n">
        <x:v>7</x:v>
      </x:c>
      <x:c r="E177" s="74" t="n">
        <x:v>172</x:v>
      </x:c>
      <x:c r="F177" s="75" t="n">
        <x:v>6.1</x:v>
      </x:c>
      <x:c r="G177" s="76" t="n">
        <x:v>0</x:v>
      </x:c>
      <x:c r="H177" s="76" t="n">
        <x:v>0</x:v>
      </x:c>
      <x:c r="I177" s="76" t="n">
        <x:v>0</x:v>
      </x:c>
      <x:c r="J177" s="76" t="n">
        <x:v>33</x:v>
      </x:c>
      <x:c r="K177" s="76" t="n">
        <x:v>433</x:v>
      </x:c>
      <x:c r="L177" s="76" t="n">
        <x:v>5</x:v>
      </x:c>
      <x:c r="M177" s="76" t="n">
        <x:v>0</x:v>
      </x:c>
      <x:c r="N177" s="73" t="str">
        <x:v>https://www.thefantasyfootballers.com/2026-ultimate-draft-kit/udk-jasons-projections/?position=FLEX</x:v>
      </x:c>
    </x:row>
    <x:row r="178">
      <x:c r="A178" s="70" t="str">
        <x:v>Cole Kmet</x:v>
      </x:c>
      <x:c r="B178" s="69" t="str">
        <x:v>TE</x:v>
      </x:c>
      <x:c r="C178" s="69" t="str">
        <x:v>CHI</x:v>
      </x:c>
      <x:c r="D178" s="74" t="n">
        <x:v>10</x:v>
      </x:c>
      <x:c r="E178" s="74" t="n">
        <x:v>173</x:v>
      </x:c>
      <x:c r="F178" s="75" t="n">
        <x:v>6.1</x:v>
      </x:c>
      <x:c r="G178" s="76" t="n">
        <x:v>0</x:v>
      </x:c>
      <x:c r="H178" s="76" t="n">
        <x:v>0</x:v>
      </x:c>
      <x:c r="I178" s="76" t="n">
        <x:v>0</x:v>
      </x:c>
      <x:c r="J178" s="76" t="n">
        <x:v>39</x:v>
      </x:c>
      <x:c r="K178" s="76" t="n">
        <x:v>370</x:v>
      </x:c>
      <x:c r="L178" s="76" t="n">
        <x:v>5</x:v>
      </x:c>
      <x:c r="M178" s="76" t="n">
        <x:v>0</x:v>
      </x:c>
      <x:c r="N178" s="73" t="str">
        <x:v>https://www.thefantasyfootballers.com/2026-ultimate-draft-kit/udk-jasons-projections/?position=FLEX</x:v>
      </x:c>
    </x:row>
    <x:row r="179">
      <x:c r="A179" s="70" t="str">
        <x:v>Kyle Williams</x:v>
      </x:c>
      <x:c r="B179" s="69" t="str">
        <x:v>WR</x:v>
      </x:c>
      <x:c r="C179" s="69" t="str">
        <x:v>NE</x:v>
      </x:c>
      <x:c r="D179" s="74" t="n">
        <x:v>11</x:v>
      </x:c>
      <x:c r="E179" s="74" t="n">
        <x:v>174</x:v>
      </x:c>
      <x:c r="F179" s="75" t="n">
        <x:v>6</x:v>
      </x:c>
      <x:c r="G179" s="76" t="n">
        <x:v>5</x:v>
      </x:c>
      <x:c r="H179" s="76" t="n">
        <x:v>20</x:v>
      </x:c>
      <x:c r="I179" s="76" t="n">
        <x:v>1</x:v>
      </x:c>
      <x:c r="J179" s="76" t="n">
        <x:v>30</x:v>
      </x:c>
      <x:c r="K179" s="76" t="n">
        <x:v>495</x:v>
      </x:c>
      <x:c r="L179" s="76" t="n">
        <x:v>3</x:v>
      </x:c>
      <x:c r="M179" s="76" t="n">
        <x:v>0</x:v>
      </x:c>
      <x:c r="N179" s="73" t="str">
        <x:v>https://www.thefantasyfootballers.com/2026-ultimate-draft-kit/udk-jasons-projections/?position=FLEX</x:v>
      </x:c>
    </x:row>
    <x:row r="180">
      <x:c r="A180" s="70" t="str">
        <x:v>Charlie Kolar</x:v>
      </x:c>
      <x:c r="B180" s="69" t="str">
        <x:v>TE</x:v>
      </x:c>
      <x:c r="C180" s="69" t="str">
        <x:v>LAC</x:v>
      </x:c>
      <x:c r="D180" s="74" t="n">
        <x:v>7</x:v>
      </x:c>
      <x:c r="E180" s="74" t="n">
        <x:v>175</x:v>
      </x:c>
      <x:c r="F180" s="75" t="n">
        <x:v>5.8</x:v>
      </x:c>
      <x:c r="G180" s="76" t="n">
        <x:v>0</x:v>
      </x:c>
      <x:c r="H180" s="76" t="n">
        <x:v>0</x:v>
      </x:c>
      <x:c r="I180" s="76" t="n">
        <x:v>0</x:v>
      </x:c>
      <x:c r="J180" s="76" t="n">
        <x:v>35</x:v>
      </x:c>
      <x:c r="K180" s="76" t="n">
        <x:v>399</x:v>
      </x:c>
      <x:c r="L180" s="76" t="n">
        <x:v>4</x:v>
      </x:c>
      <x:c r="M180" s="76" t="n">
        <x:v>0</x:v>
      </x:c>
      <x:c r="N180" s="73" t="str">
        <x:v>https://www.thefantasyfootballers.com/2026-ultimate-draft-kit/udk-jasons-projections/?position=FLEX</x:v>
      </x:c>
    </x:row>
    <x:row r="181">
      <x:c r="A181" s="70" t="str">
        <x:v>Antonio Williams</x:v>
      </x:c>
      <x:c r="B181" s="69" t="str">
        <x:v>WR</x:v>
      </x:c>
      <x:c r="C181" s="69" t="str">
        <x:v>WAS</x:v>
      </x:c>
      <x:c r="D181" s="74" t="n">
        <x:v>7</x:v>
      </x:c>
      <x:c r="E181" s="74" t="n">
        <x:v>176</x:v>
      </x:c>
      <x:c r="F181" s="75" t="n">
        <x:v>5.8</x:v>
      </x:c>
      <x:c r="G181" s="76" t="n">
        <x:v>4</x:v>
      </x:c>
      <x:c r="H181" s="76" t="n">
        <x:v>25</x:v>
      </x:c>
      <x:c r="I181" s="76" t="n">
        <x:v>0</x:v>
      </x:c>
      <x:c r="J181" s="76" t="n">
        <x:v>31</x:v>
      </x:c>
      <x:c r="K181" s="76" t="n">
        <x:v>377</x:v>
      </x:c>
      <x:c r="L181" s="76" t="n">
        <x:v>5</x:v>
      </x:c>
      <x:c r="M181" s="76" t="n">
        <x:v>0</x:v>
      </x:c>
      <x:c r="N181" s="73" t="str">
        <x:v>https://www.thefantasyfootballers.com/2026-ultimate-draft-kit/udk-jasons-projections/?position=FLEX</x:v>
      </x:c>
    </x:row>
    <x:row r="182">
      <x:c r="A182" s="70" t="str">
        <x:v>Jack Bech</x:v>
      </x:c>
      <x:c r="B182" s="69" t="str">
        <x:v>WR</x:v>
      </x:c>
      <x:c r="C182" s="69" t="str">
        <x:v>LV</x:v>
      </x:c>
      <x:c r="D182" s="74" t="n">
        <x:v>13</x:v>
      </x:c>
      <x:c r="E182" s="74" t="n">
        <x:v>177</x:v>
      </x:c>
      <x:c r="F182" s="75" t="n">
        <x:v>5.8</x:v>
      </x:c>
      <x:c r="G182" s="76" t="n">
        <x:v>3</x:v>
      </x:c>
      <x:c r="H182" s="76" t="n">
        <x:v>15</x:v>
      </x:c>
      <x:c r="I182" s="76" t="n">
        <x:v>0</x:v>
      </x:c>
      <x:c r="J182" s="76" t="n">
        <x:v>35</x:v>
      </x:c>
      <x:c r="K182" s="76" t="n">
        <x:v>418</x:v>
      </x:c>
      <x:c r="L182" s="76" t="n">
        <x:v>3</x:v>
      </x:c>
      <x:c r="M182" s="76" t="n">
        <x:v>0</x:v>
      </x:c>
      <x:c r="N182" s="73" t="str">
        <x:v>https://www.thefantasyfootballers.com/2026-ultimate-draft-kit/udk-jasons-projections/?position=FLEX</x:v>
      </x:c>
    </x:row>
    <x:row r="183">
      <x:c r="A183" s="70" t="str">
        <x:v>Emmett Johnson</x:v>
      </x:c>
      <x:c r="B183" s="69" t="str">
        <x:v>RB</x:v>
      </x:c>
      <x:c r="C183" s="69" t="str">
        <x:v>KC</x:v>
      </x:c>
      <x:c r="D183" s="74" t="n">
        <x:v>5</x:v>
      </x:c>
      <x:c r="E183" s="74" t="n">
        <x:v>178</x:v>
      </x:c>
      <x:c r="F183" s="75" t="n">
        <x:v>5.7</x:v>
      </x:c>
      <x:c r="G183" s="76" t="n">
        <x:v>85</x:v>
      </x:c>
      <x:c r="H183" s="76" t="n">
        <x:v>383</x:v>
      </x:c>
      <x:c r="I183" s="76" t="n">
        <x:v>3</x:v>
      </x:c>
      <x:c r="J183" s="76" t="n">
        <x:v>21</x:v>
      </x:c>
      <x:c r="K183" s="76" t="n">
        <x:v>164</x:v>
      </x:c>
      <x:c r="L183" s="76" t="n">
        <x:v>1</x:v>
      </x:c>
      <x:c r="M183" s="76" t="n">
        <x:v>1</x:v>
      </x:c>
      <x:c r="N183" s="73" t="str">
        <x:v>https://www.thefantasyfootballers.com/2026-ultimate-draft-kit/udk-jasons-projections/?position=FLEX</x:v>
      </x:c>
    </x:row>
    <x:row r="184">
      <x:c r="A184" s="70" t="str">
        <x:v>Darnell Mooney</x:v>
      </x:c>
      <x:c r="B184" s="69" t="str">
        <x:v>WR</x:v>
      </x:c>
      <x:c r="C184" s="69" t="str">
        <x:v>NYG</x:v>
      </x:c>
      <x:c r="D184" s="74" t="n">
        <x:v>8</x:v>
      </x:c>
      <x:c r="E184" s="74" t="n">
        <x:v>179</x:v>
      </x:c>
      <x:c r="F184" s="75" t="n">
        <x:v>5.6</x:v>
      </x:c>
      <x:c r="G184" s="76" t="n">
        <x:v>1</x:v>
      </x:c>
      <x:c r="H184" s="76" t="n">
        <x:v>4</x:v>
      </x:c>
      <x:c r="I184" s="76" t="n">
        <x:v>0</x:v>
      </x:c>
      <x:c r="J184" s="76" t="n">
        <x:v>29</x:v>
      </x:c>
      <x:c r="K184" s="76" t="n">
        <x:v>412</x:v>
      </x:c>
      <x:c r="L184" s="76" t="n">
        <x:v>4</x:v>
      </x:c>
      <x:c r="M184" s="76" t="n">
        <x:v>0</x:v>
      </x:c>
      <x:c r="N184" s="73" t="str">
        <x:v>https://www.thefantasyfootballers.com/2026-ultimate-draft-kit/udk-jasons-projections/?position=FLEX</x:v>
      </x:c>
    </x:row>
    <x:row r="185">
      <x:c r="A185" s="70" t="str">
        <x:v>Jordan James</x:v>
      </x:c>
      <x:c r="B185" s="69" t="str">
        <x:v>RB</x:v>
      </x:c>
      <x:c r="C185" s="69" t="str">
        <x:v>SF</x:v>
      </x:c>
      <x:c r="D185" s="74" t="n">
        <x:v>8</x:v>
      </x:c>
      <x:c r="E185" s="74" t="n">
        <x:v>180</x:v>
      </x:c>
      <x:c r="F185" s="75" t="n">
        <x:v>5.5</x:v>
      </x:c>
      <x:c r="G185" s="76" t="n">
        <x:v>115</x:v>
      </x:c>
      <x:c r="H185" s="76" t="n">
        <x:v>535</x:v>
      </x:c>
      <x:c r="I185" s="76" t="n">
        <x:v>4</x:v>
      </x:c>
      <x:c r="J185" s="76" t="n">
        <x:v>8</x:v>
      </x:c>
      <x:c r="K185" s="76" t="n">
        <x:v>65</x:v>
      </x:c>
      <x:c r="L185" s="76" t="n">
        <x:v>0</x:v>
      </x:c>
      <x:c r="M185" s="76" t="n">
        <x:v>0</x:v>
      </x:c>
      <x:c r="N185" s="73" t="str">
        <x:v>https://www.thefantasyfootballers.com/2026-ultimate-draft-kit/udk-jasons-projections/?position=FLEX</x:v>
      </x:c>
    </x:row>
    <x:row r="186">
      <x:c r="A186" s="70" t="str">
        <x:v>Ryan Flournoy</x:v>
      </x:c>
      <x:c r="B186" s="69" t="str">
        <x:v>WR</x:v>
      </x:c>
      <x:c r="C186" s="69" t="str">
        <x:v>DAL</x:v>
      </x:c>
      <x:c r="D186" s="74" t="n">
        <x:v>14</x:v>
      </x:c>
      <x:c r="E186" s="74" t="n">
        <x:v>181</x:v>
      </x:c>
      <x:c r="F186" s="75" t="n">
        <x:v>5.5</x:v>
      </x:c>
      <x:c r="G186" s="76" t="n">
        <x:v>0</x:v>
      </x:c>
      <x:c r="H186" s="76" t="n">
        <x:v>0</x:v>
      </x:c>
      <x:c r="I186" s="76" t="n">
        <x:v>0</x:v>
      </x:c>
      <x:c r="J186" s="76" t="n">
        <x:v>33</x:v>
      </x:c>
      <x:c r="K186" s="76" t="n">
        <x:v>424</x:v>
      </x:c>
      <x:c r="L186" s="76" t="n">
        <x:v>3</x:v>
      </x:c>
      <x:c r="M186" s="76" t="n">
        <x:v>1</x:v>
      </x:c>
      <x:c r="N186" s="73" t="str">
        <x:v>https://www.thefantasyfootballers.com/2026-ultimate-draft-kit/udk-jasons-projections/?position=FLEX</x:v>
      </x:c>
    </x:row>
    <x:row r="187">
      <x:c r="A187" s="70" t="str">
        <x:v>Tyler Allgeier</x:v>
      </x:c>
      <x:c r="B187" s="69" t="str">
        <x:v>RB</x:v>
      </x:c>
      <x:c r="C187" s="69" t="str">
        <x:v>ARI</x:v>
      </x:c>
      <x:c r="D187" s="74" t="n">
        <x:v>14</x:v>
      </x:c>
      <x:c r="E187" s="74" t="n">
        <x:v>182</x:v>
      </x:c>
      <x:c r="F187" s="75" t="n">
        <x:v>5.5</x:v>
      </x:c>
      <x:c r="G187" s="76" t="n">
        <x:v>110</x:v>
      </x:c>
      <x:c r="H187" s="76" t="n">
        <x:v>446</x:v>
      </x:c>
      <x:c r="I187" s="76" t="n">
        <x:v>4</x:v>
      </x:c>
      <x:c r="J187" s="76" t="n">
        <x:v>13</x:v>
      </x:c>
      <x:c r="K187" s="76" t="n">
        <x:v>94</x:v>
      </x:c>
      <x:c r="L187" s="76" t="n">
        <x:v>0</x:v>
      </x:c>
      <x:c r="M187" s="76" t="n">
        <x:v>0</x:v>
      </x:c>
      <x:c r="N187" s="73" t="str">
        <x:v>https://www.thefantasyfootballers.com/2026-ultimate-draft-kit/udk-jasons-projections/?position=FLEX</x:v>
      </x:c>
    </x:row>
    <x:row r="188">
      <x:c r="A188" s="70" t="str">
        <x:v>Devaughn Vele</x:v>
      </x:c>
      <x:c r="B188" s="69" t="str">
        <x:v>WR</x:v>
      </x:c>
      <x:c r="C188" s="69" t="str">
        <x:v>NO</x:v>
      </x:c>
      <x:c r="D188" s="74" t="n">
        <x:v>8</x:v>
      </x:c>
      <x:c r="E188" s="74" t="n">
        <x:v>183</x:v>
      </x:c>
      <x:c r="F188" s="75" t="n">
        <x:v>5.5</x:v>
      </x:c>
      <x:c r="G188" s="76" t="n">
        <x:v>0</x:v>
      </x:c>
      <x:c r="H188" s="76" t="n">
        <x:v>0</x:v>
      </x:c>
      <x:c r="I188" s="76" t="n">
        <x:v>0</x:v>
      </x:c>
      <x:c r="J188" s="76" t="n">
        <x:v>36</x:v>
      </x:c>
      <x:c r="K188" s="76" t="n">
        <x:v>389</x:v>
      </x:c>
      <x:c r="L188" s="76" t="n">
        <x:v>3</x:v>
      </x:c>
      <x:c r="M188" s="76" t="n">
        <x:v>0</x:v>
      </x:c>
      <x:c r="N188" s="73" t="str">
        <x:v>https://www.thefantasyfootballers.com/2026-ultimate-draft-kit/udk-jasons-projections/?position=FLEX</x:v>
      </x:c>
    </x:row>
    <x:row r="189">
      <x:c r="A189" s="70" t="str">
        <x:v>Chris Bell</x:v>
      </x:c>
      <x:c r="B189" s="69" t="str">
        <x:v>WR</x:v>
      </x:c>
      <x:c r="C189" s="69" t="str">
        <x:v>MIA</x:v>
      </x:c>
      <x:c r="D189" s="74" t="n">
        <x:v>6</x:v>
      </x:c>
      <x:c r="E189" s="74" t="n">
        <x:v>184</x:v>
      </x:c>
      <x:c r="F189" s="75" t="n">
        <x:v>5.4</x:v>
      </x:c>
      <x:c r="G189" s="76" t="n">
        <x:v>0</x:v>
      </x:c>
      <x:c r="H189" s="76" t="n">
        <x:v>0</x:v>
      </x:c>
      <x:c r="I189" s="76" t="n">
        <x:v>0</x:v>
      </x:c>
      <x:c r="J189" s="76" t="n">
        <x:v>30</x:v>
      </x:c>
      <x:c r="K189" s="76" t="n">
        <x:v>441</x:v>
      </x:c>
      <x:c r="L189" s="76" t="n">
        <x:v>3</x:v>
      </x:c>
      <x:c r="M189" s="76" t="n">
        <x:v>0</x:v>
      </x:c>
      <x:c r="N189" s="73" t="str">
        <x:v>https://www.thefantasyfootballers.com/2026-ultimate-draft-kit/udk-jasons-projections/?position=FLEX</x:v>
      </x:c>
    </x:row>
    <x:row r="190">
      <x:c r="A190" s="70" t="str">
        <x:v>Jahan Dotson</x:v>
      </x:c>
      <x:c r="B190" s="69" t="str">
        <x:v>WR</x:v>
      </x:c>
      <x:c r="C190" s="69" t="str">
        <x:v>ATL</x:v>
      </x:c>
      <x:c r="D190" s="74" t="n">
        <x:v>11</x:v>
      </x:c>
      <x:c r="E190" s="74" t="n">
        <x:v>185</x:v>
      </x:c>
      <x:c r="F190" s="75" t="n">
        <x:v>5.3</x:v>
      </x:c>
      <x:c r="G190" s="76" t="n">
        <x:v>0</x:v>
      </x:c>
      <x:c r="H190" s="76" t="n">
        <x:v>0</x:v>
      </x:c>
      <x:c r="I190" s="76" t="n">
        <x:v>0</x:v>
      </x:c>
      <x:c r="J190" s="76" t="n">
        <x:v>34</x:v>
      </x:c>
      <x:c r="K190" s="76" t="n">
        <x:v>415</x:v>
      </x:c>
      <x:c r="L190" s="76" t="n">
        <x:v>3</x:v>
      </x:c>
      <x:c r="M190" s="76" t="n">
        <x:v>0</x:v>
      </x:c>
      <x:c r="N190" s="73" t="str">
        <x:v>https://www.thefantasyfootballers.com/2026-ultimate-draft-kit/udk-jasons-projections/?position=FLEX</x:v>
      </x:c>
    </x:row>
    <x:row r="191">
      <x:c r="A191" s="70" t="str">
        <x:v>Ty Johnson</x:v>
      </x:c>
      <x:c r="B191" s="69" t="str">
        <x:v>RB</x:v>
      </x:c>
      <x:c r="C191" s="69" t="str">
        <x:v>BUF</x:v>
      </x:c>
      <x:c r="D191" s="74" t="n">
        <x:v>7</x:v>
      </x:c>
      <x:c r="E191" s="74" t="n">
        <x:v>186</x:v>
      </x:c>
      <x:c r="F191" s="75" t="n">
        <x:v>5.2</x:v>
      </x:c>
      <x:c r="G191" s="76" t="n">
        <x:v>45</x:v>
      </x:c>
      <x:c r="H191" s="76" t="n">
        <x:v>185</x:v>
      </x:c>
      <x:c r="I191" s="76" t="n">
        <x:v>2</x:v>
      </x:c>
      <x:c r="J191" s="76" t="n">
        <x:v>22</x:v>
      </x:c>
      <x:c r="K191" s="76" t="n">
        <x:v>240</x:v>
      </x:c>
      <x:c r="L191" s="76" t="n">
        <x:v>2</x:v>
      </x:c>
      <x:c r="M191" s="76" t="n">
        <x:v>0</x:v>
      </x:c>
      <x:c r="N191" s="73" t="str">
        <x:v>https://www.thefantasyfootballers.com/2026-ultimate-draft-kit/udk-jasons-projections/?position=FLEX</x:v>
      </x:c>
    </x:row>
    <x:row r="192">
      <x:c r="A192" s="70" t="str">
        <x:v>Samaje Perine</x:v>
      </x:c>
      <x:c r="B192" s="69" t="str">
        <x:v>RB</x:v>
      </x:c>
      <x:c r="C192" s="69" t="str">
        <x:v>CIN</x:v>
      </x:c>
      <x:c r="D192" s="74" t="n">
        <x:v>6</x:v>
      </x:c>
      <x:c r="E192" s="74" t="n">
        <x:v>187</x:v>
      </x:c>
      <x:c r="F192" s="75" t="n">
        <x:v>5.2</x:v>
      </x:c>
      <x:c r="G192" s="76" t="n">
        <x:v>82</x:v>
      </x:c>
      <x:c r="H192" s="76" t="n">
        <x:v>325</x:v>
      </x:c>
      <x:c r="I192" s="76" t="n">
        <x:v>3</x:v>
      </x:c>
      <x:c r="J192" s="76" t="n">
        <x:v>21</x:v>
      </x:c>
      <x:c r="K192" s="76" t="n">
        <x:v>135</x:v>
      </x:c>
      <x:c r="L192" s="76" t="n">
        <x:v>1</x:v>
      </x:c>
      <x:c r="M192" s="76" t="n">
        <x:v>0</x:v>
      </x:c>
      <x:c r="N192" s="73" t="str">
        <x:v>https://www.thefantasyfootballers.com/2026-ultimate-draft-kit/udk-jasons-projections/?position=FLEX</x:v>
      </x:c>
    </x:row>
    <x:row r="193">
      <x:c r="A193" s="70" t="str">
        <x:v>Isaac TeSlaa</x:v>
      </x:c>
      <x:c r="B193" s="69" t="str">
        <x:v>WR</x:v>
      </x:c>
      <x:c r="C193" s="69" t="str">
        <x:v>DET</x:v>
      </x:c>
      <x:c r="D193" s="74" t="n">
        <x:v>6</x:v>
      </x:c>
      <x:c r="E193" s="74" t="n">
        <x:v>188</x:v>
      </x:c>
      <x:c r="F193" s="75" t="n">
        <x:v>5.1</x:v>
      </x:c>
      <x:c r="G193" s="76" t="n">
        <x:v>0</x:v>
      </x:c>
      <x:c r="H193" s="76" t="n">
        <x:v>0</x:v>
      </x:c>
      <x:c r="I193" s="76" t="n">
        <x:v>0</x:v>
      </x:c>
      <x:c r="J193" s="76" t="n">
        <x:v>23</x:v>
      </x:c>
      <x:c r="K193" s="76" t="n">
        <x:v>345</x:v>
      </x:c>
      <x:c r="L193" s="76" t="n">
        <x:v>5</x:v>
      </x:c>
      <x:c r="M193" s="76" t="n">
        <x:v>0</x:v>
      </x:c>
      <x:c r="N193" s="73" t="str">
        <x:v>https://www.thefantasyfootballers.com/2026-ultimate-draft-kit/udk-jasons-projections/?position=FLEX</x:v>
      </x:c>
    </x:row>
    <x:row r="194">
      <x:c r="A194" s="70" t="str">
        <x:v>Tez Johnson</x:v>
      </x:c>
      <x:c r="B194" s="69" t="str">
        <x:v>WR</x:v>
      </x:c>
      <x:c r="C194" s="69" t="str">
        <x:v>TB</x:v>
      </x:c>
      <x:c r="D194" s="74" t="n">
        <x:v>10</x:v>
      </x:c>
      <x:c r="E194" s="74" t="n">
        <x:v>189</x:v>
      </x:c>
      <x:c r="F194" s="75" t="n">
        <x:v>5</x:v>
      </x:c>
      <x:c r="G194" s="76" t="n">
        <x:v>7</x:v>
      </x:c>
      <x:c r="H194" s="76" t="n">
        <x:v>25</x:v>
      </x:c>
      <x:c r="I194" s="76" t="n">
        <x:v>0</x:v>
      </x:c>
      <x:c r="J194" s="76" t="n">
        <x:v>36</x:v>
      </x:c>
      <x:c r="K194" s="76" t="n">
        <x:v>389</x:v>
      </x:c>
      <x:c r="L194" s="76" t="n">
        <x:v>1</x:v>
      </x:c>
      <x:c r="M194" s="76" t="n">
        <x:v>0</x:v>
      </x:c>
      <x:c r="N194" s="73" t="str">
        <x:v>https://www.thefantasyfootballers.com/2026-ultimate-draft-kit/udk-jasons-projections/?position=FLEX</x:v>
      </x:c>
    </x:row>
    <x:row r="195">
      <x:c r="A195" s="70" t="str">
        <x:v>Troy Franklin</x:v>
      </x:c>
      <x:c r="B195" s="69" t="str">
        <x:v>WR</x:v>
      </x:c>
      <x:c r="C195" s="69" t="str">
        <x:v>DEN</x:v>
      </x:c>
      <x:c r="D195" s="74" t="n">
        <x:v>10</x:v>
      </x:c>
      <x:c r="E195" s="74" t="n">
        <x:v>190</x:v>
      </x:c>
      <x:c r="F195" s="75" t="n">
        <x:v>5</x:v>
      </x:c>
      <x:c r="G195" s="76" t="n">
        <x:v>0</x:v>
      </x:c>
      <x:c r="H195" s="76" t="n">
        <x:v>0</x:v>
      </x:c>
      <x:c r="I195" s="76" t="n">
        <x:v>0</x:v>
      </x:c>
      <x:c r="J195" s="76" t="n">
        <x:v>32</x:v>
      </x:c>
      <x:c r="K195" s="76" t="n">
        <x:v>380</x:v>
      </x:c>
      <x:c r="L195" s="76" t="n">
        <x:v>3</x:v>
      </x:c>
      <x:c r="M195" s="76" t="n">
        <x:v>0</x:v>
      </x:c>
      <x:c r="N195" s="73" t="str">
        <x:v>https://www.thefantasyfootballers.com/2026-ultimate-draft-kit/udk-jasons-projections/?position=FLEX</x:v>
      </x:c>
    </x:row>
    <x:row r="196">
      <x:c r="A196" s="70" t="str">
        <x:v>Kendrick Bourne</x:v>
      </x:c>
      <x:c r="B196" s="69" t="str">
        <x:v>WR</x:v>
      </x:c>
      <x:c r="C196" s="69" t="str">
        <x:v>ARI</x:v>
      </x:c>
      <x:c r="D196" s="74" t="n">
        <x:v>14</x:v>
      </x:c>
      <x:c r="E196" s="74" t="n">
        <x:v>191</x:v>
      </x:c>
      <x:c r="F196" s="75" t="n">
        <x:v>4.9</x:v>
      </x:c>
      <x:c r="G196" s="76" t="n">
        <x:v>0</x:v>
      </x:c>
      <x:c r="H196" s="76" t="n">
        <x:v>0</x:v>
      </x:c>
      <x:c r="I196" s="76" t="n">
        <x:v>0</x:v>
      </x:c>
      <x:c r="J196" s="76" t="n">
        <x:v>37</x:v>
      </x:c>
      <x:c r="K196" s="76" t="n">
        <x:v>393</x:v>
      </x:c>
      <x:c r="L196" s="76" t="n">
        <x:v>1</x:v>
      </x:c>
      <x:c r="M196" s="76" t="n">
        <x:v>0</x:v>
      </x:c>
      <x:c r="N196" s="73" t="str">
        <x:v>https://www.thefantasyfootballers.com/2026-ultimate-draft-kit/udk-jasons-projections/?position=FLEX</x:v>
      </x:c>
    </x:row>
    <x:row r="197">
      <x:c r="A197" s="70" t="str">
        <x:v>Justice Hill</x:v>
      </x:c>
      <x:c r="B197" s="69" t="str">
        <x:v>RB</x:v>
      </x:c>
      <x:c r="C197" s="69" t="str">
        <x:v>BAL</x:v>
      </x:c>
      <x:c r="D197" s="74" t="n">
        <x:v>13</x:v>
      </x:c>
      <x:c r="E197" s="74" t="n">
        <x:v>192</x:v>
      </x:c>
      <x:c r="F197" s="75" t="n">
        <x:v>4.9</x:v>
      </x:c>
      <x:c r="G197" s="76" t="n">
        <x:v>35</x:v>
      </x:c>
      <x:c r="H197" s="76" t="n">
        <x:v>180</x:v>
      </x:c>
      <x:c r="I197" s="76" t="n">
        <x:v>1</x:v>
      </x:c>
      <x:c r="J197" s="76" t="n">
        <x:v>27</x:v>
      </x:c>
      <x:c r="K197" s="76" t="n">
        <x:v>219</x:v>
      </x:c>
      <x:c r="L197" s="76" t="n">
        <x:v>2</x:v>
      </x:c>
      <x:c r="M197" s="76" t="n">
        <x:v>0</x:v>
      </x:c>
      <x:c r="N197" s="73" t="str">
        <x:v>https://www.thefantasyfootballers.com/2026-ultimate-draft-kit/udk-jasons-projections/?position=FLEX</x:v>
      </x:c>
    </x:row>
    <x:row r="198">
      <x:c r="A198" s="70" t="str">
        <x:v>Tyrone Tracy Jr.</x:v>
      </x:c>
      <x:c r="B198" s="69" t="str">
        <x:v>RB</x:v>
      </x:c>
      <x:c r="C198" s="69" t="str">
        <x:v>NYG</x:v>
      </x:c>
      <x:c r="D198" s="74" t="n">
        <x:v>8</x:v>
      </x:c>
      <x:c r="E198" s="74" t="n">
        <x:v>193</x:v>
      </x:c>
      <x:c r="F198" s="75" t="n">
        <x:v>4.9</x:v>
      </x:c>
      <x:c r="G198" s="76" t="n">
        <x:v>75</x:v>
      </x:c>
      <x:c r="H198" s="76" t="n">
        <x:v>315</x:v>
      </x:c>
      <x:c r="I198" s="76" t="n">
        <x:v>4</x:v>
      </x:c>
      <x:c r="J198" s="76" t="n">
        <x:v>14</x:v>
      </x:c>
      <x:c r="K198" s="76" t="n">
        <x:v>109</x:v>
      </x:c>
      <x:c r="L198" s="76" t="n">
        <x:v>1</x:v>
      </x:c>
      <x:c r="M198" s="76" t="n">
        <x:v>2</x:v>
      </x:c>
      <x:c r="N198" s="73" t="str">
        <x:v>https://www.thefantasyfootballers.com/2026-ultimate-draft-kit/udk-jasons-projections/?position=FLEX</x:v>
      </x:c>
    </x:row>
    <x:row r="199">
      <x:c r="A199" s="70" t="str">
        <x:v>Eli Stowers</x:v>
      </x:c>
      <x:c r="B199" s="69" t="str">
        <x:v>TE</x:v>
      </x:c>
      <x:c r="C199" s="69" t="str">
        <x:v>PHI</x:v>
      </x:c>
      <x:c r="D199" s="74" t="n">
        <x:v>10</x:v>
      </x:c>
      <x:c r="E199" s="74" t="n">
        <x:v>194</x:v>
      </x:c>
      <x:c r="F199" s="75" t="n">
        <x:v>4.9</x:v>
      </x:c>
      <x:c r="G199" s="76" t="n">
        <x:v>0</x:v>
      </x:c>
      <x:c r="H199" s="76" t="n">
        <x:v>0</x:v>
      </x:c>
      <x:c r="I199" s="76" t="n">
        <x:v>0</x:v>
      </x:c>
      <x:c r="J199" s="76" t="n">
        <x:v>29</x:v>
      </x:c>
      <x:c r="K199" s="76" t="n">
        <x:v>360</x:v>
      </x:c>
      <x:c r="L199" s="76" t="n">
        <x:v>3</x:v>
      </x:c>
      <x:c r="M199" s="76" t="n">
        <x:v>0</x:v>
      </x:c>
      <x:c r="N199" s="73" t="str">
        <x:v>https://www.thefantasyfootballers.com/2026-ultimate-draft-kit/udk-jasons-projections/?position=FLEX</x:v>
      </x:c>
    </x:row>
    <x:row r="200">
      <x:c r="A200" s="70" t="str">
        <x:v>Tory Horton</x:v>
      </x:c>
      <x:c r="B200" s="69" t="str">
        <x:v>WR</x:v>
      </x:c>
      <x:c r="C200" s="69" t="str">
        <x:v>SEA</x:v>
      </x:c>
      <x:c r="D200" s="74" t="n">
        <x:v>11</x:v>
      </x:c>
      <x:c r="E200" s="74" t="n">
        <x:v>195</x:v>
      </x:c>
      <x:c r="F200" s="75" t="n">
        <x:v>4.9</x:v>
      </x:c>
      <x:c r="G200" s="76" t="n">
        <x:v>8</x:v>
      </x:c>
      <x:c r="H200" s="76" t="n">
        <x:v>35</x:v>
      </x:c>
      <x:c r="I200" s="76" t="n">
        <x:v>0</x:v>
      </x:c>
      <x:c r="J200" s="76" t="n">
        <x:v>29</x:v>
      </x:c>
      <x:c r="K200" s="76" t="n">
        <x:v>377</x:v>
      </x:c>
      <x:c r="L200" s="76" t="n">
        <x:v>2</x:v>
      </x:c>
      <x:c r="M200" s="76" t="n">
        <x:v>0</x:v>
      </x:c>
      <x:c r="N200" s="73" t="str">
        <x:v>https://www.thefantasyfootballers.com/2026-ultimate-draft-kit/udk-jasons-projections/?position=FLEX</x:v>
      </x:c>
    </x:row>
    <x:row r="201">
      <x:c r="A201" s="70" t="str">
        <x:v>AJ Barner</x:v>
      </x:c>
      <x:c r="B201" s="69" t="str">
        <x:v>TE</x:v>
      </x:c>
      <x:c r="C201" s="69" t="str">
        <x:v>SEA</x:v>
      </x:c>
      <x:c r="D201" s="74" t="n">
        <x:v>11</x:v>
      </x:c>
      <x:c r="E201" s="74" t="n">
        <x:v>196</x:v>
      </x:c>
      <x:c r="F201" s="75" t="n">
        <x:v>4.9</x:v>
      </x:c>
      <x:c r="G201" s="76" t="n">
        <x:v>0</x:v>
      </x:c>
      <x:c r="H201" s="76" t="n">
        <x:v>0</x:v>
      </x:c>
      <x:c r="I201" s="76" t="n">
        <x:v>0</x:v>
      </x:c>
      <x:c r="J201" s="76" t="n">
        <x:v>30</x:v>
      </x:c>
      <x:c r="K201" s="76" t="n">
        <x:v>285</x:v>
      </x:c>
      <x:c r="L201" s="76" t="n">
        <x:v>4</x:v>
      </x:c>
      <x:c r="M201" s="76" t="n">
        <x:v>0</x:v>
      </x:c>
      <x:c r="N201" s="73" t="str">
        <x:v>https://www.thefantasyfootballers.com/2026-ultimate-draft-kit/udk-jasons-projections/?position=FLEX</x:v>
      </x:c>
    </x:row>
    <x:row r="202">
      <x:c r="A202" s="70" t="str">
        <x:v>Tyquan Thornton</x:v>
      </x:c>
      <x:c r="B202" s="69" t="str">
        <x:v>WR</x:v>
      </x:c>
      <x:c r="C202" s="69" t="str">
        <x:v>KC</x:v>
      </x:c>
      <x:c r="D202" s="74" t="n">
        <x:v>5</x:v>
      </x:c>
      <x:c r="E202" s="74" t="n">
        <x:v>197</x:v>
      </x:c>
      <x:c r="F202" s="75" t="n">
        <x:v>4.9</x:v>
      </x:c>
      <x:c r="G202" s="76" t="n">
        <x:v>5</x:v>
      </x:c>
      <x:c r="H202" s="76" t="n">
        <x:v>25</x:v>
      </x:c>
      <x:c r="I202" s="76" t="n">
        <x:v>0</x:v>
      </x:c>
      <x:c r="J202" s="76" t="n">
        <x:v>20</x:v>
      </x:c>
      <x:c r="K202" s="76" t="n">
        <x:v>360</x:v>
      </x:c>
      <x:c r="L202" s="76" t="n">
        <x:v>4</x:v>
      </x:c>
      <x:c r="M202" s="76" t="n">
        <x:v>0</x:v>
      </x:c>
      <x:c r="N202" s="73" t="str">
        <x:v>https://www.thefantasyfootballers.com/2026-ultimate-draft-kit/udk-jasons-projections/?position=FLEX</x:v>
      </x:c>
    </x:row>
    <x:row r="203">
      <x:c r="A203" s="70" t="str">
        <x:v>Evan Engram</x:v>
      </x:c>
      <x:c r="B203" s="69" t="str">
        <x:v>TE</x:v>
      </x:c>
      <x:c r="C203" s="69" t="str">
        <x:v>DEN</x:v>
      </x:c>
      <x:c r="D203" s="74" t="n">
        <x:v>10</x:v>
      </x:c>
      <x:c r="E203" s="74" t="n">
        <x:v>198</x:v>
      </x:c>
      <x:c r="F203" s="75" t="n">
        <x:v>4.8</x:v>
      </x:c>
      <x:c r="G203" s="76" t="n">
        <x:v>0</x:v>
      </x:c>
      <x:c r="H203" s="76" t="n">
        <x:v>0</x:v>
      </x:c>
      <x:c r="I203" s="76" t="n">
        <x:v>0</x:v>
      </x:c>
      <x:c r="J203" s="76" t="n">
        <x:v>36</x:v>
      </x:c>
      <x:c r="K203" s="76" t="n">
        <x:v>333</x:v>
      </x:c>
      <x:c r="L203" s="76" t="n">
        <x:v>2</x:v>
      </x:c>
      <x:c r="M203" s="76" t="n">
        <x:v>0</x:v>
      </x:c>
      <x:c r="N203" s="73" t="str">
        <x:v>https://www.thefantasyfootballers.com/2026-ultimate-draft-kit/udk-jasons-projections/?position=FLEX</x:v>
      </x:c>
    </x:row>
    <x:row r="204">
      <x:c r="A204" s="70" t="str">
        <x:v>Kimani Vidal</x:v>
      </x:c>
      <x:c r="B204" s="69" t="str">
        <x:v>RB</x:v>
      </x:c>
      <x:c r="C204" s="69" t="str">
        <x:v>LAC</x:v>
      </x:c>
      <x:c r="D204" s="74" t="n">
        <x:v>7</x:v>
      </x:c>
      <x:c r="E204" s="74" t="n">
        <x:v>199</x:v>
      </x:c>
      <x:c r="F204" s="75" t="n">
        <x:v>4.8</x:v>
      </x:c>
      <x:c r="G204" s="76" t="n">
        <x:v>92</x:v>
      </x:c>
      <x:c r="H204" s="76" t="n">
        <x:v>405</x:v>
      </x:c>
      <x:c r="I204" s="76" t="n">
        <x:v>3</x:v>
      </x:c>
      <x:c r="J204" s="76" t="n">
        <x:v>12</x:v>
      </x:c>
      <x:c r="K204" s="76" t="n">
        <x:v>87</x:v>
      </x:c>
      <x:c r="L204" s="76" t="n">
        <x:v>1</x:v>
      </x:c>
      <x:c r="M204" s="76" t="n">
        <x:v>0</x:v>
      </x:c>
      <x:c r="N204" s="73" t="str">
        <x:v>https://www.thefantasyfootballers.com/2026-ultimate-draft-kit/udk-jasons-projections/?position=FLEX</x:v>
      </x:c>
    </x:row>
    <x:row r="205">
      <x:c r="A205" s="70" t="str">
        <x:v>Chris Brooks</x:v>
      </x:c>
      <x:c r="B205" s="69" t="str">
        <x:v>RB</x:v>
      </x:c>
      <x:c r="C205" s="69" t="str">
        <x:v>GB</x:v>
      </x:c>
      <x:c r="D205" s="74" t="n">
        <x:v>11</x:v>
      </x:c>
      <x:c r="E205" s="74" t="n">
        <x:v>200</x:v>
      </x:c>
      <x:c r="F205" s="75" t="n">
        <x:v>4.7</x:v>
      </x:c>
      <x:c r="G205" s="76" t="n">
        <x:v>80</x:v>
      </x:c>
      <x:c r="H205" s="76" t="n">
        <x:v>320</x:v>
      </x:c>
      <x:c r="I205" s="76" t="n">
        <x:v>3</x:v>
      </x:c>
      <x:c r="J205" s="76" t="n">
        <x:v>17</x:v>
      </x:c>
      <x:c r="K205" s="76" t="n">
        <x:v>125</x:v>
      </x:c>
      <x:c r="L205" s="76" t="n">
        <x:v>1</x:v>
      </x:c>
      <x:c r="M205" s="76" t="n">
        <x:v>1</x:v>
      </x:c>
      <x:c r="N205" s="73" t="str">
        <x:v>https://www.thefantasyfootballers.com/2026-ultimate-draft-kit/udk-jasons-projections/?position=FLEX</x:v>
      </x:c>
    </x:row>
    <x:row r="206">
      <x:c r="A206" s="70" t="str">
        <x:v>Kaleb Johnson</x:v>
      </x:c>
      <x:c r="B206" s="69" t="str">
        <x:v>RB</x:v>
      </x:c>
      <x:c r="C206" s="69" t="str">
        <x:v>GB</x:v>
      </x:c>
      <x:c r="D206" s="74" t="n">
        <x:v>11</x:v>
      </x:c>
      <x:c r="E206" s="74" t="n">
        <x:v>201</x:v>
      </x:c>
      <x:c r="F206" s="75" t="n">
        <x:v>4.7</x:v>
      </x:c>
      <x:c r="G206" s="76" t="n">
        <x:v>88</x:v>
      </x:c>
      <x:c r="H206" s="76" t="n">
        <x:v>374</x:v>
      </x:c>
      <x:c r="I206" s="76" t="n">
        <x:v>3</x:v>
      </x:c>
      <x:c r="J206" s="76" t="n">
        <x:v>10</x:v>
      </x:c>
      <x:c r="K206" s="76" t="n">
        <x:v>82</x:v>
      </x:c>
      <x:c r="L206" s="76" t="n">
        <x:v>1</x:v>
      </x:c>
      <x:c r="M206" s="76" t="n">
        <x:v>0</x:v>
      </x:c>
      <x:c r="N206" s="73" t="str">
        <x:v>https://www.thefantasyfootballers.com/2026-ultimate-draft-kit/udk-jasons-projections/?position=FLEX</x:v>
      </x:c>
    </x:row>
    <x:row r="207">
      <x:c r="A207" s="70" t="str">
        <x:v>Ja'Tavion Sanders</x:v>
      </x:c>
      <x:c r="B207" s="69" t="str">
        <x:v>TE</x:v>
      </x:c>
      <x:c r="C207" s="69" t="str">
        <x:v>CAR</x:v>
      </x:c>
      <x:c r="D207" s="74" t="n">
        <x:v>5</x:v>
      </x:c>
      <x:c r="E207" s="74" t="n">
        <x:v>202</x:v>
      </x:c>
      <x:c r="F207" s="75" t="n">
        <x:v>4.7</x:v>
      </x:c>
      <x:c r="G207" s="76" t="n">
        <x:v>0</x:v>
      </x:c>
      <x:c r="H207" s="76" t="n">
        <x:v>0</x:v>
      </x:c>
      <x:c r="I207" s="76" t="n">
        <x:v>0</x:v>
      </x:c>
      <x:c r="J207" s="76" t="n">
        <x:v>35</x:v>
      </x:c>
      <x:c r="K207" s="76" t="n">
        <x:v>357</x:v>
      </x:c>
      <x:c r="L207" s="76" t="n">
        <x:v>2</x:v>
      </x:c>
      <x:c r="M207" s="76" t="n">
        <x:v>0</x:v>
      </x:c>
      <x:c r="N207" s="73" t="str">
        <x:v>https://www.thefantasyfootballers.com/2026-ultimate-draft-kit/udk-jasons-projections/?position=FLEX</x:v>
      </x:c>
    </x:row>
    <x:row r="208">
      <x:c r="A208" s="70" t="str">
        <x:v>Dawson Knox</x:v>
      </x:c>
      <x:c r="B208" s="69" t="str">
        <x:v>TE</x:v>
      </x:c>
      <x:c r="C208" s="69" t="str">
        <x:v>BUF</x:v>
      </x:c>
      <x:c r="D208" s="74" t="n">
        <x:v>7</x:v>
      </x:c>
      <x:c r="E208" s="74" t="n">
        <x:v>203</x:v>
      </x:c>
      <x:c r="F208" s="75" t="n">
        <x:v>4.5</x:v>
      </x:c>
      <x:c r="G208" s="76" t="n">
        <x:v>0</x:v>
      </x:c>
      <x:c r="H208" s="76" t="n">
        <x:v>0</x:v>
      </x:c>
      <x:c r="I208" s="76" t="n">
        <x:v>0</x:v>
      </x:c>
      <x:c r="J208" s="76" t="n">
        <x:v>29</x:v>
      </x:c>
      <x:c r="K208" s="76" t="n">
        <x:v>330</x:v>
      </x:c>
      <x:c r="L208" s="76" t="n">
        <x:v>3</x:v>
      </x:c>
      <x:c r="M208" s="76" t="n">
        <x:v>0</x:v>
      </x:c>
      <x:c r="N208" s="73" t="str">
        <x:v>https://www.thefantasyfootballers.com/2026-ultimate-draft-kit/udk-jasons-projections/?position=FLEX</x:v>
      </x:c>
    </x:row>
    <x:row r="209">
      <x:c r="A209" s="70" t="str">
        <x:v>Tank Dell</x:v>
      </x:c>
      <x:c r="B209" s="69" t="str">
        <x:v>WR</x:v>
      </x:c>
      <x:c r="C209" s="69" t="str">
        <x:v>HOU</x:v>
      </x:c>
      <x:c r="D209" s="74" t="n">
        <x:v>8</x:v>
      </x:c>
      <x:c r="E209" s="74" t="n">
        <x:v>204</x:v>
      </x:c>
      <x:c r="F209" s="75" t="n">
        <x:v>4.5</x:v>
      </x:c>
      <x:c r="G209" s="76" t="n">
        <x:v>4</x:v>
      </x:c>
      <x:c r="H209" s="76" t="n">
        <x:v>20</x:v>
      </x:c>
      <x:c r="I209" s="76" t="n">
        <x:v>0</x:v>
      </x:c>
      <x:c r="J209" s="76" t="n">
        <x:v>20</x:v>
      </x:c>
      <x:c r="K209" s="76" t="n">
        <x:v>243</x:v>
      </x:c>
      <x:c r="L209" s="76" t="n">
        <x:v>5</x:v>
      </x:c>
      <x:c r="M209" s="76" t="n">
        <x:v>0</x:v>
      </x:c>
      <x:c r="N209" s="73" t="str">
        <x:v>https://www.thefantasyfootballers.com/2026-ultimate-draft-kit/udk-jasons-projections/?position=FLEX</x:v>
      </x:c>
    </x:row>
    <x:row r="210">
      <x:c r="A210" s="70" t="str">
        <x:v>Isaiah Davis</x:v>
      </x:c>
      <x:c r="B210" s="69" t="str">
        <x:v>RB</x:v>
      </x:c>
      <x:c r="C210" s="69" t="str">
        <x:v>NYJ</x:v>
      </x:c>
      <x:c r="D210" s="74" t="n">
        <x:v>13</x:v>
      </x:c>
      <x:c r="E210" s="74" t="n">
        <x:v>205</x:v>
      </x:c>
      <x:c r="F210" s="75" t="n">
        <x:v>4.4</x:v>
      </x:c>
      <x:c r="G210" s="76" t="n">
        <x:v>62</x:v>
      </x:c>
      <x:c r="H210" s="76" t="n">
        <x:v>285</x:v>
      </x:c>
      <x:c r="I210" s="76" t="n">
        <x:v>2</x:v>
      </x:c>
      <x:c r="J210" s="76" t="n">
        <x:v>20</x:v>
      </x:c>
      <x:c r="K210" s="76" t="n">
        <x:v>140</x:v>
      </x:c>
      <x:c r="L210" s="76" t="n">
        <x:v>0</x:v>
      </x:c>
      <x:c r="M210" s="76" t="n">
        <x:v>1</x:v>
      </x:c>
      <x:c r="N210" s="73" t="str">
        <x:v>https://www.thefantasyfootballers.com/2026-ultimate-draft-kit/udk-jasons-projections/?position=FLEX</x:v>
      </x:c>
    </x:row>
    <x:row r="211">
      <x:c r="A211" s="70" t="str">
        <x:v>Christian Kirk</x:v>
      </x:c>
      <x:c r="B211" s="69" t="str">
        <x:v>WR</x:v>
      </x:c>
      <x:c r="C211" s="69" t="str">
        <x:v>SF</x:v>
      </x:c>
      <x:c r="D211" s="74" t="n">
        <x:v>8</x:v>
      </x:c>
      <x:c r="E211" s="74" t="n">
        <x:v>206</x:v>
      </x:c>
      <x:c r="F211" s="75" t="n">
        <x:v>4.3</x:v>
      </x:c>
      <x:c r="G211" s="76" t="n">
        <x:v>3</x:v>
      </x:c>
      <x:c r="H211" s="76" t="n">
        <x:v>15</x:v>
      </x:c>
      <x:c r="I211" s="76" t="n">
        <x:v>0</x:v>
      </x:c>
      <x:c r="J211" s="76" t="n">
        <x:v>25</x:v>
      </x:c>
      <x:c r="K211" s="76" t="n">
        <x:v>280</x:v>
      </x:c>
      <x:c r="L211" s="76" t="n">
        <x:v>3</x:v>
      </x:c>
      <x:c r="M211" s="76" t="n">
        <x:v>0</x:v>
      </x:c>
      <x:c r="N211" s="73" t="str">
        <x:v>https://www.thefantasyfootballers.com/2026-ultimate-draft-kit/udk-jasons-projections/?position=FLEX</x:v>
      </x:c>
    </x:row>
    <x:row r="212">
      <x:c r="A212" s="70" t="str">
        <x:v>Elic Ayomanor</x:v>
      </x:c>
      <x:c r="B212" s="69" t="str">
        <x:v>WR</x:v>
      </x:c>
      <x:c r="C212" s="69" t="str">
        <x:v>TEN</x:v>
      </x:c>
      <x:c r="D212" s="74" t="n">
        <x:v>9</x:v>
      </x:c>
      <x:c r="E212" s="74" t="n">
        <x:v>207</x:v>
      </x:c>
      <x:c r="F212" s="75" t="n">
        <x:v>4.3</x:v>
      </x:c>
      <x:c r="G212" s="76" t="n">
        <x:v>0</x:v>
      </x:c>
      <x:c r="H212" s="76" t="n">
        <x:v>0</x:v>
      </x:c>
      <x:c r="I212" s="76" t="n">
        <x:v>0</x:v>
      </x:c>
      <x:c r="J212" s="76" t="n">
        <x:v>27</x:v>
      </x:c>
      <x:c r="K212" s="76" t="n">
        <x:v>348</x:v>
      </x:c>
      <x:c r="L212" s="76" t="n">
        <x:v>2</x:v>
      </x:c>
      <x:c r="M212" s="76" t="n">
        <x:v>0</x:v>
      </x:c>
      <x:c r="N212" s="73" t="str">
        <x:v>https://www.thefantasyfootballers.com/2026-ultimate-draft-kit/udk-jasons-projections/?position=FLEX</x:v>
      </x:c>
    </x:row>
    <x:row r="213">
      <x:c r="A213" s="70" t="str">
        <x:v>Trevor Etienne</x:v>
      </x:c>
      <x:c r="B213" s="69" t="str">
        <x:v>RB</x:v>
      </x:c>
      <x:c r="C213" s="69" t="str">
        <x:v>CAR</x:v>
      </x:c>
      <x:c r="D213" s="74" t="n">
        <x:v>5</x:v>
      </x:c>
      <x:c r="E213" s="74" t="n">
        <x:v>208</x:v>
      </x:c>
      <x:c r="F213" s="75" t="n">
        <x:v>4.3</x:v>
      </x:c>
      <x:c r="G213" s="76" t="n">
        <x:v>70</x:v>
      </x:c>
      <x:c r="H213" s="76" t="n">
        <x:v>320</x:v>
      </x:c>
      <x:c r="I213" s="76" t="n">
        <x:v>2</x:v>
      </x:c>
      <x:c r="J213" s="76" t="n">
        <x:v>15</x:v>
      </x:c>
      <x:c r="K213" s="76" t="n">
        <x:v>120</x:v>
      </x:c>
      <x:c r="L213" s="76" t="n">
        <x:v>1</x:v>
      </x:c>
      <x:c r="M213" s="76" t="n">
        <x:v>1</x:v>
      </x:c>
      <x:c r="N213" s="73" t="str">
        <x:v>https://www.thefantasyfootballers.com/2026-ultimate-draft-kit/udk-jasons-projections/?position=FLEX</x:v>
      </x:c>
    </x:row>
    <x:row r="214">
      <x:c r="A214" s="70" t="str">
        <x:v>James Conner</x:v>
      </x:c>
      <x:c r="B214" s="69" t="str">
        <x:v>RB</x:v>
      </x:c>
      <x:c r="C214" s="69" t="str">
        <x:v>ARI</x:v>
      </x:c>
      <x:c r="D214" s="74" t="n">
        <x:v>14</x:v>
      </x:c>
      <x:c r="E214" s="74" t="n">
        <x:v>209</x:v>
      </x:c>
      <x:c r="F214" s="75" t="n">
        <x:v>4.2</x:v>
      </x:c>
      <x:c r="G214" s="76" t="n">
        <x:v>65</x:v>
      </x:c>
      <x:c r="H214" s="76" t="n">
        <x:v>270</x:v>
      </x:c>
      <x:c r="I214" s="76" t="n">
        <x:v>2</x:v>
      </x:c>
      <x:c r="J214" s="76" t="n">
        <x:v>15</x:v>
      </x:c>
      <x:c r="K214" s="76" t="n">
        <x:v>112</x:v>
      </x:c>
      <x:c r="L214" s="76" t="n">
        <x:v>1</x:v>
      </x:c>
      <x:c r="M214" s="76" t="n">
        <x:v>0</x:v>
      </x:c>
      <x:c r="N214" s="73" t="str">
        <x:v>https://www.thefantasyfootballers.com/2026-ultimate-draft-kit/udk-jasons-projections/?position=FLEX</x:v>
      </x:c>
    </x:row>
    <x:row r="215">
      <x:c r="A215" s="70" t="str">
        <x:v>Darius Slayton</x:v>
      </x:c>
      <x:c r="B215" s="69" t="str">
        <x:v>WR</x:v>
      </x:c>
      <x:c r="C215" s="69" t="str">
        <x:v>NYG</x:v>
      </x:c>
      <x:c r="D215" s="74" t="n">
        <x:v>8</x:v>
      </x:c>
      <x:c r="E215" s="74" t="n">
        <x:v>210</x:v>
      </x:c>
      <x:c r="F215" s="75" t="n">
        <x:v>4.1</x:v>
      </x:c>
      <x:c r="G215" s="76" t="n">
        <x:v>0</x:v>
      </x:c>
      <x:c r="H215" s="76" t="n">
        <x:v>0</x:v>
      </x:c>
      <x:c r="I215" s="76" t="n">
        <x:v>0</x:v>
      </x:c>
      <x:c r="J215" s="76" t="n">
        <x:v>23</x:v>
      </x:c>
      <x:c r="K215" s="76" t="n">
        <x:v>345</x:v>
      </x:c>
      <x:c r="L215" s="76" t="n">
        <x:v>2</x:v>
      </x:c>
      <x:c r="M215" s="76" t="n">
        <x:v>0</x:v>
      </x:c>
      <x:c r="N215" s="73" t="str">
        <x:v>https://www.thefantasyfootballers.com/2026-ultimate-draft-kit/udk-jasons-projections/?position=FLEX</x:v>
      </x:c>
    </x:row>
    <x:row r="216">
      <x:c r="A216" s="70" t="str">
        <x:v>Luke Musgrave</x:v>
      </x:c>
      <x:c r="B216" s="69" t="str">
        <x:v>TE</x:v>
      </x:c>
      <x:c r="C216" s="69" t="str">
        <x:v>GB</x:v>
      </x:c>
      <x:c r="D216" s="74" t="n">
        <x:v>11</x:v>
      </x:c>
      <x:c r="E216" s="74" t="n">
        <x:v>211</x:v>
      </x:c>
      <x:c r="F216" s="75" t="n">
        <x:v>4.1</x:v>
      </x:c>
      <x:c r="G216" s="76" t="n">
        <x:v>0</x:v>
      </x:c>
      <x:c r="H216" s="76" t="n">
        <x:v>0</x:v>
      </x:c>
      <x:c r="I216" s="76" t="n">
        <x:v>0</x:v>
      </x:c>
      <x:c r="J216" s="76" t="n">
        <x:v>26</x:v>
      </x:c>
      <x:c r="K216" s="76" t="n">
        <x:v>285</x:v>
      </x:c>
      <x:c r="L216" s="76" t="n">
        <x:v>3</x:v>
      </x:c>
      <x:c r="M216" s="76" t="n">
        <x:v>0</x:v>
      </x:c>
      <x:c r="N216" s="73" t="str">
        <x:v>https://www.thefantasyfootballers.com/2026-ultimate-draft-kit/udk-jasons-projections/?position=FLEX</x:v>
      </x:c>
    </x:row>
    <x:row r="217">
      <x:c r="A217" s="70" t="str">
        <x:v>Xavier Legette</x:v>
      </x:c>
      <x:c r="B217" s="69" t="str">
        <x:v>WR</x:v>
      </x:c>
      <x:c r="C217" s="69" t="str">
        <x:v>CAR</x:v>
      </x:c>
      <x:c r="D217" s="74" t="n">
        <x:v>5</x:v>
      </x:c>
      <x:c r="E217" s="74" t="n">
        <x:v>212</x:v>
      </x:c>
      <x:c r="F217" s="75" t="n">
        <x:v>4</x:v>
      </x:c>
      <x:c r="G217" s="76" t="n">
        <x:v>2</x:v>
      </x:c>
      <x:c r="H217" s="76" t="n">
        <x:v>8</x:v>
      </x:c>
      <x:c r="I217" s="76" t="n">
        <x:v>0</x:v>
      </x:c>
      <x:c r="J217" s="76" t="n">
        <x:v>28</x:v>
      </x:c>
      <x:c r="K217" s="76" t="n">
        <x:v>300</x:v>
      </x:c>
      <x:c r="L217" s="76" t="n">
        <x:v>2</x:v>
      </x:c>
      <x:c r="M217" s="76" t="n">
        <x:v>1</x:v>
      </x:c>
      <x:c r="N217" s="73" t="str">
        <x:v>https://www.thefantasyfootballers.com/2026-ultimate-draft-kit/udk-jasons-projections/?position=FLEX</x:v>
      </x:c>
    </x:row>
    <x:row r="218">
      <x:c r="A218" s="70" t="str">
        <x:v>Mason Taylor</x:v>
      </x:c>
      <x:c r="B218" s="69" t="str">
        <x:v>TE</x:v>
      </x:c>
      <x:c r="C218" s="69" t="str">
        <x:v>NYJ</x:v>
      </x:c>
      <x:c r="D218" s="74" t="n">
        <x:v>13</x:v>
      </x:c>
      <x:c r="E218" s="74" t="n">
        <x:v>213</x:v>
      </x:c>
      <x:c r="F218" s="75" t="n">
        <x:v>4</x:v>
      </x:c>
      <x:c r="G218" s="76" t="n">
        <x:v>0</x:v>
      </x:c>
      <x:c r="H218" s="76" t="n">
        <x:v>0</x:v>
      </x:c>
      <x:c r="I218" s="76" t="n">
        <x:v>0</x:v>
      </x:c>
      <x:c r="J218" s="76" t="n">
        <x:v>29</x:v>
      </x:c>
      <x:c r="K218" s="76" t="n">
        <x:v>244</x:v>
      </x:c>
      <x:c r="L218" s="76" t="n">
        <x:v>2</x:v>
      </x:c>
      <x:c r="M218" s="76" t="n">
        <x:v>0</x:v>
      </x:c>
      <x:c r="N218" s="73" t="str">
        <x:v>https://www.thefantasyfootballers.com/2026-ultimate-draft-kit/udk-jasons-projections/?position=FLEX</x:v>
      </x:c>
    </x:row>
    <x:row r="219">
      <x:c r="A219" s="70" t="str">
        <x:v>Jerome Ford</x:v>
      </x:c>
      <x:c r="B219" s="69" t="str">
        <x:v>RB</x:v>
      </x:c>
      <x:c r="C219" s="69" t="str">
        <x:v>FA</x:v>
      </x:c>
      <x:c r="D219" s="74"/>
      <x:c r="E219" s="74" t="n">
        <x:v>214</x:v>
      </x:c>
      <x:c r="F219" s="75" t="n">
        <x:v>3.9</x:v>
      </x:c>
      <x:c r="G219" s="76" t="n">
        <x:v>66</x:v>
      </x:c>
      <x:c r="H219" s="76" t="n">
        <x:v>304</x:v>
      </x:c>
      <x:c r="I219" s="76" t="n">
        <x:v>3</x:v>
      </x:c>
      <x:c r="J219" s="76" t="n">
        <x:v>12</x:v>
      </x:c>
      <x:c r="K219" s="76" t="n">
        <x:v>95</x:v>
      </x:c>
      <x:c r="L219" s="76" t="n">
        <x:v>0</x:v>
      </x:c>
      <x:c r="M219" s="76" t="n">
        <x:v>1</x:v>
      </x:c>
      <x:c r="N219" s="73" t="str">
        <x:v>https://www.thefantasyfootballers.com/2026-ultimate-draft-kit/udk-jasons-projections/?position=FLEX</x:v>
      </x:c>
    </x:row>
    <x:row r="220">
      <x:c r="A220" s="70" t="str">
        <x:v>Demond Claiborne</x:v>
      </x:c>
      <x:c r="B220" s="69" t="str">
        <x:v>RB</x:v>
      </x:c>
      <x:c r="C220" s="69" t="str">
        <x:v>MIN</x:v>
      </x:c>
      <x:c r="D220" s="74" t="n">
        <x:v>6</x:v>
      </x:c>
      <x:c r="E220" s="74" t="n">
        <x:v>215</x:v>
      </x:c>
      <x:c r="F220" s="75" t="n">
        <x:v>3.9</x:v>
      </x:c>
      <x:c r="G220" s="76" t="n">
        <x:v>69</x:v>
      </x:c>
      <x:c r="H220" s="76" t="n">
        <x:v>359</x:v>
      </x:c>
      <x:c r="I220" s="76" t="n">
        <x:v>2</x:v>
      </x:c>
      <x:c r="J220" s="76" t="n">
        <x:v>11</x:v>
      </x:c>
      <x:c r="K220" s="76" t="n">
        <x:v>88</x:v>
      </x:c>
      <x:c r="L220" s="76" t="n">
        <x:v>0</x:v>
      </x:c>
      <x:c r="M220" s="76" t="n">
        <x:v>1</x:v>
      </x:c>
      <x:c r="N220" s="73" t="str">
        <x:v>https://www.thefantasyfootballers.com/2026-ultimate-draft-kit/udk-jasons-projections/?position=FLEX</x:v>
      </x:c>
    </x:row>
    <x:row r="221">
      <x:c r="A221" s="70" t="str">
        <x:v>Jalen McMillan</x:v>
      </x:c>
      <x:c r="B221" s="69" t="str">
        <x:v>WR</x:v>
      </x:c>
      <x:c r="C221" s="69" t="str">
        <x:v>TB</x:v>
      </x:c>
      <x:c r="D221" s="74" t="n">
        <x:v>10</x:v>
      </x:c>
      <x:c r="E221" s="74" t="n">
        <x:v>216</x:v>
      </x:c>
      <x:c r="F221" s="75" t="n">
        <x:v>3.9</x:v>
      </x:c>
      <x:c r="G221" s="76" t="n">
        <x:v>2</x:v>
      </x:c>
      <x:c r="H221" s="76" t="n">
        <x:v>15</x:v>
      </x:c>
      <x:c r="I221" s="76" t="n">
        <x:v>0</x:v>
      </x:c>
      <x:c r="J221" s="76" t="n">
        <x:v>20</x:v>
      </x:c>
      <x:c r="K221" s="76" t="n">
        <x:v>270</x:v>
      </x:c>
      <x:c r="L221" s="76" t="n">
        <x:v>3</x:v>
      </x:c>
      <x:c r="M221" s="76" t="n">
        <x:v>0</x:v>
      </x:c>
      <x:c r="N221" s="73" t="str">
        <x:v>https://www.thefantasyfootballers.com/2026-ultimate-draft-kit/udk-jasons-projections/?position=FLEX</x:v>
      </x:c>
    </x:row>
    <x:row r="222">
      <x:c r="A222" s="70" t="str">
        <x:v>Jalen Tolbert</x:v>
      </x:c>
      <x:c r="B222" s="69" t="str">
        <x:v>WR</x:v>
      </x:c>
      <x:c r="C222" s="69" t="str">
        <x:v>MIA</x:v>
      </x:c>
      <x:c r="D222" s="74" t="n">
        <x:v>6</x:v>
      </x:c>
      <x:c r="E222" s="74" t="n">
        <x:v>217</x:v>
      </x:c>
      <x:c r="F222" s="75" t="n">
        <x:v>3.8</x:v>
      </x:c>
      <x:c r="G222" s="76" t="n">
        <x:v>0</x:v>
      </x:c>
      <x:c r="H222" s="76" t="n">
        <x:v>0</x:v>
      </x:c>
      <x:c r="I222" s="76" t="n">
        <x:v>0</x:v>
      </x:c>
      <x:c r="J222" s="76" t="n">
        <x:v>24</x:v>
      </x:c>
      <x:c r="K222" s="76" t="n">
        <x:v>296</x:v>
      </x:c>
      <x:c r="L222" s="76" t="n">
        <x:v>2</x:v>
      </x:c>
      <x:c r="M222" s="76" t="n">
        <x:v>0</x:v>
      </x:c>
      <x:c r="N222" s="73" t="str">
        <x:v>https://www.thefantasyfootballers.com/2026-ultimate-draft-kit/udk-jasons-projections/?position=FLEX</x:v>
      </x:c>
    </x:row>
    <x:row r="223">
      <x:c r="A223" s="70" t="str">
        <x:v>LeQuint Allen Jr.</x:v>
      </x:c>
      <x:c r="B223" s="69" t="str">
        <x:v>RB</x:v>
      </x:c>
      <x:c r="C223" s="69" t="str">
        <x:v>JAX</x:v>
      </x:c>
      <x:c r="D223" s="74" t="n">
        <x:v>7</x:v>
      </x:c>
      <x:c r="E223" s="74" t="n">
        <x:v>218</x:v>
      </x:c>
      <x:c r="F223" s="75" t="n">
        <x:v>3.8</x:v>
      </x:c>
      <x:c r="G223" s="76" t="n">
        <x:v>48</x:v>
      </x:c>
      <x:c r="H223" s="76" t="n">
        <x:v>190</x:v>
      </x:c>
      <x:c r="I223" s="76" t="n">
        <x:v>1</x:v>
      </x:c>
      <x:c r="J223" s="76" t="n">
        <x:v>22</x:v>
      </x:c>
      <x:c r="K223" s="76" t="n">
        <x:v>167</x:v>
      </x:c>
      <x:c r="L223" s="76" t="n">
        <x:v>1</x:v>
      </x:c>
      <x:c r="M223" s="76" t="n">
        <x:v>1</x:v>
      </x:c>
      <x:c r="N223" s="73" t="str">
        <x:v>https://www.thefantasyfootballers.com/2026-ultimate-draft-kit/udk-jasons-projections/?position=FLEX</x:v>
      </x:c>
    </x:row>
    <x:row r="224">
      <x:c r="A224" s="70" t="str">
        <x:v>Jaylen Wright</x:v>
      </x:c>
      <x:c r="B224" s="69" t="str">
        <x:v>RB</x:v>
      </x:c>
      <x:c r="C224" s="69" t="str">
        <x:v>MIA</x:v>
      </x:c>
      <x:c r="D224" s="74" t="n">
        <x:v>6</x:v>
      </x:c>
      <x:c r="E224" s="74" t="n">
        <x:v>219</x:v>
      </x:c>
      <x:c r="F224" s="75" t="n">
        <x:v>3.7</x:v>
      </x:c>
      <x:c r="G224" s="76" t="n">
        <x:v>85</x:v>
      </x:c>
      <x:c r="H224" s="76" t="n">
        <x:v>360</x:v>
      </x:c>
      <x:c r="I224" s="76" t="n">
        <x:v>3</x:v>
      </x:c>
      <x:c r="J224" s="76" t="n">
        <x:v>8</x:v>
      </x:c>
      <x:c r="K224" s="76" t="n">
        <x:v>60</x:v>
      </x:c>
      <x:c r="L224" s="76" t="n">
        <x:v>0</x:v>
      </x:c>
      <x:c r="M224" s="76" t="n">
        <x:v>1</x:v>
      </x:c>
      <x:c r="N224" s="73" t="str">
        <x:v>https://www.thefantasyfootballers.com/2026-ultimate-draft-kit/udk-jasons-projections/?position=FLEX</x:v>
      </x:c>
    </x:row>
    <x:row r="225">
      <x:c r="A225" s="70" t="str">
        <x:v>Michael Mayer</x:v>
      </x:c>
      <x:c r="B225" s="69" t="str">
        <x:v>TE</x:v>
      </x:c>
      <x:c r="C225" s="69" t="str">
        <x:v>LV</x:v>
      </x:c>
      <x:c r="D225" s="74" t="n">
        <x:v>13</x:v>
      </x:c>
      <x:c r="E225" s="74" t="n">
        <x:v>220</x:v>
      </x:c>
      <x:c r="F225" s="75" t="n">
        <x:v>3.7</x:v>
      </x:c>
      <x:c r="G225" s="76" t="n">
        <x:v>0</x:v>
      </x:c>
      <x:c r="H225" s="76" t="n">
        <x:v>0</x:v>
      </x:c>
      <x:c r="I225" s="76" t="n">
        <x:v>0</x:v>
      </x:c>
      <x:c r="J225" s="76" t="n">
        <x:v>21</x:v>
      </x:c>
      <x:c r="K225" s="76" t="n">
        <x:v>298</x:v>
      </x:c>
      <x:c r="L225" s="76" t="n">
        <x:v>2</x:v>
      </x:c>
      <x:c r="M225" s="76" t="n">
        <x:v>0</x:v>
      </x:c>
      <x:c r="N225" s="73" t="str">
        <x:v>https://www.thefantasyfootballers.com/2026-ultimate-draft-kit/udk-jasons-projections/?position=FLEX</x:v>
      </x:c>
    </x:row>
    <x:row r="226">
      <x:c r="A226" s="70" t="str">
        <x:v>Braelon Allen</x:v>
      </x:c>
      <x:c r="B226" s="69" t="str">
        <x:v>RB</x:v>
      </x:c>
      <x:c r="C226" s="69" t="str">
        <x:v>NYJ</x:v>
      </x:c>
      <x:c r="D226" s="74" t="n">
        <x:v>13</x:v>
      </x:c>
      <x:c r="E226" s="74" t="n">
        <x:v>221</x:v>
      </x:c>
      <x:c r="F226" s="75" t="n">
        <x:v>3.6</x:v>
      </x:c>
      <x:c r="G226" s="76" t="n">
        <x:v>76</x:v>
      </x:c>
      <x:c r="H226" s="76" t="n">
        <x:v>334</x:v>
      </x:c>
      <x:c r="I226" s="76" t="n">
        <x:v>3</x:v>
      </x:c>
      <x:c r="J226" s="76" t="n">
        <x:v>6</x:v>
      </x:c>
      <x:c r="K226" s="76" t="n">
        <x:v>39</x:v>
      </x:c>
      <x:c r="L226" s="76" t="n">
        <x:v>0</x:v>
      </x:c>
      <x:c r="M226" s="76" t="n">
        <x:v>1</x:v>
      </x:c>
      <x:c r="N226" s="73" t="str">
        <x:v>https://www.thefantasyfootballers.com/2026-ultimate-draft-kit/udk-jasons-projections/?position=FLEX</x:v>
      </x:c>
    </x:row>
    <x:row r="227">
      <x:c r="A227" s="70" t="str">
        <x:v>Ray Davis</x:v>
      </x:c>
      <x:c r="B227" s="69" t="str">
        <x:v>RB</x:v>
      </x:c>
      <x:c r="C227" s="69" t="str">
        <x:v>BUF</x:v>
      </x:c>
      <x:c r="D227" s="74" t="n">
        <x:v>7</x:v>
      </x:c>
      <x:c r="E227" s="74" t="n">
        <x:v>222</x:v>
      </x:c>
      <x:c r="F227" s="75" t="n">
        <x:v>3.6</x:v>
      </x:c>
      <x:c r="G227" s="76" t="n">
        <x:v>70</x:v>
      </x:c>
      <x:c r="H227" s="76" t="n">
        <x:v>315</x:v>
      </x:c>
      <x:c r="I227" s="76" t="n">
        <x:v>2</x:v>
      </x:c>
      <x:c r="J227" s="76" t="n">
        <x:v>9</x:v>
      </x:c>
      <x:c r="K227" s="76" t="n">
        <x:v>70</x:v>
      </x:c>
      <x:c r="L227" s="76" t="n">
        <x:v>1</x:v>
      </x:c>
      <x:c r="M227" s="76" t="n">
        <x:v>1</x:v>
      </x:c>
      <x:c r="N227" s="73" t="str">
        <x:v>https://www.thefantasyfootballers.com/2026-ultimate-draft-kit/udk-jasons-projections/?position=FLEX</x:v>
      </x:c>
    </x:row>
    <x:row r="228">
      <x:c r="A228" s="70" t="str">
        <x:v>Darnell Washington</x:v>
      </x:c>
      <x:c r="B228" s="69" t="str">
        <x:v>TE</x:v>
      </x:c>
      <x:c r="C228" s="69" t="str">
        <x:v>PIT</x:v>
      </x:c>
      <x:c r="D228" s="74" t="n">
        <x:v>9</x:v>
      </x:c>
      <x:c r="E228" s="74" t="n">
        <x:v>223</x:v>
      </x:c>
      <x:c r="F228" s="75" t="n">
        <x:v>3.4</x:v>
      </x:c>
      <x:c r="G228" s="76" t="n">
        <x:v>0</x:v>
      </x:c>
      <x:c r="H228" s="76" t="n">
        <x:v>0</x:v>
      </x:c>
      <x:c r="I228" s="76" t="n">
        <x:v>0</x:v>
      </x:c>
      <x:c r="J228" s="76" t="n">
        <x:v>22</x:v>
      </x:c>
      <x:c r="K228" s="76" t="n">
        <x:v>217</x:v>
      </x:c>
      <x:c r="L228" s="76" t="n">
        <x:v>2</x:v>
      </x:c>
      <x:c r="M228" s="76" t="n">
        <x:v>0</x:v>
      </x:c>
      <x:c r="N228" s="73" t="str">
        <x:v>https://www.thefantasyfootballers.com/2026-ultimate-draft-kit/udk-jasons-projections/?position=FLEX</x:v>
      </x:c>
    </x:row>
    <x:row r="229">
      <x:c r="A229" s="70" t="str">
        <x:v>Brashard Smith</x:v>
      </x:c>
      <x:c r="B229" s="69" t="str">
        <x:v>RB</x:v>
      </x:c>
      <x:c r="C229" s="69" t="str">
        <x:v>KC</x:v>
      </x:c>
      <x:c r="D229" s="74" t="n">
        <x:v>5</x:v>
      </x:c>
      <x:c r="E229" s="74" t="n">
        <x:v>224</x:v>
      </x:c>
      <x:c r="F229" s="75" t="n">
        <x:v>3.3</x:v>
      </x:c>
      <x:c r="G229" s="76" t="n">
        <x:v>37</x:v>
      </x:c>
      <x:c r="H229" s="76" t="n">
        <x:v>135</x:v>
      </x:c>
      <x:c r="I229" s="76" t="n">
        <x:v>1</x:v>
      </x:c>
      <x:c r="J229" s="76" t="n">
        <x:v>20</x:v>
      </x:c>
      <x:c r="K229" s="76" t="n">
        <x:v>155</x:v>
      </x:c>
      <x:c r="L229" s="76" t="n">
        <x:v>1</x:v>
      </x:c>
      <x:c r="M229" s="76" t="n">
        <x:v>1</x:v>
      </x:c>
      <x:c r="N229" s="73" t="str">
        <x:v>https://www.thefantasyfootballers.com/2026-ultimate-draft-kit/udk-jasons-projections/?position=FLEX</x:v>
      </x:c>
    </x:row>
    <x:row r="230">
      <x:c r="A230" s="70" t="str">
        <x:v>Ben Sinnott</x:v>
      </x:c>
      <x:c r="B230" s="69" t="str">
        <x:v>TE</x:v>
      </x:c>
      <x:c r="C230" s="69" t="str">
        <x:v>WAS</x:v>
      </x:c>
      <x:c r="D230" s="74" t="n">
        <x:v>7</x:v>
      </x:c>
      <x:c r="E230" s="74" t="n">
        <x:v>225</x:v>
      </x:c>
      <x:c r="F230" s="75" t="n">
        <x:v>3.3</x:v>
      </x:c>
      <x:c r="G230" s="76" t="n">
        <x:v>0</x:v>
      </x:c>
      <x:c r="H230" s="76" t="n">
        <x:v>0</x:v>
      </x:c>
      <x:c r="I230" s="76" t="n">
        <x:v>0</x:v>
      </x:c>
      <x:c r="J230" s="76" t="n">
        <x:v>18</x:v>
      </x:c>
      <x:c r="K230" s="76" t="n">
        <x:v>240</x:v>
      </x:c>
      <x:c r="L230" s="76" t="n">
        <x:v>2</x:v>
      </x:c>
      <x:c r="M230" s="76" t="n">
        <x:v>0</x:v>
      </x:c>
      <x:c r="N230" s="73" t="str">
        <x:v>https://www.thefantasyfootballers.com/2026-ultimate-draft-kit/udk-jasons-projections/?position=FLEX</x:v>
      </x:c>
    </x:row>
    <x:row r="231">
      <x:c r="A231" s="70" t="str">
        <x:v>DJ Giddens</x:v>
      </x:c>
      <x:c r="B231" s="69" t="str">
        <x:v>RB</x:v>
      </x:c>
      <x:c r="C231" s="69" t="str">
        <x:v>IND</x:v>
      </x:c>
      <x:c r="D231" s="74" t="n">
        <x:v>13</x:v>
      </x:c>
      <x:c r="E231" s="74" t="n">
        <x:v>226</x:v>
      </x:c>
      <x:c r="F231" s="75" t="n">
        <x:v>3.3</x:v>
      </x:c>
      <x:c r="G231" s="76" t="n">
        <x:v>55</x:v>
      </x:c>
      <x:c r="H231" s="76" t="n">
        <x:v>215</x:v>
      </x:c>
      <x:c r="I231" s="76" t="n">
        <x:v>2</x:v>
      </x:c>
      <x:c r="J231" s="76" t="n">
        <x:v>13</x:v>
      </x:c>
      <x:c r="K231" s="76" t="n">
        <x:v>100</x:v>
      </x:c>
      <x:c r="L231" s="76" t="n">
        <x:v>1</x:v>
      </x:c>
      <x:c r="M231" s="76" t="n">
        <x:v>1</x:v>
      </x:c>
      <x:c r="N231" s="73" t="str">
        <x:v>https://www.thefantasyfootballers.com/2026-ultimate-draft-kit/udk-jasons-projections/?position=FLEX</x:v>
      </x:c>
    </x:row>
    <x:row r="232">
      <x:c r="A232" s="70" t="str">
        <x:v>Max Klare</x:v>
      </x:c>
      <x:c r="B232" s="69" t="str">
        <x:v>TE</x:v>
      </x:c>
      <x:c r="C232" s="69" t="str">
        <x:v>LAR</x:v>
      </x:c>
      <x:c r="D232" s="74" t="n">
        <x:v>11</x:v>
      </x:c>
      <x:c r="E232" s="74" t="n">
        <x:v>227</x:v>
      </x:c>
      <x:c r="F232" s="75" t="n">
        <x:v>3.2</x:v>
      </x:c>
      <x:c r="G232" s="76" t="n">
        <x:v>0</x:v>
      </x:c>
      <x:c r="H232" s="76" t="n">
        <x:v>0</x:v>
      </x:c>
      <x:c r="I232" s="76" t="n">
        <x:v>0</x:v>
      </x:c>
      <x:c r="J232" s="76" t="n">
        <x:v>22</x:v>
      </x:c>
      <x:c r="K232" s="76" t="n">
        <x:v>270</x:v>
      </x:c>
      <x:c r="L232" s="76" t="n">
        <x:v>1</x:v>
      </x:c>
      <x:c r="M232" s="76" t="n">
        <x:v>0</x:v>
      </x:c>
      <x:c r="N232" s="73" t="str">
        <x:v>https://www.thefantasyfootballers.com/2026-ultimate-draft-kit/udk-jasons-projections/?position=FLEX</x:v>
      </x:c>
    </x:row>
    <x:row r="233">
      <x:c r="A233" s="70" t="str">
        <x:v>Chimere Dike</x:v>
      </x:c>
      <x:c r="B233" s="69" t="str">
        <x:v>WR</x:v>
      </x:c>
      <x:c r="C233" s="69" t="str">
        <x:v>TEN</x:v>
      </x:c>
      <x:c r="D233" s="74" t="n">
        <x:v>9</x:v>
      </x:c>
      <x:c r="E233" s="74" t="n">
        <x:v>228</x:v>
      </x:c>
      <x:c r="F233" s="75" t="n">
        <x:v>3.2</x:v>
      </x:c>
      <x:c r="G233" s="76" t="n">
        <x:v>8</x:v>
      </x:c>
      <x:c r="H233" s="76" t="n">
        <x:v>24</x:v>
      </x:c>
      <x:c r="I233" s="76" t="n">
        <x:v>0</x:v>
      </x:c>
      <x:c r="J233" s="76" t="n">
        <x:v>23</x:v>
      </x:c>
      <x:c r="K233" s="76" t="n">
        <x:v>216</x:v>
      </x:c>
      <x:c r="L233" s="76" t="n">
        <x:v>1</x:v>
      </x:c>
      <x:c r="M233" s="76" t="n">
        <x:v>0</x:v>
      </x:c>
      <x:c r="N233" s="73" t="str">
        <x:v>https://www.thefantasyfootballers.com/2026-ultimate-draft-kit/udk-jasons-projections/?position=FLEX</x:v>
      </x:c>
    </x:row>
    <x:row r="234">
      <x:c r="A234" s="70" t="str">
        <x:v>Kaelon Black</x:v>
      </x:c>
      <x:c r="B234" s="69" t="str">
        <x:v>RB</x:v>
      </x:c>
      <x:c r="C234" s="69" t="str">
        <x:v>SF</x:v>
      </x:c>
      <x:c r="D234" s="74" t="n">
        <x:v>8</x:v>
      </x:c>
      <x:c r="E234" s="74" t="n">
        <x:v>229</x:v>
      </x:c>
      <x:c r="F234" s="75" t="n">
        <x:v>3.2</x:v>
      </x:c>
      <x:c r="G234" s="76" t="n">
        <x:v>65</x:v>
      </x:c>
      <x:c r="H234" s="76" t="n">
        <x:v>285</x:v>
      </x:c>
      <x:c r="I234" s="76" t="n">
        <x:v>3</x:v>
      </x:c>
      <x:c r="J234" s="76" t="n">
        <x:v>4</x:v>
      </x:c>
      <x:c r="K234" s="76" t="n">
        <x:v>26</x:v>
      </x:c>
      <x:c r="L234" s="76" t="n">
        <x:v>0</x:v>
      </x:c>
      <x:c r="M234" s="76" t="n">
        <x:v>0</x:v>
      </x:c>
      <x:c r="N234" s="73" t="str">
        <x:v>https://www.thefantasyfootballers.com/2026-ultimate-draft-kit/udk-jasons-projections/?position=FLEX</x:v>
      </x:c>
    </x:row>
    <x:row r="235">
      <x:c r="A235" s="70" t="str">
        <x:v>Jordan Whittington</x:v>
      </x:c>
      <x:c r="B235" s="69" t="str">
        <x:v>WR</x:v>
      </x:c>
      <x:c r="C235" s="69" t="str">
        <x:v>LAR</x:v>
      </x:c>
      <x:c r="D235" s="74" t="n">
        <x:v>11</x:v>
      </x:c>
      <x:c r="E235" s="74" t="n">
        <x:v>230</x:v>
      </x:c>
      <x:c r="F235" s="75" t="n">
        <x:v>3.1</x:v>
      </x:c>
      <x:c r="G235" s="76" t="n">
        <x:v>3</x:v>
      </x:c>
      <x:c r="H235" s="76" t="n">
        <x:v>15</x:v>
      </x:c>
      <x:c r="I235" s="76" t="n">
        <x:v>0</x:v>
      </x:c>
      <x:c r="J235" s="76" t="n">
        <x:v>23</x:v>
      </x:c>
      <x:c r="K235" s="76" t="n">
        <x:v>220</x:v>
      </x:c>
      <x:c r="L235" s="76" t="n">
        <x:v>1</x:v>
      </x:c>
      <x:c r="M235" s="76" t="n">
        <x:v>0</x:v>
      </x:c>
      <x:c r="N235" s="73" t="str">
        <x:v>https://www.thefantasyfootballers.com/2026-ultimate-draft-kit/udk-jasons-projections/?position=FLEX</x:v>
      </x:c>
    </x:row>
    <x:row r="236">
      <x:c r="A236" s="70" t="str">
        <x:v>Noah Fant</x:v>
      </x:c>
      <x:c r="B236" s="69" t="str">
        <x:v>TE</x:v>
      </x:c>
      <x:c r="C236" s="69" t="str">
        <x:v>NO</x:v>
      </x:c>
      <x:c r="D236" s="74" t="n">
        <x:v>8</x:v>
      </x:c>
      <x:c r="E236" s="74" t="n">
        <x:v>231</x:v>
      </x:c>
      <x:c r="F236" s="75" t="n">
        <x:v>3.1</x:v>
      </x:c>
      <x:c r="G236" s="76" t="n">
        <x:v>0</x:v>
      </x:c>
      <x:c r="H236" s="76" t="n">
        <x:v>0</x:v>
      </x:c>
      <x:c r="I236" s="76" t="n">
        <x:v>0</x:v>
      </x:c>
      <x:c r="J236" s="76" t="n">
        <x:v>22</x:v>
      </x:c>
      <x:c r="K236" s="76" t="n">
        <x:v>213</x:v>
      </x:c>
      <x:c r="L236" s="76" t="n">
        <x:v>2</x:v>
      </x:c>
      <x:c r="M236" s="76" t="n">
        <x:v>0</x:v>
      </x:c>
      <x:c r="N236" s="73" t="str">
        <x:v>https://www.thefantasyfootballers.com/2026-ultimate-draft-kit/udk-jasons-projections/?position=FLEX</x:v>
      </x:c>
    </x:row>
    <x:row r="237">
      <x:c r="A237" s="70" t="str">
        <x:v>Josh Jacobs</x:v>
      </x:c>
      <x:c r="B237" s="69" t="str">
        <x:v>RB</x:v>
      </x:c>
      <x:c r="C237" s="69" t="str">
        <x:v>GB</x:v>
      </x:c>
      <x:c r="D237" s="74" t="n">
        <x:v>11</x:v>
      </x:c>
      <x:c r="E237" s="74" t="n">
        <x:v>232</x:v>
      </x:c>
      <x:c r="F237" s="75" t="n">
        <x:v>3.1</x:v>
      </x:c>
      <x:c r="G237" s="76" t="n">
        <x:v>60</x:v>
      </x:c>
      <x:c r="H237" s="76" t="n">
        <x:v>240</x:v>
      </x:c>
      <x:c r="I237" s="76" t="n">
        <x:v>2</x:v>
      </x:c>
      <x:c r="J237" s="76" t="n">
        <x:v>9</x:v>
      </x:c>
      <x:c r="K237" s="76" t="n">
        <x:v>70</x:v>
      </x:c>
      <x:c r="L237" s="76" t="n">
        <x:v>0</x:v>
      </x:c>
      <x:c r="M237" s="76" t="n">
        <x:v>0</x:v>
      </x:c>
      <x:c r="N237" s="73" t="str">
        <x:v>https://www.thefantasyfootballers.com/2026-ultimate-draft-kit/udk-jasons-projections/?position=FLEX</x:v>
      </x:c>
    </x:row>
    <x:row r="238">
      <x:c r="A238" s="70" t="str">
        <x:v>Roman Wilson</x:v>
      </x:c>
      <x:c r="B238" s="69" t="str">
        <x:v>WR</x:v>
      </x:c>
      <x:c r="C238" s="69" t="str">
        <x:v>PIT</x:v>
      </x:c>
      <x:c r="D238" s="74" t="n">
        <x:v>9</x:v>
      </x:c>
      <x:c r="E238" s="74" t="n">
        <x:v>233</x:v>
      </x:c>
      <x:c r="F238" s="75" t="n">
        <x:v>3</x:v>
      </x:c>
      <x:c r="G238" s="76" t="n">
        <x:v>3</x:v>
      </x:c>
      <x:c r="H238" s="76" t="n">
        <x:v>15</x:v>
      </x:c>
      <x:c r="I238" s="76" t="n">
        <x:v>0</x:v>
      </x:c>
      <x:c r="J238" s="76" t="n">
        <x:v>18</x:v>
      </x:c>
      <x:c r="K238" s="76" t="n">
        <x:v>225</x:v>
      </x:c>
      <x:c r="L238" s="76" t="n">
        <x:v>2</x:v>
      </x:c>
      <x:c r="M238" s="76" t="n">
        <x:v>0</x:v>
      </x:c>
      <x:c r="N238" s="73" t="str">
        <x:v>https://www.thefantasyfootballers.com/2026-ultimate-draft-kit/udk-jasons-projections/?position=FLEX</x:v>
      </x:c>
    </x:row>
    <x:row r="239">
      <x:c r="A239" s="70" t="str">
        <x:v>Mack Hollins</x:v>
      </x:c>
      <x:c r="B239" s="69" t="str">
        <x:v>WR</x:v>
      </x:c>
      <x:c r="C239" s="69" t="str">
        <x:v>NE</x:v>
      </x:c>
      <x:c r="D239" s="74" t="n">
        <x:v>11</x:v>
      </x:c>
      <x:c r="E239" s="74" t="n">
        <x:v>234</x:v>
      </x:c>
      <x:c r="F239" s="75" t="n">
        <x:v>3</x:v>
      </x:c>
      <x:c r="G239" s="76" t="n">
        <x:v>1</x:v>
      </x:c>
      <x:c r="H239" s="76" t="n">
        <x:v>4</x:v>
      </x:c>
      <x:c r="I239" s="76" t="n">
        <x:v>0</x:v>
      </x:c>
      <x:c r="J239" s="76" t="n">
        <x:v>17</x:v>
      </x:c>
      <x:c r="K239" s="76" t="n">
        <x:v>207</x:v>
      </x:c>
      <x:c r="L239" s="76" t="n">
        <x:v>2</x:v>
      </x:c>
      <x:c r="M239" s="76" t="n">
        <x:v>0</x:v>
      </x:c>
      <x:c r="N239" s="73" t="str">
        <x:v>https://www.thefantasyfootballers.com/2026-ultimate-draft-kit/udk-jasons-projections/?position=FLEX</x:v>
      </x:c>
    </x:row>
    <x:row r="240">
      <x:c r="A240" s="70" t="str">
        <x:v>Kalif Raymond</x:v>
      </x:c>
      <x:c r="B240" s="69" t="str">
        <x:v>WR</x:v>
      </x:c>
      <x:c r="C240" s="69" t="str">
        <x:v>CHI</x:v>
      </x:c>
      <x:c r="D240" s="74" t="n">
        <x:v>10</x:v>
      </x:c>
      <x:c r="E240" s="74" t="n">
        <x:v>235</x:v>
      </x:c>
      <x:c r="F240" s="75" t="n">
        <x:v>2.9</x:v>
      </x:c>
      <x:c r="G240" s="76" t="n">
        <x:v>2</x:v>
      </x:c>
      <x:c r="H240" s="76" t="n">
        <x:v>12</x:v>
      </x:c>
      <x:c r="I240" s="76" t="n">
        <x:v>0</x:v>
      </x:c>
      <x:c r="J240" s="76" t="n">
        <x:v>19</x:v>
      </x:c>
      <x:c r="K240" s="76" t="n">
        <x:v>205</x:v>
      </x:c>
      <x:c r="L240" s="76" t="n">
        <x:v>2</x:v>
      </x:c>
      <x:c r="M240" s="76" t="n">
        <x:v>0</x:v>
      </x:c>
      <x:c r="N240" s="73" t="str">
        <x:v>https://www.thefantasyfootballers.com/2026-ultimate-draft-kit/udk-jasons-projections/?position=FLEX</x:v>
      </x:c>
    </x:row>
    <x:row r="241">
      <x:c r="A241" s="70" t="str">
        <x:v>Theo Johnson</x:v>
      </x:c>
      <x:c r="B241" s="69" t="str">
        <x:v>TE</x:v>
      </x:c>
      <x:c r="C241" s="69" t="str">
        <x:v>NYG</x:v>
      </x:c>
      <x:c r="D241" s="74" t="n">
        <x:v>8</x:v>
      </x:c>
      <x:c r="E241" s="74" t="n">
        <x:v>236</x:v>
      </x:c>
      <x:c r="F241" s="75" t="n">
        <x:v>2.9</x:v>
      </x:c>
      <x:c r="G241" s="76" t="n">
        <x:v>0</x:v>
      </x:c>
      <x:c r="H241" s="76" t="n">
        <x:v>0</x:v>
      </x:c>
      <x:c r="I241" s="76" t="n">
        <x:v>0</x:v>
      </x:c>
      <x:c r="J241" s="76" t="n">
        <x:v>18</x:v>
      </x:c>
      <x:c r="K241" s="76" t="n">
        <x:v>198</x:v>
      </x:c>
      <x:c r="L241" s="76" t="n">
        <x:v>2</x:v>
      </x:c>
      <x:c r="M241" s="76" t="n">
        <x:v>0</x:v>
      </x:c>
      <x:c r="N241" s="73" t="str">
        <x:v>https://www.thefantasyfootballers.com/2026-ultimate-draft-kit/udk-jasons-projections/?position=FLEX</x:v>
      </x:c>
    </x:row>
    <x:row r="242">
      <x:c r="A242" s="70" t="str">
        <x:v>Sean Tucker</x:v>
      </x:c>
      <x:c r="B242" s="69" t="str">
        <x:v>RB</x:v>
      </x:c>
      <x:c r="C242" s="69" t="str">
        <x:v>TB</x:v>
      </x:c>
      <x:c r="D242" s="74" t="n">
        <x:v>10</x:v>
      </x:c>
      <x:c r="E242" s="74" t="n">
        <x:v>237</x:v>
      </x:c>
      <x:c r="F242" s="75" t="n">
        <x:v>2.9</x:v>
      </x:c>
      <x:c r="G242" s="76" t="n">
        <x:v>69</x:v>
      </x:c>
      <x:c r="H242" s="76" t="n">
        <x:v>270</x:v>
      </x:c>
      <x:c r="I242" s="76" t="n">
        <x:v>2</x:v>
      </x:c>
      <x:c r="J242" s="76" t="n">
        <x:v>6</x:v>
      </x:c>
      <x:c r="K242" s="76" t="n">
        <x:v>30</x:v>
      </x:c>
      <x:c r="L242" s="76" t="n">
        <x:v>0</x:v>
      </x:c>
      <x:c r="M242" s="76" t="n">
        <x:v>0</x:v>
      </x:c>
      <x:c r="N242" s="73" t="str">
        <x:v>https://www.thefantasyfootballers.com/2026-ultimate-draft-kit/udk-jasons-projections/?position=FLEX</x:v>
      </x:c>
    </x:row>
    <x:row r="243">
      <x:c r="A243" s="70" t="str">
        <x:v>Elijah Sarratt</x:v>
      </x:c>
      <x:c r="B243" s="69" t="str">
        <x:v>WR</x:v>
      </x:c>
      <x:c r="C243" s="69" t="str">
        <x:v>BAL</x:v>
      </x:c>
      <x:c r="D243" s="74" t="n">
        <x:v>13</x:v>
      </x:c>
      <x:c r="E243" s="74" t="n">
        <x:v>238</x:v>
      </x:c>
      <x:c r="F243" s="75" t="n">
        <x:v>2.9</x:v>
      </x:c>
      <x:c r="G243" s="76" t="n">
        <x:v>0</x:v>
      </x:c>
      <x:c r="H243" s="76" t="n">
        <x:v>0</x:v>
      </x:c>
      <x:c r="I243" s="76" t="n">
        <x:v>0</x:v>
      </x:c>
      <x:c r="J243" s="76" t="n">
        <x:v>16</x:v>
      </x:c>
      <x:c r="K243" s="76" t="n">
        <x:v>205</x:v>
      </x:c>
      <x:c r="L243" s="76" t="n">
        <x:v>2</x:v>
      </x:c>
      <x:c r="M243" s="76" t="n">
        <x:v>0</x:v>
      </x:c>
      <x:c r="N243" s="73" t="str">
        <x:v>https://www.thefantasyfootballers.com/2026-ultimate-draft-kit/udk-jasons-projections/?position=FLEX</x:v>
      </x:c>
    </x:row>
    <x:row r="244">
      <x:c r="A244" s="70" t="str">
        <x:v>Treylon Burks</x:v>
      </x:c>
      <x:c r="B244" s="69" t="str">
        <x:v>WR</x:v>
      </x:c>
      <x:c r="C244" s="69" t="str">
        <x:v>WAS</x:v>
      </x:c>
      <x:c r="D244" s="74" t="n">
        <x:v>7</x:v>
      </x:c>
      <x:c r="E244" s="74" t="n">
        <x:v>239</x:v>
      </x:c>
      <x:c r="F244" s="75" t="n">
        <x:v>2.8</x:v>
      </x:c>
      <x:c r="G244" s="76" t="n">
        <x:v>0</x:v>
      </x:c>
      <x:c r="H244" s="76" t="n">
        <x:v>0</x:v>
      </x:c>
      <x:c r="I244" s="76" t="n">
        <x:v>0</x:v>
      </x:c>
      <x:c r="J244" s="76" t="n">
        <x:v>14</x:v>
      </x:c>
      <x:c r="K244" s="76" t="n">
        <x:v>202</x:v>
      </x:c>
      <x:c r="L244" s="76" t="n">
        <x:v>2</x:v>
      </x:c>
      <x:c r="M244" s="76" t="n">
        <x:v>0</x:v>
      </x:c>
      <x:c r="N244" s="73" t="str">
        <x:v>https://www.thefantasyfootballers.com/2026-ultimate-draft-kit/udk-jasons-projections/?position=FLEX</x:v>
      </x:c>
    </x:row>
    <x:row r="245">
      <x:c r="A245" s="70" t="str">
        <x:v>Devontez Walker</x:v>
      </x:c>
      <x:c r="B245" s="69" t="str">
        <x:v>WR</x:v>
      </x:c>
      <x:c r="C245" s="69" t="str">
        <x:v>BAL</x:v>
      </x:c>
      <x:c r="D245" s="74" t="n">
        <x:v>13</x:v>
      </x:c>
      <x:c r="E245" s="74" t="n">
        <x:v>240</x:v>
      </x:c>
      <x:c r="F245" s="75" t="n">
        <x:v>2.8</x:v>
      </x:c>
      <x:c r="G245" s="76" t="n">
        <x:v>0</x:v>
      </x:c>
      <x:c r="H245" s="76" t="n">
        <x:v>0</x:v>
      </x:c>
      <x:c r="I245" s="76" t="n">
        <x:v>0</x:v>
      </x:c>
      <x:c r="J245" s="76" t="n">
        <x:v>15</x:v>
      </x:c>
      <x:c r="K245" s="76" t="n">
        <x:v>255</x:v>
      </x:c>
      <x:c r="L245" s="76" t="n">
        <x:v>1</x:v>
      </x:c>
      <x:c r="M245" s="76" t="n">
        <x:v>0</x:v>
      </x:c>
      <x:c r="N245" s="73" t="str">
        <x:v>https://www.thefantasyfootballers.com/2026-ultimate-draft-kit/udk-jasons-projections/?position=FLEX</x:v>
      </x:c>
    </x:row>
    <x:row r="246">
      <x:c r="A246" s="70" t="str">
        <x:v>Dont'e Thornton Jr.</x:v>
      </x:c>
      <x:c r="B246" s="69" t="str">
        <x:v>WR</x:v>
      </x:c>
      <x:c r="C246" s="69" t="str">
        <x:v>LV</x:v>
      </x:c>
      <x:c r="D246" s="74" t="n">
        <x:v>13</x:v>
      </x:c>
      <x:c r="E246" s="74" t="n">
        <x:v>241</x:v>
      </x:c>
      <x:c r="F246" s="75" t="n">
        <x:v>2.8</x:v>
      </x:c>
      <x:c r="G246" s="76" t="n">
        <x:v>0</x:v>
      </x:c>
      <x:c r="H246" s="76" t="n">
        <x:v>0</x:v>
      </x:c>
      <x:c r="I246" s="76" t="n">
        <x:v>0</x:v>
      </x:c>
      <x:c r="J246" s="76" t="n">
        <x:v>17</x:v>
      </x:c>
      <x:c r="K246" s="76" t="n">
        <x:v>238</x:v>
      </x:c>
      <x:c r="L246" s="76" t="n">
        <x:v>1</x:v>
      </x:c>
      <x:c r="M246" s="76" t="n">
        <x:v>0</x:v>
      </x:c>
      <x:c r="N246" s="73" t="str">
        <x:v>https://www.thefantasyfootballers.com/2026-ultimate-draft-kit/udk-jasons-projections/?position=FLEX</x:v>
      </x:c>
    </x:row>
    <x:row r="247">
      <x:c r="A247" s="70" t="str">
        <x:v>Kaytron Allen</x:v>
      </x:c>
      <x:c r="B247" s="69" t="str">
        <x:v>RB</x:v>
      </x:c>
      <x:c r="C247" s="69" t="str">
        <x:v>WAS</x:v>
      </x:c>
      <x:c r="D247" s="74" t="n">
        <x:v>7</x:v>
      </x:c>
      <x:c r="E247" s="74" t="n">
        <x:v>242</x:v>
      </x:c>
      <x:c r="F247" s="75" t="n">
        <x:v>2.7</x:v>
      </x:c>
      <x:c r="G247" s="76" t="n">
        <x:v>44</x:v>
      </x:c>
      <x:c r="H247" s="76" t="n">
        <x:v>163</x:v>
      </x:c>
      <x:c r="I247" s="76" t="n">
        <x:v>4</x:v>
      </x:c>
      <x:c r="J247" s="76" t="n">
        <x:v>3</x:v>
      </x:c>
      <x:c r="K247" s="76" t="n">
        <x:v>20</x:v>
      </x:c>
      <x:c r="L247" s="76" t="n">
        <x:v>0</x:v>
      </x:c>
      <x:c r="M247" s="76" t="n">
        <x:v>0</x:v>
      </x:c>
      <x:c r="N247" s="73" t="str">
        <x:v>https://www.thefantasyfootballers.com/2026-ultimate-draft-kit/udk-jasons-projections/?position=FLEX</x:v>
      </x:c>
    </x:row>
    <x:row r="248">
      <x:c r="A248" s="70" t="str">
        <x:v>Devin Singletary</x:v>
      </x:c>
      <x:c r="B248" s="69" t="str">
        <x:v>RB</x:v>
      </x:c>
      <x:c r="C248" s="69" t="str">
        <x:v>NYG</x:v>
      </x:c>
      <x:c r="D248" s="74" t="n">
        <x:v>8</x:v>
      </x:c>
      <x:c r="E248" s="74" t="n">
        <x:v>243</x:v>
      </x:c>
      <x:c r="F248" s="75" t="n">
        <x:v>2.6</x:v>
      </x:c>
      <x:c r="G248" s="76" t="n">
        <x:v>50</x:v>
      </x:c>
      <x:c r="H248" s="76" t="n">
        <x:v>200</x:v>
      </x:c>
      <x:c r="I248" s="76" t="n">
        <x:v>2</x:v>
      </x:c>
      <x:c r="J248" s="76" t="n">
        <x:v>8</x:v>
      </x:c>
      <x:c r="K248" s="76" t="n">
        <x:v>56</x:v>
      </x:c>
      <x:c r="L248" s="76" t="n">
        <x:v>0</x:v>
      </x:c>
      <x:c r="M248" s="76" t="n">
        <x:v>1</x:v>
      </x:c>
      <x:c r="N248" s="73" t="str">
        <x:v>https://www.thefantasyfootballers.com/2026-ultimate-draft-kit/udk-jasons-projections/?position=FLEX</x:v>
      </x:c>
    </x:row>
    <x:row r="249">
      <x:c r="A249" s="70" t="str">
        <x:v>Ollie Gordon II</x:v>
      </x:c>
      <x:c r="B249" s="69" t="str">
        <x:v>RB</x:v>
      </x:c>
      <x:c r="C249" s="69" t="str">
        <x:v>MIA</x:v>
      </x:c>
      <x:c r="D249" s="74" t="n">
        <x:v>6</x:v>
      </x:c>
      <x:c r="E249" s="74" t="n">
        <x:v>244</x:v>
      </x:c>
      <x:c r="F249" s="75" t="n">
        <x:v>2.4</x:v>
      </x:c>
      <x:c r="G249" s="76" t="n">
        <x:v>75</x:v>
      </x:c>
      <x:c r="H249" s="76" t="n">
        <x:v>258</x:v>
      </x:c>
      <x:c r="I249" s="76" t="n">
        <x:v>2</x:v>
      </x:c>
      <x:c r="J249" s="76" t="n">
        <x:v>5</x:v>
      </x:c>
      <x:c r="K249" s="76" t="n">
        <x:v>35</x:v>
      </x:c>
      <x:c r="L249" s="76" t="n">
        <x:v>0</x:v>
      </x:c>
      <x:c r="M249" s="76" t="n">
        <x:v>1</x:v>
      </x:c>
      <x:c r="N249" s="73" t="str">
        <x:v>https://www.thefantasyfootballers.com/2026-ultimate-draft-kit/udk-jasons-projections/?position=FLEX</x:v>
      </x:c>
    </x:row>
    <x:row r="250">
      <x:c r="A250" s="70" t="str">
        <x:v>Emari Demercado</x:v>
      </x:c>
      <x:c r="B250" s="69" t="str">
        <x:v>RB</x:v>
      </x:c>
      <x:c r="C250" s="69" t="str">
        <x:v>FA</x:v>
      </x:c>
      <x:c r="D250" s="74"/>
      <x:c r="E250" s="74" t="n">
        <x:v>245</x:v>
      </x:c>
      <x:c r="F250" s="75" t="n">
        <x:v>2.4</x:v>
      </x:c>
      <x:c r="G250" s="76" t="n">
        <x:v>25</x:v>
      </x:c>
      <x:c r="H250" s="76" t="n">
        <x:v>110</x:v>
      </x:c>
      <x:c r="I250" s="76" t="n">
        <x:v>1</x:v>
      </x:c>
      <x:c r="J250" s="76" t="n">
        <x:v>14</x:v>
      </x:c>
      <x:c r="K250" s="76" t="n">
        <x:v>110</x:v>
      </x:c>
      <x:c r="L250" s="76" t="n">
        <x:v>1</x:v>
      </x:c>
      <x:c r="M250" s="76" t="n">
        <x:v>1</x:v>
      </x:c>
      <x:c r="N250" s="73" t="str">
        <x:v>https://www.thefantasyfootballers.com/2026-ultimate-draft-kit/udk-jasons-projections/?position=FLEX</x:v>
      </x:c>
    </x:row>
    <x:row r="251">
      <x:c r="A251" s="70" t="str">
        <x:v>Tutu Atwell</x:v>
      </x:c>
      <x:c r="B251" s="69" t="str">
        <x:v>WR</x:v>
      </x:c>
      <x:c r="C251" s="69" t="str">
        <x:v>LAR</x:v>
      </x:c>
      <x:c r="D251" s="74" t="n">
        <x:v>11</x:v>
      </x:c>
      <x:c r="E251" s="74" t="n">
        <x:v>246</x:v>
      </x:c>
      <x:c r="F251" s="75" t="n">
        <x:v>2.3</x:v>
      </x:c>
      <x:c r="G251" s="76" t="n">
        <x:v>0</x:v>
      </x:c>
      <x:c r="H251" s="76" t="n">
        <x:v>0</x:v>
      </x:c>
      <x:c r="I251" s="76" t="n">
        <x:v>0</x:v>
      </x:c>
      <x:c r="J251" s="76" t="n">
        <x:v>13</x:v>
      </x:c>
      <x:c r="K251" s="76" t="n">
        <x:v>203</x:v>
      </x:c>
      <x:c r="L251" s="76" t="n">
        <x:v>1</x:v>
      </x:c>
      <x:c r="M251" s="76" t="n">
        <x:v>0</x:v>
      </x:c>
      <x:c r="N251" s="73" t="str">
        <x:v>https://www.thefantasyfootballers.com/2026-ultimate-draft-kit/udk-jasons-projections/?position=FLEX</x:v>
      </x:c>
    </x:row>
    <x:row r="252">
      <x:c r="A252" s="70" t="str">
        <x:v>Noah Gray</x:v>
      </x:c>
      <x:c r="B252" s="69" t="str">
        <x:v>TE</x:v>
      </x:c>
      <x:c r="C252" s="69" t="str">
        <x:v>KC</x:v>
      </x:c>
      <x:c r="D252" s="74" t="n">
        <x:v>5</x:v>
      </x:c>
      <x:c r="E252" s="74" t="n">
        <x:v>247</x:v>
      </x:c>
      <x:c r="F252" s="75" t="n">
        <x:v>2.3</x:v>
      </x:c>
      <x:c r="G252" s="76" t="n">
        <x:v>0</x:v>
      </x:c>
      <x:c r="H252" s="76" t="n">
        <x:v>0</x:v>
      </x:c>
      <x:c r="I252" s="76" t="n">
        <x:v>0</x:v>
      </x:c>
      <x:c r="J252" s="76" t="n">
        <x:v>22</x:v>
      </x:c>
      <x:c r="K252" s="76" t="n">
        <x:v>135</x:v>
      </x:c>
      <x:c r="L252" s="76" t="n">
        <x:v>1</x:v>
      </x:c>
      <x:c r="M252" s="76" t="n">
        <x:v>0</x:v>
      </x:c>
      <x:c r="N252" s="73" t="str">
        <x:v>https://www.thefantasyfootballers.com/2026-ultimate-draft-kit/udk-jasons-projections/?position=FLEX</x:v>
      </x:c>
    </x:row>
    <x:row r="253">
      <x:c r="A253" s="70" t="str">
        <x:v>Adam Randall</x:v>
      </x:c>
      <x:c r="B253" s="69" t="str">
        <x:v>RB</x:v>
      </x:c>
      <x:c r="C253" s="69" t="str">
        <x:v>BAL</x:v>
      </x:c>
      <x:c r="D253" s="74" t="n">
        <x:v>13</x:v>
      </x:c>
      <x:c r="E253" s="74" t="n">
        <x:v>248</x:v>
      </x:c>
      <x:c r="F253" s="75" t="n">
        <x:v>2.2</x:v>
      </x:c>
      <x:c r="G253" s="76" t="n">
        <x:v>44</x:v>
      </x:c>
      <x:c r="H253" s="76" t="n">
        <x:v>202</x:v>
      </x:c>
      <x:c r="I253" s="76" t="n">
        <x:v>1</x:v>
      </x:c>
      <x:c r="J253" s="76" t="n">
        <x:v>5</x:v>
      </x:c>
      <x:c r="K253" s="76" t="n">
        <x:v>32</x:v>
      </x:c>
      <x:c r="L253" s="76" t="n">
        <x:v>0</x:v>
      </x:c>
      <x:c r="M253" s="76" t="n">
        <x:v>0</x:v>
      </x:c>
      <x:c r="N253" s="73" t="str">
        <x:v>https://www.thefantasyfootballers.com/2026-ultimate-draft-kit/udk-jasons-projections/?position=FLEX</x:v>
      </x:c>
    </x:row>
    <x:row r="254">
      <x:c r="A254" s="70" t="str">
        <x:v>Marvin Mims Jr.</x:v>
      </x:c>
      <x:c r="B254" s="69" t="str">
        <x:v>WR</x:v>
      </x:c>
      <x:c r="C254" s="69" t="str">
        <x:v>DEN</x:v>
      </x:c>
      <x:c r="D254" s="74" t="n">
        <x:v>10</x:v>
      </x:c>
      <x:c r="E254" s="74" t="n">
        <x:v>249</x:v>
      </x:c>
      <x:c r="F254" s="75" t="n">
        <x:v>2.2</x:v>
      </x:c>
      <x:c r="G254" s="76" t="n">
        <x:v>3</x:v>
      </x:c>
      <x:c r="H254" s="76" t="n">
        <x:v>20</x:v>
      </x:c>
      <x:c r="I254" s="76" t="n">
        <x:v>0</x:v>
      </x:c>
      <x:c r="J254" s="76" t="n">
        <x:v>16</x:v>
      </x:c>
      <x:c r="K254" s="76" t="n">
        <x:v>150</x:v>
      </x:c>
      <x:c r="L254" s="76" t="n">
        <x:v>1</x:v>
      </x:c>
      <x:c r="M254" s="76" t="n">
        <x:v>1</x:v>
      </x:c>
      <x:c r="N254" s="73" t="str">
        <x:v>https://www.thefantasyfootballers.com/2026-ultimate-draft-kit/udk-jasons-projections/?position=FLEX</x:v>
      </x:c>
    </x:row>
    <x:row r="255">
      <x:c r="A255" s="70" t="str">
        <x:v>Tahj Brooks</x:v>
      </x:c>
      <x:c r="B255" s="69" t="str">
        <x:v>RB</x:v>
      </x:c>
      <x:c r="C255" s="69" t="str">
        <x:v>CIN</x:v>
      </x:c>
      <x:c r="D255" s="74" t="n">
        <x:v>6</x:v>
      </x:c>
      <x:c r="E255" s="74" t="n">
        <x:v>250</x:v>
      </x:c>
      <x:c r="F255" s="75" t="n">
        <x:v>2.2</x:v>
      </x:c>
      <x:c r="G255" s="76" t="n">
        <x:v>50</x:v>
      </x:c>
      <x:c r="H255" s="76" t="n">
        <x:v>195</x:v>
      </x:c>
      <x:c r="I255" s="76" t="n">
        <x:v>1</x:v>
      </x:c>
      <x:c r="J255" s="76" t="n">
        <x:v>7</x:v>
      </x:c>
      <x:c r="K255" s="76" t="n">
        <x:v>45</x:v>
      </x:c>
      <x:c r="L255" s="76" t="n">
        <x:v>0</x:v>
      </x:c>
      <x:c r="M255" s="76" t="n">
        <x:v>0</x:v>
      </x:c>
      <x:c r="N255" s="73" t="str">
        <x:v>https://www.thefantasyfootballers.com/2026-ultimate-draft-kit/udk-jasons-projections/?position=FLEX</x:v>
      </x:c>
    </x:row>
    <x:row r="256">
      <x:c r="A256" s="70" t="str">
        <x:v>Hollywood Brown</x:v>
      </x:c>
      <x:c r="B256" s="69" t="str">
        <x:v>WR</x:v>
      </x:c>
      <x:c r="C256" s="69" t="str">
        <x:v>PHI</x:v>
      </x:c>
      <x:c r="D256" s="74" t="n">
        <x:v>10</x:v>
      </x:c>
      <x:c r="E256" s="74" t="n">
        <x:v>251</x:v>
      </x:c>
      <x:c r="F256" s="75" t="n">
        <x:v>2.1</x:v>
      </x:c>
      <x:c r="G256" s="76" t="n">
        <x:v>3</x:v>
      </x:c>
      <x:c r="H256" s="76" t="n">
        <x:v>20</x:v>
      </x:c>
      <x:c r="I256" s="76" t="n">
        <x:v>0</x:v>
      </x:c>
      <x:c r="J256" s="76" t="n">
        <x:v>9</x:v>
      </x:c>
      <x:c r="K256" s="76" t="n">
        <x:v>112</x:v>
      </x:c>
      <x:c r="L256" s="76" t="n">
        <x:v>2</x:v>
      </x:c>
      <x:c r="M256" s="76" t="n">
        <x:v>0</x:v>
      </x:c>
      <x:c r="N256" s="73" t="str">
        <x:v>https://www.thefantasyfootballers.com/2026-ultimate-draft-kit/udk-jasons-projections/?position=FLEX</x:v>
      </x:c>
    </x:row>
    <x:row r="257">
      <x:c r="A257" s="70" t="str">
        <x:v>Zavion Thomas</x:v>
      </x:c>
      <x:c r="B257" s="69" t="str">
        <x:v>WR</x:v>
      </x:c>
      <x:c r="C257" s="69" t="str">
        <x:v>CHI</x:v>
      </x:c>
      <x:c r="D257" s="74" t="n">
        <x:v>10</x:v>
      </x:c>
      <x:c r="E257" s="74" t="n">
        <x:v>252</x:v>
      </x:c>
      <x:c r="F257" s="75" t="n">
        <x:v>1.7</x:v>
      </x:c>
      <x:c r="G257" s="76" t="n">
        <x:v>4</x:v>
      </x:c>
      <x:c r="H257" s="76" t="n">
        <x:v>28</x:v>
      </x:c>
      <x:c r="I257" s="76" t="n">
        <x:v>0</x:v>
      </x:c>
      <x:c r="J257" s="76" t="n">
        <x:v>10</x:v>
      </x:c>
      <x:c r="K257" s="76" t="n">
        <x:v>125</x:v>
      </x:c>
      <x:c r="L257" s="76" t="n">
        <x:v>1</x:v>
      </x:c>
      <x:c r="M257" s="76" t="n">
        <x:v>0</x:v>
      </x:c>
      <x:c r="N257" s="73" t="str">
        <x:v>https://www.thefantasyfootballers.com/2026-ultimate-draft-kit/udk-jasons-projections/?position=FLEX</x:v>
      </x:c>
    </x:row>
    <x:row r="258">
      <x:c r="A258" s="70" t="str">
        <x:v>Elijah Arroyo</x:v>
      </x:c>
      <x:c r="B258" s="69" t="str">
        <x:v>TE</x:v>
      </x:c>
      <x:c r="C258" s="69" t="str">
        <x:v>SEA</x:v>
      </x:c>
      <x:c r="D258" s="74" t="n">
        <x:v>11</x:v>
      </x:c>
      <x:c r="E258" s="74" t="n">
        <x:v>253</x:v>
      </x:c>
      <x:c r="F258" s="75" t="n">
        <x:v>1.7</x:v>
      </x:c>
      <x:c r="G258" s="76" t="n">
        <x:v>0</x:v>
      </x:c>
      <x:c r="H258" s="76" t="n">
        <x:v>0</x:v>
      </x:c>
      <x:c r="I258" s="76" t="n">
        <x:v>0</x:v>
      </x:c>
      <x:c r="J258" s="76" t="n">
        <x:v>10</x:v>
      </x:c>
      <x:c r="K258" s="76" t="n">
        <x:v>103</x:v>
      </x:c>
      <x:c r="L258" s="76" t="n">
        <x:v>2</x:v>
      </x:c>
      <x:c r="M258" s="76" t="n">
        <x:v>0</x:v>
      </x:c>
      <x:c r="N258" s="73" t="str">
        <x:v>https://www.thefantasyfootballers.com/2026-ultimate-draft-kit/udk-jasons-projections/?position=FLEX</x:v>
      </x:c>
    </x:row>
    <x:row r="259">
      <x:c r="A259" s="70" t="str">
        <x:v>Cedric Tillman</x:v>
      </x:c>
      <x:c r="B259" s="69" t="str">
        <x:v>WR</x:v>
      </x:c>
      <x:c r="C259" s="69" t="str">
        <x:v>FA</x:v>
      </x:c>
      <x:c r="D259" s="74"/>
      <x:c r="E259" s="74" t="n">
        <x:v>254</x:v>
      </x:c>
      <x:c r="F259" s="75" t="n">
        <x:v>1.7</x:v>
      </x:c>
      <x:c r="G259" s="76" t="n">
        <x:v>0</x:v>
      </x:c>
      <x:c r="H259" s="76" t="n">
        <x:v>0</x:v>
      </x:c>
      <x:c r="I259" s="76" t="n">
        <x:v>0</x:v>
      </x:c>
      <x:c r="J259" s="76" t="n">
        <x:v>10</x:v>
      </x:c>
      <x:c r="K259" s="76" t="n">
        <x:v>133</x:v>
      </x:c>
      <x:c r="L259" s="76" t="n">
        <x:v>1</x:v>
      </x:c>
      <x:c r="M259" s="76" t="n">
        <x:v>0</x:v>
      </x:c>
      <x:c r="N259" s="73" t="str">
        <x:v>https://www.thefantasyfootballers.com/2026-ultimate-draft-kit/udk-jasons-projections/?position=FLEX</x:v>
      </x:c>
    </x:row>
    <x:row r="260">
      <x:c r="A260" s="70" t="str">
        <x:v>Emanuel Wilson</x:v>
      </x:c>
      <x:c r="B260" s="69" t="str">
        <x:v>RB</x:v>
      </x:c>
      <x:c r="C260" s="69" t="str">
        <x:v>SEA</x:v>
      </x:c>
      <x:c r="D260" s="74" t="n">
        <x:v>11</x:v>
      </x:c>
      <x:c r="E260" s="74" t="n">
        <x:v>255</x:v>
      </x:c>
      <x:c r="F260" s="75" t="n">
        <x:v>1.6</x:v>
      </x:c>
      <x:c r="G260" s="76" t="n">
        <x:v>17</x:v>
      </x:c>
      <x:c r="H260" s="76" t="n">
        <x:v>66</x:v>
      </x:c>
      <x:c r="I260" s="76" t="n">
        <x:v>2</x:v>
      </x:c>
      <x:c r="J260" s="76" t="n">
        <x:v>6</x:v>
      </x:c>
      <x:c r="K260" s="76" t="n">
        <x:v>36</x:v>
      </x:c>
      <x:c r="L260" s="76" t="n">
        <x:v>0</x:v>
      </x:c>
      <x:c r="M260" s="76" t="n">
        <x:v>0</x:v>
      </x:c>
      <x:c r="N260" s="73" t="str">
        <x:v>https://www.thefantasyfootballers.com/2026-ultimate-draft-kit/udk-jasons-projections/?position=FLEX</x:v>
      </x:c>
    </x:row>
    <x:row r="261">
      <x:c r="A261" s="70" t="str">
        <x:v>Malik Benson</x:v>
      </x:c>
      <x:c r="B261" s="69" t="str">
        <x:v>WR</x:v>
      </x:c>
      <x:c r="C261" s="69" t="str">
        <x:v>LV</x:v>
      </x:c>
      <x:c r="D261" s="74" t="n">
        <x:v>13</x:v>
      </x:c>
      <x:c r="E261" s="74" t="n">
        <x:v>256</x:v>
      </x:c>
      <x:c r="F261" s="75" t="n">
        <x:v>1.4</x:v>
      </x:c>
      <x:c r="G261" s="76" t="n">
        <x:v>0</x:v>
      </x:c>
      <x:c r="H261" s="76" t="n">
        <x:v>0</x:v>
      </x:c>
      <x:c r="I261" s="76" t="n">
        <x:v>0</x:v>
      </x:c>
      <x:c r="J261" s="76" t="n">
        <x:v>9</x:v>
      </x:c>
      <x:c r="K261" s="76" t="n">
        <x:v>130</x:v>
      </x:c>
      <x:c r="L261" s="76" t="n">
        <x:v>0</x:v>
      </x:c>
      <x:c r="M261" s="76" t="n">
        <x:v>0</x:v>
      </x:c>
      <x:c r="N261" s="73" t="str">
        <x:v>https://www.thefantasyfootballers.com/2026-ultimate-draft-kit/udk-jasons-projections/?position=FLEX</x:v>
      </x:c>
    </x:row>
    <x:row r="262">
      <x:c r="A262" s="70" t="str">
        <x:v>Will Shipley</x:v>
      </x:c>
      <x:c r="B262" s="69" t="str">
        <x:v>RB</x:v>
      </x:c>
      <x:c r="C262" s="69" t="str">
        <x:v>PHI</x:v>
      </x:c>
      <x:c r="D262" s="74" t="n">
        <x:v>10</x:v>
      </x:c>
      <x:c r="E262" s="74" t="n">
        <x:v>257</x:v>
      </x:c>
      <x:c r="F262" s="75" t="n">
        <x:v>1.4</x:v>
      </x:c>
      <x:c r="G262" s="76" t="n">
        <x:v>20</x:v>
      </x:c>
      <x:c r="H262" s="76" t="n">
        <x:v>85</x:v>
      </x:c>
      <x:c r="I262" s="76" t="n">
        <x:v>1</x:v>
      </x:c>
      <x:c r="J262" s="76" t="n">
        <x:v>6</x:v>
      </x:c>
      <x:c r="K262" s="76" t="n">
        <x:v>38</x:v>
      </x:c>
      <x:c r="L262" s="76" t="n">
        <x:v>0</x:v>
      </x:c>
      <x:c r="M262" s="76" t="n">
        <x:v>0</x:v>
      </x:c>
      <x:c r="N262" s="73" t="str">
        <x:v>https://www.thefantasyfootballers.com/2026-ultimate-draft-kit/udk-jasons-projections/?position=FLEX</x:v>
      </x:c>
    </x:row>
    <x:row r="263">
      <x:c r="A263" s="70" t="str">
        <x:v>Brenen Thompson</x:v>
      </x:c>
      <x:c r="B263" s="69" t="str">
        <x:v>WR</x:v>
      </x:c>
      <x:c r="C263" s="69" t="str">
        <x:v>LAC</x:v>
      </x:c>
      <x:c r="D263" s="74" t="n">
        <x:v>7</x:v>
      </x:c>
      <x:c r="E263" s="74" t="n">
        <x:v>258</x:v>
      </x:c>
      <x:c r="F263" s="75" t="n">
        <x:v>1.3</x:v>
      </x:c>
      <x:c r="G263" s="76" t="n">
        <x:v>0</x:v>
      </x:c>
      <x:c r="H263" s="76" t="n">
        <x:v>0</x:v>
      </x:c>
      <x:c r="I263" s="76" t="n">
        <x:v>0</x:v>
      </x:c>
      <x:c r="J263" s="76" t="n">
        <x:v>9</x:v>
      </x:c>
      <x:c r="K263" s="76" t="n">
        <x:v>100</x:v>
      </x:c>
      <x:c r="L263" s="76" t="n">
        <x:v>1</x:v>
      </x:c>
      <x:c r="M263" s="76" t="n">
        <x:v>0</x:v>
      </x:c>
      <x:c r="N263" s="73" t="str">
        <x:v>https://www.thefantasyfootballers.com/2026-ultimate-draft-kit/udk-jasons-projections/?position=FLEX</x:v>
      </x:c>
    </x:row>
    <x:row r="264">
      <x:c r="A264" s="70" t="str">
        <x:v>Kendrick Law</x:v>
      </x:c>
      <x:c r="B264" s="69" t="str">
        <x:v>WR</x:v>
      </x:c>
      <x:c r="C264" s="69" t="str">
        <x:v>DET</x:v>
      </x:c>
      <x:c r="D264" s="74" t="n">
        <x:v>6</x:v>
      </x:c>
      <x:c r="E264" s="74" t="n">
        <x:v>259</x:v>
      </x:c>
      <x:c r="F264" s="75" t="n">
        <x:v>1</x:v>
      </x:c>
      <x:c r="G264" s="76" t="n">
        <x:v>0</x:v>
      </x:c>
      <x:c r="H264" s="76" t="n">
        <x:v>0</x:v>
      </x:c>
      <x:c r="I264" s="76" t="n">
        <x:v>0</x:v>
      </x:c>
      <x:c r="J264" s="76" t="n">
        <x:v>7</x:v>
      </x:c>
      <x:c r="K264" s="76" t="n">
        <x:v>75</x:v>
      </x:c>
      <x:c r="L264" s="76" t="n">
        <x:v>1</x:v>
      </x:c>
      <x:c r="M264" s="76" t="n">
        <x:v>0</x:v>
      </x:c>
      <x:c r="N264" s="73" t="str">
        <x:v>https://www.thefantasyfootballers.com/2026-ultimate-draft-kit/udk-jasons-projections/?position=FLEX</x:v>
      </x:c>
    </x:row>
    <x:row r="265">
      <x:c r="A265" s="70" t="str">
        <x:v>Oscar Delp</x:v>
      </x:c>
      <x:c r="B265" s="69" t="str">
        <x:v>TE</x:v>
      </x:c>
      <x:c r="C265" s="69" t="str">
        <x:v>NO</x:v>
      </x:c>
      <x:c r="D265" s="74" t="n">
        <x:v>8</x:v>
      </x:c>
      <x:c r="E265" s="74" t="n">
        <x:v>260</x:v>
      </x:c>
      <x:c r="F265" s="75" t="n">
        <x:v>0.8</x:v>
      </x:c>
      <x:c r="G265" s="76" t="n">
        <x:v>0</x:v>
      </x:c>
      <x:c r="H265" s="76" t="n">
        <x:v>0</x:v>
      </x:c>
      <x:c r="I265" s="76" t="n">
        <x:v>0</x:v>
      </x:c>
      <x:c r="J265" s="76" t="n">
        <x:v>6</x:v>
      </x:c>
      <x:c r="K265" s="76" t="n">
        <x:v>54</x:v>
      </x:c>
      <x:c r="L265" s="76" t="n">
        <x:v>0</x:v>
      </x:c>
      <x:c r="M265" s="76" t="n">
        <x:v>0</x:v>
      </x:c>
      <x:c r="N265" s="73" t="str">
        <x:v>https://www.thefantasyfootballers.com/2026-ultimate-draft-kit/udk-jasons-projections/?position=FLEX</x:v>
      </x:c>
    </x:row>
    <x:row r="266">
      <x:c r="A266" s="70" t="str">
        <x:v>Devin Neal</x:v>
      </x:c>
      <x:c r="B266" s="69" t="str">
        <x:v>RB</x:v>
      </x:c>
      <x:c r="C266" s="69" t="str">
        <x:v>NO</x:v>
      </x:c>
      <x:c r="D266" s="74" t="n">
        <x:v>8</x:v>
      </x:c>
      <x:c r="E266" s="74" t="n">
        <x:v>261</x:v>
      </x:c>
      <x:c r="F266" s="75" t="n">
        <x:v>0</x:v>
      </x:c>
      <x:c r="G266" s="76" t="n">
        <x:v>0</x:v>
      </x:c>
      <x:c r="H266" s="76" t="n">
        <x:v>0</x:v>
      </x:c>
      <x:c r="I266" s="76" t="n">
        <x:v>0</x:v>
      </x:c>
      <x:c r="J266" s="76" t="n">
        <x:v>0</x:v>
      </x:c>
      <x:c r="K266" s="76" t="n">
        <x:v>0</x:v>
      </x:c>
      <x:c r="L266" s="76" t="n">
        <x:v>0</x:v>
      </x:c>
      <x:c r="M266" s="76" t="n">
        <x:v>0</x:v>
      </x:c>
      <x:c r="N266" s="73" t="str">
        <x:v>https://www.thefantasyfootballers.com/2026-ultimate-draft-kit/udk-jasons-projections/?position=FLEX</x:v>
      </x:c>
    </x:row>
    <x:row r="267">
      <x:c r="A267" s="70" t="str">
        <x:v>Chris Brazzell II</x:v>
      </x:c>
      <x:c r="B267" s="69" t="str">
        <x:v>WR</x:v>
      </x:c>
      <x:c r="C267" s="69" t="str">
        <x:v>CAR</x:v>
      </x:c>
      <x:c r="D267" s="74" t="n">
        <x:v>5</x:v>
      </x:c>
      <x:c r="E267" s="74" t="n">
        <x:v>262</x:v>
      </x:c>
      <x:c r="F267" s="75" t="n">
        <x:v>0</x:v>
      </x:c>
      <x:c r="G267" s="76" t="n">
        <x:v>0</x:v>
      </x:c>
      <x:c r="H267" s="76" t="n">
        <x:v>0</x:v>
      </x:c>
      <x:c r="I267" s="76" t="n">
        <x:v>0</x:v>
      </x:c>
      <x:c r="J267" s="76" t="n">
        <x:v>0</x:v>
      </x:c>
      <x:c r="K267" s="76" t="n">
        <x:v>0</x:v>
      </x:c>
      <x:c r="L267" s="76" t="n">
        <x:v>0</x:v>
      </x:c>
      <x:c r="M267" s="76" t="n">
        <x:v>0</x:v>
      </x:c>
      <x:c r="N267" s="73" t="str">
        <x:v>https://www.thefantasyfootballers.com/2026-ultimate-draft-kit/udk-jasons-projections/?position=FLEX</x:v>
      </x:c>
    </x:row>
    <x:row r="268">
      <x:c r="A268" s="70" t="str">
        <x:v>Justin Joly</x:v>
      </x:c>
      <x:c r="B268" s="69" t="str">
        <x:v>TE</x:v>
      </x:c>
      <x:c r="C268" s="69" t="str">
        <x:v>FA</x:v>
      </x:c>
      <x:c r="D268" s="74"/>
      <x:c r="E268" s="74" t="n">
        <x:v>263</x:v>
      </x:c>
      <x:c r="F268" s="75" t="n">
        <x:v>0</x:v>
      </x:c>
      <x:c r="G268" s="76" t="n">
        <x:v>0</x:v>
      </x:c>
      <x:c r="H268" s="76" t="n">
        <x:v>0</x:v>
      </x:c>
      <x:c r="I268" s="76" t="n">
        <x:v>0</x:v>
      </x:c>
      <x:c r="J268" s="76" t="n">
        <x:v>0</x:v>
      </x:c>
      <x:c r="K268" s="76" t="n">
        <x:v>0</x:v>
      </x:c>
      <x:c r="L268" s="76" t="n">
        <x:v>0</x:v>
      </x:c>
      <x:c r="M268" s="76" t="n">
        <x:v>0</x:v>
      </x:c>
      <x:c r="N268" s="73" t="str">
        <x:v>https://www.thefantasyfootballers.com/2026-ultimate-draft-kit/udk-jasons-projections/?position=FLEX</x:v>
      </x:c>
    </x:row>
  </x:sheetData>
  <x:mergeCells>
    <x:mergeCell ref="A1:N1"/>
    <x:mergeCell ref="A2:N2"/>
    <x:mergeCell ref="A4:D4"/>
    <x:mergeCell ref="E4:F4"/>
    <x:mergeCell ref="G4:I4"/>
    <x:mergeCell ref="J4:L4"/>
  </x:mergeCells>
  <x:pageMargins left="0.7" right="0.7" top="0.75" bottom="0.75" header="0.3" footer="0.3"/>
  <x:tableParts count="1">
    <x:tablePart xmlns:r="http://schemas.openxmlformats.org/officeDocument/2006/relationships" r:id="Rd5fd2aa3c10e48c6"/>
  </x:tableParts>
</x:worksheet>
</file>